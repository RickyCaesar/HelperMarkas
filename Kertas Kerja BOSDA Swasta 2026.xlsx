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738B3689-6029-4EDC-A3FB-386A10EDDDCF}" xr6:coauthVersionLast="47" xr6:coauthVersionMax="47" xr10:uidLastSave="{00000000-0000-0000-0000-000000000000}"/>
  <bookViews>
    <workbookView xWindow="-110" yWindow="-110" windowWidth="25820" windowHeight="15500" firstSheet="5" activeTab="5" xr2:uid="{00000000-000D-0000-FFFF-FFFF00000000}"/>
  </bookViews>
  <sheets>
    <sheet name="datadasar" sheetId="5" state="hidden" r:id="rId1"/>
    <sheet name="status rkas" sheetId="6" state="hidden" r:id="rId2"/>
    <sheet name="rekap" sheetId="7" state="hidden" r:id="rId3"/>
    <sheet name="Copy of rekap" sheetId="8" state="hidden" r:id="rId4"/>
    <sheet name="rekap (1)" sheetId="9" state="hidden" r:id="rId5"/>
    <sheet name="Daftar Sekolah" sheetId="10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5" hidden="1">'Daftar Sekolah'!$A$1:$F$328</definedName>
    <definedName name="_xlnm._FilterDatabase" localSheetId="0" hidden="1">datadasar!$A$1:$CW$329</definedName>
    <definedName name="Z_03A604D0_50AC_400B_BD81_24B507816911_.wvu.FilterData" localSheetId="0" hidden="1">datadasar!$A$1:$CM$1020</definedName>
    <definedName name="Z_149CC71F_BF55_4C1B_919A_15AB5F55BFE7_.wvu.FilterData" localSheetId="0" hidden="1">datadasar!$A$1:$AX$329</definedName>
    <definedName name="Z_31534B24_ACB9_4BBE_8192_1FB1E9293A14_.wvu.FilterData" localSheetId="0" hidden="1">datadasar!$A$1:$CM$1020</definedName>
    <definedName name="Z_3FD154CB_797A_45E9_9C24_6A146075C072_.wvu.FilterData" localSheetId="0" hidden="1">datadasar!$A$1:$CM$1020</definedName>
  </definedNames>
  <calcPr calcId="191029"/>
  <customWorkbookViews>
    <customWorkbookView name="Adi" guid="{149CC71F-BF55-4C1B-919A-15AB5F55BFE7}" maximized="1" windowWidth="0" windowHeight="0" activeSheetId="0"/>
    <customWorkbookView name="TAHAP 2" guid="{3FD154CB-797A-45E9-9C24-6A146075C072}" maximized="1" windowWidth="0" windowHeight="0" activeSheetId="0"/>
    <customWorkbookView name="Tahap 3" guid="{03A604D0-50AC-400B-BD81-24B507816911}" maximized="1" windowWidth="0" windowHeight="0" activeSheetId="0"/>
    <customWorkbookView name="TAHAP 4" guid="{31534B24-ACB9-4BBE-8192-1FB1E9293A1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9" l="1"/>
  <c r="B5" i="9"/>
  <c r="B4" i="9"/>
  <c r="B3" i="9"/>
  <c r="B8" i="9" s="1"/>
  <c r="B2" i="9"/>
  <c r="G13" i="8"/>
  <c r="F13" i="8"/>
  <c r="E13" i="8"/>
  <c r="D13" i="8"/>
  <c r="H13" i="8" s="1"/>
  <c r="I13" i="8" s="1"/>
  <c r="G12" i="8"/>
  <c r="F12" i="8"/>
  <c r="E12" i="8"/>
  <c r="D12" i="8"/>
  <c r="H12" i="8" s="1"/>
  <c r="I12" i="8" s="1"/>
  <c r="G11" i="8"/>
  <c r="F11" i="8"/>
  <c r="E11" i="8"/>
  <c r="D11" i="8"/>
  <c r="H11" i="8" s="1"/>
  <c r="I11" i="8" s="1"/>
  <c r="G10" i="8"/>
  <c r="F10" i="8"/>
  <c r="E10" i="8"/>
  <c r="D10" i="8"/>
  <c r="H10" i="8" s="1"/>
  <c r="I10" i="8" s="1"/>
  <c r="G9" i="8"/>
  <c r="F9" i="8"/>
  <c r="E9" i="8"/>
  <c r="D9" i="8"/>
  <c r="G8" i="8"/>
  <c r="F8" i="8"/>
  <c r="E8" i="8"/>
  <c r="D8" i="8"/>
  <c r="H8" i="8" s="1"/>
  <c r="I8" i="8" s="1"/>
  <c r="G7" i="8"/>
  <c r="F7" i="8"/>
  <c r="E7" i="8"/>
  <c r="D7" i="8"/>
  <c r="G6" i="8"/>
  <c r="F6" i="8"/>
  <c r="E6" i="8"/>
  <c r="D6" i="8"/>
  <c r="H6" i="8" s="1"/>
  <c r="I6" i="8" s="1"/>
  <c r="G5" i="8"/>
  <c r="F5" i="8"/>
  <c r="E5" i="8"/>
  <c r="D5" i="8"/>
  <c r="G4" i="8"/>
  <c r="G14" i="8" s="1"/>
  <c r="F4" i="8"/>
  <c r="F14" i="8" s="1"/>
  <c r="E4" i="8"/>
  <c r="E14" i="8" s="1"/>
  <c r="D4" i="8"/>
  <c r="H4" i="8" s="1"/>
  <c r="G13" i="7"/>
  <c r="F13" i="7"/>
  <c r="E13" i="7"/>
  <c r="D13" i="7"/>
  <c r="H13" i="7" s="1"/>
  <c r="G12" i="7"/>
  <c r="F12" i="7"/>
  <c r="E12" i="7"/>
  <c r="D12" i="7"/>
  <c r="H12" i="7" s="1"/>
  <c r="H11" i="7"/>
  <c r="G11" i="7"/>
  <c r="F11" i="7"/>
  <c r="E11" i="7"/>
  <c r="D11" i="7"/>
  <c r="G10" i="7"/>
  <c r="F10" i="7"/>
  <c r="E10" i="7"/>
  <c r="H10" i="7" s="1"/>
  <c r="D10" i="7"/>
  <c r="G9" i="7"/>
  <c r="F9" i="7"/>
  <c r="E9" i="7"/>
  <c r="D9" i="7"/>
  <c r="H9" i="7" s="1"/>
  <c r="G8" i="7"/>
  <c r="F8" i="7"/>
  <c r="E8" i="7"/>
  <c r="D8" i="7"/>
  <c r="H8" i="7" s="1"/>
  <c r="G7" i="7"/>
  <c r="F7" i="7"/>
  <c r="E7" i="7"/>
  <c r="D7" i="7"/>
  <c r="H7" i="7" s="1"/>
  <c r="K6" i="7"/>
  <c r="G6" i="7"/>
  <c r="F6" i="7"/>
  <c r="E6" i="7"/>
  <c r="D6" i="7"/>
  <c r="H6" i="7" s="1"/>
  <c r="K5" i="7"/>
  <c r="G5" i="7"/>
  <c r="F5" i="7"/>
  <c r="E5" i="7"/>
  <c r="D5" i="7"/>
  <c r="H5" i="7" s="1"/>
  <c r="K4" i="7"/>
  <c r="G4" i="7"/>
  <c r="H4" i="7" s="1"/>
  <c r="H14" i="7" s="1"/>
  <c r="F4" i="7"/>
  <c r="F14" i="7" s="1"/>
  <c r="E4" i="7"/>
  <c r="E14" i="7" s="1"/>
  <c r="D4" i="7"/>
  <c r="D14" i="7" s="1"/>
  <c r="K3" i="7"/>
  <c r="K7" i="7" s="1"/>
  <c r="CW331" i="5"/>
  <c r="CV331" i="5"/>
  <c r="CT331" i="5"/>
  <c r="CR331" i="5"/>
  <c r="CP331" i="5"/>
  <c r="CN331" i="5"/>
  <c r="CL331" i="5"/>
  <c r="CJ331" i="5"/>
  <c r="CH331" i="5"/>
  <c r="CF331" i="5"/>
  <c r="CE331" i="5"/>
  <c r="CD331" i="5"/>
  <c r="CC331" i="5"/>
  <c r="CB331" i="5"/>
  <c r="BZ331" i="5"/>
  <c r="BX331" i="5"/>
  <c r="BV331" i="5"/>
  <c r="BT331" i="5"/>
  <c r="BR331" i="5"/>
  <c r="BP331" i="5"/>
  <c r="BN331" i="5"/>
  <c r="BL331" i="5"/>
  <c r="BJ331" i="5"/>
  <c r="BH331" i="5"/>
  <c r="BF331" i="5"/>
  <c r="BD331" i="5"/>
  <c r="BB331" i="5"/>
  <c r="AZ331" i="5"/>
  <c r="AX331" i="5"/>
  <c r="H331" i="5"/>
  <c r="H334" i="5" s="1"/>
  <c r="G331" i="5"/>
  <c r="CK329" i="5"/>
  <c r="BU329" i="5"/>
  <c r="AY329" i="5"/>
  <c r="A329" i="5"/>
  <c r="CS328" i="5"/>
  <c r="CC328" i="5"/>
  <c r="BG328" i="5"/>
  <c r="A328" i="5"/>
  <c r="CK327" i="5"/>
  <c r="BU327" i="5"/>
  <c r="AY327" i="5"/>
  <c r="A327" i="5"/>
  <c r="CK326" i="5"/>
  <c r="BU326" i="5"/>
  <c r="AY326" i="5"/>
  <c r="A326" i="5"/>
  <c r="CK325" i="5"/>
  <c r="BU325" i="5"/>
  <c r="AY325" i="5"/>
  <c r="A325" i="5"/>
  <c r="CK324" i="5"/>
  <c r="BU324" i="5"/>
  <c r="AY324" i="5"/>
  <c r="A324" i="5"/>
  <c r="CK323" i="5"/>
  <c r="BU323" i="5"/>
  <c r="AY323" i="5"/>
  <c r="A323" i="5"/>
  <c r="CK322" i="5"/>
  <c r="BU322" i="5"/>
  <c r="AY322" i="5"/>
  <c r="A322" i="5"/>
  <c r="CK321" i="5"/>
  <c r="BU321" i="5"/>
  <c r="AY321" i="5"/>
  <c r="A321" i="5"/>
  <c r="CK320" i="5"/>
  <c r="BU320" i="5"/>
  <c r="AY320" i="5"/>
  <c r="A320" i="5"/>
  <c r="CK319" i="5"/>
  <c r="BU319" i="5"/>
  <c r="AY319" i="5"/>
  <c r="A319" i="5"/>
  <c r="CS318" i="5"/>
  <c r="BU318" i="5"/>
  <c r="AY318" i="5"/>
  <c r="A318" i="5"/>
  <c r="CK317" i="5"/>
  <c r="BU317" i="5"/>
  <c r="AY317" i="5"/>
  <c r="A317" i="5"/>
  <c r="CK316" i="5"/>
  <c r="BU316" i="5"/>
  <c r="AY316" i="5"/>
  <c r="A316" i="5"/>
  <c r="CK315" i="5"/>
  <c r="BU315" i="5"/>
  <c r="AY315" i="5"/>
  <c r="A315" i="5"/>
  <c r="CK314" i="5"/>
  <c r="BU314" i="5"/>
  <c r="AY314" i="5"/>
  <c r="A314" i="5"/>
  <c r="CM313" i="5"/>
  <c r="BU313" i="5"/>
  <c r="AY313" i="5"/>
  <c r="A313" i="5"/>
  <c r="CO312" i="5"/>
  <c r="BW312" i="5"/>
  <c r="AY312" i="5"/>
  <c r="A312" i="5"/>
  <c r="CK311" i="5"/>
  <c r="BU311" i="5"/>
  <c r="AY311" i="5"/>
  <c r="A311" i="5"/>
  <c r="CK310" i="5"/>
  <c r="BU310" i="5"/>
  <c r="AY310" i="5"/>
  <c r="A310" i="5"/>
  <c r="CK309" i="5"/>
  <c r="BU309" i="5"/>
  <c r="AY309" i="5"/>
  <c r="A309" i="5"/>
  <c r="CK308" i="5"/>
  <c r="BU308" i="5"/>
  <c r="AY308" i="5"/>
  <c r="A308" i="5"/>
  <c r="CK307" i="5"/>
  <c r="BU307" i="5"/>
  <c r="AY307" i="5"/>
  <c r="A307" i="5"/>
  <c r="CO306" i="5"/>
  <c r="BW306" i="5"/>
  <c r="AY306" i="5"/>
  <c r="A306" i="5"/>
  <c r="CK305" i="5"/>
  <c r="BU305" i="5"/>
  <c r="AY305" i="5"/>
  <c r="A305" i="5"/>
  <c r="CK304" i="5"/>
  <c r="BU304" i="5"/>
  <c r="AY304" i="5"/>
  <c r="A304" i="5"/>
  <c r="BO303" i="5"/>
  <c r="A303" i="5"/>
  <c r="A302" i="5"/>
  <c r="CK301" i="5"/>
  <c r="BW301" i="5"/>
  <c r="AY301" i="5"/>
  <c r="A301" i="5"/>
  <c r="CK300" i="5"/>
  <c r="BW300" i="5"/>
  <c r="AY300" i="5"/>
  <c r="A300" i="5"/>
  <c r="CO299" i="5"/>
  <c r="BW299" i="5"/>
  <c r="AY299" i="5"/>
  <c r="A299" i="5"/>
  <c r="CQ298" i="5"/>
  <c r="BW298" i="5"/>
  <c r="AY298" i="5"/>
  <c r="A298" i="5"/>
  <c r="CK297" i="5"/>
  <c r="BW297" i="5"/>
  <c r="AY297" i="5"/>
  <c r="A297" i="5"/>
  <c r="CK296" i="5"/>
  <c r="BW296" i="5"/>
  <c r="AY296" i="5"/>
  <c r="A296" i="5"/>
  <c r="CS295" i="5"/>
  <c r="BW295" i="5"/>
  <c r="AY295" i="5"/>
  <c r="A295" i="5"/>
  <c r="CS294" i="5"/>
  <c r="BW294" i="5"/>
  <c r="AY294" i="5"/>
  <c r="A294" i="5"/>
  <c r="CM293" i="5"/>
  <c r="BW293" i="5"/>
  <c r="AY293" i="5"/>
  <c r="A293" i="5"/>
  <c r="CQ292" i="5"/>
  <c r="BW292" i="5"/>
  <c r="AY292" i="5"/>
  <c r="A292" i="5"/>
  <c r="CK291" i="5"/>
  <c r="BW291" i="5"/>
  <c r="AY291" i="5"/>
  <c r="A291" i="5"/>
  <c r="CK290" i="5"/>
  <c r="BW290" i="5"/>
  <c r="AY290" i="5"/>
  <c r="A290" i="5"/>
  <c r="CK289" i="5"/>
  <c r="BW289" i="5"/>
  <c r="AY289" i="5"/>
  <c r="A289" i="5"/>
  <c r="CK288" i="5"/>
  <c r="BW288" i="5"/>
  <c r="BC288" i="5"/>
  <c r="A288" i="5"/>
  <c r="CK287" i="5"/>
  <c r="BW287" i="5"/>
  <c r="AY287" i="5"/>
  <c r="A287" i="5"/>
  <c r="CK286" i="5"/>
  <c r="BW286" i="5"/>
  <c r="AY286" i="5"/>
  <c r="A286" i="5"/>
  <c r="CK285" i="5"/>
  <c r="BU285" i="5"/>
  <c r="AY285" i="5"/>
  <c r="A285" i="5"/>
  <c r="A284" i="5"/>
  <c r="CS283" i="5"/>
  <c r="BY283" i="5"/>
  <c r="AY283" i="5"/>
  <c r="A283" i="5"/>
  <c r="CK282" i="5"/>
  <c r="BW282" i="5"/>
  <c r="AY282" i="5"/>
  <c r="A282" i="5"/>
  <c r="BO281" i="5"/>
  <c r="A281" i="5"/>
  <c r="CK280" i="5"/>
  <c r="BW280" i="5"/>
  <c r="AY280" i="5"/>
  <c r="A280" i="5"/>
  <c r="CQ279" i="5"/>
  <c r="BW279" i="5"/>
  <c r="BA279" i="5"/>
  <c r="A279" i="5"/>
  <c r="CG278" i="5"/>
  <c r="BG278" i="5"/>
  <c r="A278" i="5"/>
  <c r="CQ277" i="5"/>
  <c r="BY277" i="5"/>
  <c r="BA277" i="5"/>
  <c r="A277" i="5"/>
  <c r="CA276" i="5"/>
  <c r="BC276" i="5"/>
  <c r="A276" i="5"/>
  <c r="CQ275" i="5"/>
  <c r="BY275" i="5"/>
  <c r="BA275" i="5"/>
  <c r="A275" i="5"/>
  <c r="BK274" i="5"/>
  <c r="A274" i="5"/>
  <c r="CQ273" i="5"/>
  <c r="BY273" i="5"/>
  <c r="BA273" i="5"/>
  <c r="A273" i="5"/>
  <c r="A272" i="5"/>
  <c r="CQ271" i="5"/>
  <c r="BW271" i="5"/>
  <c r="BA271" i="5"/>
  <c r="A271" i="5"/>
  <c r="CK270" i="5"/>
  <c r="BU270" i="5"/>
  <c r="AY270" i="5"/>
  <c r="A270" i="5"/>
  <c r="CK269" i="5"/>
  <c r="BU269" i="5"/>
  <c r="AY269" i="5"/>
  <c r="A269" i="5"/>
  <c r="CK268" i="5"/>
  <c r="BU268" i="5"/>
  <c r="AY268" i="5"/>
  <c r="A268" i="5"/>
  <c r="CK267" i="5"/>
  <c r="BU267" i="5"/>
  <c r="AY267" i="5"/>
  <c r="A267" i="5"/>
  <c r="CS266" i="5"/>
  <c r="BY266" i="5"/>
  <c r="BE266" i="5"/>
  <c r="A266" i="5"/>
  <c r="CK265" i="5"/>
  <c r="BU265" i="5"/>
  <c r="AY265" i="5"/>
  <c r="A265" i="5"/>
  <c r="CK264" i="5"/>
  <c r="BU264" i="5"/>
  <c r="AY264" i="5"/>
  <c r="A264" i="5"/>
  <c r="CK263" i="5"/>
  <c r="BU263" i="5"/>
  <c r="AY263" i="5"/>
  <c r="A263" i="5"/>
  <c r="CK262" i="5"/>
  <c r="BU262" i="5"/>
  <c r="AY262" i="5"/>
  <c r="A262" i="5"/>
  <c r="CK261" i="5"/>
  <c r="BU261" i="5"/>
  <c r="AY261" i="5"/>
  <c r="A261" i="5"/>
  <c r="CK260" i="5"/>
  <c r="BU260" i="5"/>
  <c r="AY260" i="5"/>
  <c r="A260" i="5"/>
  <c r="CM259" i="5"/>
  <c r="BW259" i="5"/>
  <c r="BC259" i="5"/>
  <c r="A259" i="5"/>
  <c r="CQ258" i="5"/>
  <c r="BY258" i="5"/>
  <c r="BG258" i="5"/>
  <c r="A258" i="5"/>
  <c r="CS257" i="5"/>
  <c r="BU257" i="5"/>
  <c r="AY257" i="5"/>
  <c r="A257" i="5"/>
  <c r="CO256" i="5"/>
  <c r="BU256" i="5"/>
  <c r="AY256" i="5"/>
  <c r="A256" i="5"/>
  <c r="CS255" i="5"/>
  <c r="BW255" i="5"/>
  <c r="BC255" i="5"/>
  <c r="A255" i="5"/>
  <c r="CK254" i="5"/>
  <c r="BU254" i="5"/>
  <c r="AY254" i="5"/>
  <c r="A254" i="5"/>
  <c r="CS253" i="5"/>
  <c r="BY253" i="5"/>
  <c r="BA253" i="5"/>
  <c r="A253" i="5"/>
  <c r="CI252" i="5"/>
  <c r="BO252" i="5"/>
  <c r="A252" i="5"/>
  <c r="CU251" i="5"/>
  <c r="BU251" i="5"/>
  <c r="AY251" i="5"/>
  <c r="A251" i="5"/>
  <c r="CU250" i="5"/>
  <c r="BY250" i="5"/>
  <c r="BI250" i="5"/>
  <c r="A250" i="5"/>
  <c r="CU249" i="5"/>
  <c r="CE249" i="5"/>
  <c r="BM249" i="5"/>
  <c r="BM331" i="5" s="1"/>
  <c r="A249" i="5"/>
  <c r="CI248" i="5"/>
  <c r="BO248" i="5"/>
  <c r="A248" i="5"/>
  <c r="CQ247" i="5"/>
  <c r="BW247" i="5"/>
  <c r="BC247" i="5"/>
  <c r="A247" i="5"/>
  <c r="CK246" i="5"/>
  <c r="BW246" i="5"/>
  <c r="BC246" i="5"/>
  <c r="A246" i="5"/>
  <c r="CU245" i="5"/>
  <c r="BW245" i="5"/>
  <c r="BA245" i="5"/>
  <c r="A245" i="5"/>
  <c r="CS244" i="5"/>
  <c r="BW244" i="5"/>
  <c r="BC244" i="5"/>
  <c r="A244" i="5"/>
  <c r="CK243" i="5"/>
  <c r="BW243" i="5"/>
  <c r="BE243" i="5"/>
  <c r="A243" i="5"/>
  <c r="CS242" i="5"/>
  <c r="BW242" i="5"/>
  <c r="BC242" i="5"/>
  <c r="A242" i="5"/>
  <c r="CW241" i="5"/>
  <c r="BY241" i="5"/>
  <c r="BC241" i="5"/>
  <c r="A241" i="5"/>
  <c r="CK240" i="5"/>
  <c r="BU240" i="5"/>
  <c r="AY240" i="5"/>
  <c r="A240" i="5"/>
  <c r="CM239" i="5"/>
  <c r="BU239" i="5"/>
  <c r="AY239" i="5"/>
  <c r="A239" i="5"/>
  <c r="CO238" i="5"/>
  <c r="BU238" i="5"/>
  <c r="AY238" i="5"/>
  <c r="A238" i="5"/>
  <c r="CQ237" i="5"/>
  <c r="BU237" i="5"/>
  <c r="AY237" i="5"/>
  <c r="A237" i="5"/>
  <c r="CS236" i="5"/>
  <c r="BW236" i="5"/>
  <c r="AY236" i="5"/>
  <c r="A236" i="5"/>
  <c r="CQ235" i="5"/>
  <c r="BU235" i="5"/>
  <c r="AY235" i="5"/>
  <c r="A235" i="5"/>
  <c r="CK234" i="5"/>
  <c r="BU234" i="5"/>
  <c r="AY234" i="5"/>
  <c r="A234" i="5"/>
  <c r="CK233" i="5"/>
  <c r="BU233" i="5"/>
  <c r="AY233" i="5"/>
  <c r="A233" i="5"/>
  <c r="CK232" i="5"/>
  <c r="BU232" i="5"/>
  <c r="AY232" i="5"/>
  <c r="A232" i="5"/>
  <c r="CU231" i="5"/>
  <c r="BY231" i="5"/>
  <c r="AY231" i="5"/>
  <c r="A231" i="5"/>
  <c r="CS230" i="5"/>
  <c r="BW230" i="5"/>
  <c r="BC230" i="5"/>
  <c r="A230" i="5"/>
  <c r="CQ229" i="5"/>
  <c r="BW229" i="5"/>
  <c r="AY229" i="5"/>
  <c r="A229" i="5"/>
  <c r="CI228" i="5"/>
  <c r="BK228" i="5"/>
  <c r="A228" i="5"/>
  <c r="CU227" i="5"/>
  <c r="BY227" i="5"/>
  <c r="BC227" i="5"/>
  <c r="A227" i="5"/>
  <c r="CQ226" i="5"/>
  <c r="BY226" i="5"/>
  <c r="AY226" i="5"/>
  <c r="A226" i="5"/>
  <c r="CQ225" i="5"/>
  <c r="BW225" i="5"/>
  <c r="AY225" i="5"/>
  <c r="A225" i="5"/>
  <c r="CM224" i="5"/>
  <c r="BW224" i="5"/>
  <c r="AY224" i="5"/>
  <c r="A224" i="5"/>
  <c r="CQ223" i="5"/>
  <c r="BW223" i="5"/>
  <c r="BA223" i="5"/>
  <c r="A223" i="5"/>
  <c r="CU222" i="5"/>
  <c r="BY222" i="5"/>
  <c r="BG222" i="5"/>
  <c r="A222" i="5"/>
  <c r="CM221" i="5"/>
  <c r="BW221" i="5"/>
  <c r="BC221" i="5"/>
  <c r="A221" i="5"/>
  <c r="CQ220" i="5"/>
  <c r="BY220" i="5"/>
  <c r="BA220" i="5"/>
  <c r="A220" i="5"/>
  <c r="CK219" i="5"/>
  <c r="BU219" i="5"/>
  <c r="BA219" i="5"/>
  <c r="A219" i="5"/>
  <c r="CK218" i="5"/>
  <c r="BU218" i="5"/>
  <c r="BA218" i="5"/>
  <c r="A218" i="5"/>
  <c r="CU217" i="5"/>
  <c r="BY217" i="5"/>
  <c r="BC217" i="5"/>
  <c r="A217" i="5"/>
  <c r="CK216" i="5"/>
  <c r="BU216" i="5"/>
  <c r="AY216" i="5"/>
  <c r="A216" i="5"/>
  <c r="CQ215" i="5"/>
  <c r="BW215" i="5"/>
  <c r="BC215" i="5"/>
  <c r="A215" i="5"/>
  <c r="CS214" i="5"/>
  <c r="BY214" i="5"/>
  <c r="AY214" i="5"/>
  <c r="A214" i="5"/>
  <c r="BK213" i="5"/>
  <c r="A213" i="5"/>
  <c r="A212" i="5"/>
  <c r="BC211" i="5"/>
  <c r="A211" i="5"/>
  <c r="CK210" i="5"/>
  <c r="BU210" i="5"/>
  <c r="AY210" i="5"/>
  <c r="A210" i="5"/>
  <c r="AY209" i="5"/>
  <c r="A209" i="5"/>
  <c r="CK208" i="5"/>
  <c r="BU208" i="5"/>
  <c r="AY208" i="5"/>
  <c r="A208" i="5"/>
  <c r="CK207" i="5"/>
  <c r="BU207" i="5"/>
  <c r="AY207" i="5"/>
  <c r="A207" i="5"/>
  <c r="CK206" i="5"/>
  <c r="BU206" i="5"/>
  <c r="BA206" i="5"/>
  <c r="A206" i="5"/>
  <c r="CK205" i="5"/>
  <c r="BU205" i="5"/>
  <c r="AY205" i="5"/>
  <c r="A205" i="5"/>
  <c r="CU204" i="5"/>
  <c r="BW204" i="5"/>
  <c r="BC204" i="5"/>
  <c r="A204" i="5"/>
  <c r="BS203" i="5"/>
  <c r="A203" i="5"/>
  <c r="CQ202" i="5"/>
  <c r="BW202" i="5"/>
  <c r="AY202" i="5"/>
  <c r="A202" i="5"/>
  <c r="BY201" i="5"/>
  <c r="BI201" i="5"/>
  <c r="A201" i="5"/>
  <c r="BQ200" i="5"/>
  <c r="A200" i="5"/>
  <c r="CM199" i="5"/>
  <c r="BW199" i="5"/>
  <c r="BE199" i="5"/>
  <c r="A199" i="5"/>
  <c r="BY198" i="5"/>
  <c r="BI198" i="5"/>
  <c r="A198" i="5"/>
  <c r="CS197" i="5"/>
  <c r="CC197" i="5"/>
  <c r="BG197" i="5"/>
  <c r="A197" i="5"/>
  <c r="CS196" i="5"/>
  <c r="BY196" i="5"/>
  <c r="BI196" i="5"/>
  <c r="A196" i="5"/>
  <c r="CE195" i="5"/>
  <c r="BC195" i="5"/>
  <c r="A195" i="5"/>
  <c r="CS194" i="5"/>
  <c r="BU194" i="5"/>
  <c r="AY194" i="5"/>
  <c r="A194" i="5"/>
  <c r="CO193" i="5"/>
  <c r="BU193" i="5"/>
  <c r="AY193" i="5"/>
  <c r="A193" i="5"/>
  <c r="CU192" i="5"/>
  <c r="BW192" i="5"/>
  <c r="BC192" i="5"/>
  <c r="A192" i="5"/>
  <c r="CS191" i="5"/>
  <c r="CA191" i="5"/>
  <c r="BG191" i="5"/>
  <c r="A191" i="5"/>
  <c r="CI190" i="5"/>
  <c r="BK190" i="5"/>
  <c r="A190" i="5"/>
  <c r="CE189" i="5"/>
  <c r="BI189" i="5"/>
  <c r="A189" i="5"/>
  <c r="CO188" i="5"/>
  <c r="BW188" i="5"/>
  <c r="BC188" i="5"/>
  <c r="A188" i="5"/>
  <c r="CO187" i="5"/>
  <c r="BW187" i="5"/>
  <c r="BC187" i="5"/>
  <c r="A187" i="5"/>
  <c r="CK186" i="5"/>
  <c r="BU186" i="5"/>
  <c r="BA186" i="5"/>
  <c r="A186" i="5"/>
  <c r="CE185" i="5"/>
  <c r="BK185" i="5"/>
  <c r="A185" i="5"/>
  <c r="CQ184" i="5"/>
  <c r="CA184" i="5"/>
  <c r="BC184" i="5"/>
  <c r="A184" i="5"/>
  <c r="CK183" i="5"/>
  <c r="BU183" i="5"/>
  <c r="AY183" i="5"/>
  <c r="A183" i="5"/>
  <c r="CQ182" i="5"/>
  <c r="CA182" i="5"/>
  <c r="BI182" i="5"/>
  <c r="A182" i="5"/>
  <c r="CK181" i="5"/>
  <c r="BU181" i="5"/>
  <c r="AY181" i="5"/>
  <c r="A181" i="5"/>
  <c r="CU180" i="5"/>
  <c r="CG180" i="5"/>
  <c r="CG331" i="5" s="1"/>
  <c r="BK180" i="5"/>
  <c r="A180" i="5"/>
  <c r="CM179" i="5"/>
  <c r="BW179" i="5"/>
  <c r="BC179" i="5"/>
  <c r="A179" i="5"/>
  <c r="CQ178" i="5"/>
  <c r="BU178" i="5"/>
  <c r="BA178" i="5"/>
  <c r="A178" i="5"/>
  <c r="CI177" i="5"/>
  <c r="BO177" i="5"/>
  <c r="A177" i="5"/>
  <c r="CK176" i="5"/>
  <c r="BU176" i="5"/>
  <c r="AY176" i="5"/>
  <c r="A176" i="5"/>
  <c r="A175" i="5"/>
  <c r="CS174" i="5"/>
  <c r="BW174" i="5"/>
  <c r="BE174" i="5"/>
  <c r="A174" i="5"/>
  <c r="CQ173" i="5"/>
  <c r="BW173" i="5"/>
  <c r="BC173" i="5"/>
  <c r="A173" i="5"/>
  <c r="CK172" i="5"/>
  <c r="BW172" i="5"/>
  <c r="BE172" i="5"/>
  <c r="A172" i="5"/>
  <c r="CK171" i="5"/>
  <c r="BU171" i="5"/>
  <c r="AY171" i="5"/>
  <c r="A171" i="5"/>
  <c r="CK170" i="5"/>
  <c r="BU170" i="5"/>
  <c r="BA170" i="5"/>
  <c r="A170" i="5"/>
  <c r="CK169" i="5"/>
  <c r="BU169" i="5"/>
  <c r="AY169" i="5"/>
  <c r="A169" i="5"/>
  <c r="CK168" i="5"/>
  <c r="BU168" i="5"/>
  <c r="AY168" i="5"/>
  <c r="A168" i="5"/>
  <c r="CS167" i="5"/>
  <c r="BY167" i="5"/>
  <c r="BE167" i="5"/>
  <c r="A167" i="5"/>
  <c r="CU166" i="5"/>
  <c r="BY166" i="5"/>
  <c r="BC166" i="5"/>
  <c r="A166" i="5"/>
  <c r="CK165" i="5"/>
  <c r="BW165" i="5"/>
  <c r="BC165" i="5"/>
  <c r="A165" i="5"/>
  <c r="CO164" i="5"/>
  <c r="BW164" i="5"/>
  <c r="BC164" i="5"/>
  <c r="A164" i="5"/>
  <c r="CM163" i="5"/>
  <c r="BU163" i="5"/>
  <c r="AY163" i="5"/>
  <c r="A163" i="5"/>
  <c r="CQ162" i="5"/>
  <c r="BY162" i="5"/>
  <c r="BE162" i="5"/>
  <c r="A162" i="5"/>
  <c r="CK161" i="5"/>
  <c r="BW161" i="5"/>
  <c r="BC161" i="5"/>
  <c r="A161" i="5"/>
  <c r="CQ160" i="5"/>
  <c r="BY160" i="5"/>
  <c r="AY160" i="5"/>
  <c r="A160" i="5"/>
  <c r="CK159" i="5"/>
  <c r="BU159" i="5"/>
  <c r="AY159" i="5"/>
  <c r="A159" i="5"/>
  <c r="CO158" i="5"/>
  <c r="BU158" i="5"/>
  <c r="AY158" i="5"/>
  <c r="A158" i="5"/>
  <c r="CK157" i="5"/>
  <c r="BW157" i="5"/>
  <c r="BC157" i="5"/>
  <c r="A157" i="5"/>
  <c r="CQ156" i="5"/>
  <c r="BU156" i="5"/>
  <c r="AY156" i="5"/>
  <c r="A156" i="5"/>
  <c r="A155" i="5"/>
  <c r="CU154" i="5"/>
  <c r="CE154" i="5"/>
  <c r="BK154" i="5"/>
  <c r="A154" i="5"/>
  <c r="CQ153" i="5"/>
  <c r="BY153" i="5"/>
  <c r="BI153" i="5"/>
  <c r="A153" i="5"/>
  <c r="A152" i="5"/>
  <c r="CS151" i="5"/>
  <c r="BY151" i="5"/>
  <c r="BA151" i="5"/>
  <c r="A151" i="5"/>
  <c r="CK150" i="5"/>
  <c r="BU150" i="5"/>
  <c r="BC150" i="5"/>
  <c r="A150" i="5"/>
  <c r="CS149" i="5"/>
  <c r="BY149" i="5"/>
  <c r="BC149" i="5"/>
  <c r="A149" i="5"/>
  <c r="CU148" i="5"/>
  <c r="BY148" i="5"/>
  <c r="BE148" i="5"/>
  <c r="A148" i="5"/>
  <c r="CU147" i="5"/>
  <c r="CE147" i="5"/>
  <c r="BI147" i="5"/>
  <c r="A147" i="5"/>
  <c r="CO146" i="5"/>
  <c r="BW146" i="5"/>
  <c r="BC146" i="5"/>
  <c r="A146" i="5"/>
  <c r="CU145" i="5"/>
  <c r="CE145" i="5"/>
  <c r="BE145" i="5"/>
  <c r="A145" i="5"/>
  <c r="CS144" i="5"/>
  <c r="BY144" i="5"/>
  <c r="BE144" i="5"/>
  <c r="A144" i="5"/>
  <c r="A143" i="5"/>
  <c r="CS142" i="5"/>
  <c r="BW142" i="5"/>
  <c r="BA142" i="5"/>
  <c r="A142" i="5"/>
  <c r="A141" i="5"/>
  <c r="CK140" i="5"/>
  <c r="BU140" i="5"/>
  <c r="BC140" i="5"/>
  <c r="A140" i="5"/>
  <c r="CS139" i="5"/>
  <c r="BW139" i="5"/>
  <c r="BC139" i="5"/>
  <c r="A139" i="5"/>
  <c r="A138" i="5"/>
  <c r="CS137" i="5"/>
  <c r="CC137" i="5"/>
  <c r="BC137" i="5"/>
  <c r="A137" i="5"/>
  <c r="BK136" i="5"/>
  <c r="A136" i="5"/>
  <c r="CU135" i="5"/>
  <c r="BY135" i="5"/>
  <c r="BE135" i="5"/>
  <c r="A135" i="5"/>
  <c r="CK134" i="5"/>
  <c r="BU134" i="5"/>
  <c r="AY134" i="5"/>
  <c r="A134" i="5"/>
  <c r="CK133" i="5"/>
  <c r="BU133" i="5"/>
  <c r="BA133" i="5"/>
  <c r="A133" i="5"/>
  <c r="CI132" i="5"/>
  <c r="BO132" i="5"/>
  <c r="A132" i="5"/>
  <c r="CO131" i="5"/>
  <c r="BU131" i="5"/>
  <c r="AY131" i="5"/>
  <c r="A131" i="5"/>
  <c r="CM130" i="5"/>
  <c r="BU130" i="5"/>
  <c r="BA130" i="5"/>
  <c r="A130" i="5"/>
  <c r="CQ129" i="5"/>
  <c r="BW129" i="5"/>
  <c r="AY129" i="5"/>
  <c r="A129" i="5"/>
  <c r="CK128" i="5"/>
  <c r="BU128" i="5"/>
  <c r="BC128" i="5"/>
  <c r="A128" i="5"/>
  <c r="CS127" i="5"/>
  <c r="BW127" i="5"/>
  <c r="BE127" i="5"/>
  <c r="A127" i="5"/>
  <c r="CK126" i="5"/>
  <c r="BU126" i="5"/>
  <c r="BA126" i="5"/>
  <c r="A126" i="5"/>
  <c r="CK125" i="5"/>
  <c r="BU125" i="5"/>
  <c r="BA125" i="5"/>
  <c r="A125" i="5"/>
  <c r="CS124" i="5"/>
  <c r="CC124" i="5"/>
  <c r="AY124" i="5"/>
  <c r="A124" i="5"/>
  <c r="CK123" i="5"/>
  <c r="BW123" i="5"/>
  <c r="BC123" i="5"/>
  <c r="A123" i="5"/>
  <c r="CU122" i="5"/>
  <c r="BY122" i="5"/>
  <c r="BG122" i="5"/>
  <c r="A122" i="5"/>
  <c r="CQ121" i="5"/>
  <c r="BY121" i="5"/>
  <c r="BC121" i="5"/>
  <c r="A121" i="5"/>
  <c r="CS120" i="5"/>
  <c r="BW120" i="5"/>
  <c r="BA120" i="5"/>
  <c r="A120" i="5"/>
  <c r="CU119" i="5"/>
  <c r="BY119" i="5"/>
  <c r="BE119" i="5"/>
  <c r="A119" i="5"/>
  <c r="CQ118" i="5"/>
  <c r="BW118" i="5"/>
  <c r="BC118" i="5"/>
  <c r="A118" i="5"/>
  <c r="CK117" i="5"/>
  <c r="BU117" i="5"/>
  <c r="AY117" i="5"/>
  <c r="A117" i="5"/>
  <c r="CU116" i="5"/>
  <c r="CA116" i="5"/>
  <c r="BC116" i="5"/>
  <c r="A116" i="5"/>
  <c r="BO115" i="5"/>
  <c r="A115" i="5"/>
  <c r="BS114" i="5"/>
  <c r="A114" i="5"/>
  <c r="CU113" i="5"/>
  <c r="BY113" i="5"/>
  <c r="BI113" i="5"/>
  <c r="A113" i="5"/>
  <c r="CO112" i="5"/>
  <c r="BW112" i="5"/>
  <c r="BC112" i="5"/>
  <c r="A112" i="5"/>
  <c r="CU111" i="5"/>
  <c r="CA111" i="5"/>
  <c r="BG111" i="5"/>
  <c r="A111" i="5"/>
  <c r="CE110" i="5"/>
  <c r="BE110" i="5"/>
  <c r="A110" i="5"/>
  <c r="CU109" i="5"/>
  <c r="CE109" i="5"/>
  <c r="BE109" i="5"/>
  <c r="A109" i="5"/>
  <c r="CK108" i="5"/>
  <c r="BW108" i="5"/>
  <c r="BA108" i="5"/>
  <c r="A108" i="5"/>
  <c r="CU107" i="5"/>
  <c r="CA107" i="5"/>
  <c r="CA331" i="5" s="1"/>
  <c r="BG107" i="5"/>
  <c r="A107" i="5"/>
  <c r="CS106" i="5"/>
  <c r="BW106" i="5"/>
  <c r="BC106" i="5"/>
  <c r="A106" i="5"/>
  <c r="CQ105" i="5"/>
  <c r="BW105" i="5"/>
  <c r="BC105" i="5"/>
  <c r="A105" i="5"/>
  <c r="BY104" i="5"/>
  <c r="BI104" i="5"/>
  <c r="A104" i="5"/>
  <c r="CE103" i="5"/>
  <c r="BE103" i="5"/>
  <c r="A103" i="5"/>
  <c r="CI102" i="5"/>
  <c r="BQ102" i="5"/>
  <c r="BQ331" i="5" s="1"/>
  <c r="A102" i="5"/>
  <c r="CK101" i="5"/>
  <c r="BW101" i="5"/>
  <c r="BG101" i="5"/>
  <c r="A101" i="5"/>
  <c r="CU100" i="5"/>
  <c r="CC100" i="5"/>
  <c r="BI100" i="5"/>
  <c r="A100" i="5"/>
  <c r="CQ99" i="5"/>
  <c r="BY99" i="5"/>
  <c r="BI99" i="5"/>
  <c r="A99" i="5"/>
  <c r="CK98" i="5"/>
  <c r="BU98" i="5"/>
  <c r="AY98" i="5"/>
  <c r="A98" i="5"/>
  <c r="CS97" i="5"/>
  <c r="BY97" i="5"/>
  <c r="BI97" i="5"/>
  <c r="A97" i="5"/>
  <c r="CO96" i="5"/>
  <c r="BW96" i="5"/>
  <c r="BC96" i="5"/>
  <c r="A96" i="5"/>
  <c r="CU95" i="5"/>
  <c r="CE95" i="5"/>
  <c r="BK95" i="5"/>
  <c r="BK331" i="5" s="1"/>
  <c r="A95" i="5"/>
  <c r="CK94" i="5"/>
  <c r="BW94" i="5"/>
  <c r="AY94" i="5"/>
  <c r="A94" i="5"/>
  <c r="CK93" i="5"/>
  <c r="BW93" i="5"/>
  <c r="AY93" i="5"/>
  <c r="A93" i="5"/>
  <c r="CK92" i="5"/>
  <c r="BU92" i="5"/>
  <c r="AY92" i="5"/>
  <c r="A92" i="5"/>
  <c r="CK91" i="5"/>
  <c r="BU91" i="5"/>
  <c r="AY91" i="5"/>
  <c r="A91" i="5"/>
  <c r="CQ90" i="5"/>
  <c r="BW90" i="5"/>
  <c r="BC90" i="5"/>
  <c r="A90" i="5"/>
  <c r="CS89" i="5"/>
  <c r="BW89" i="5"/>
  <c r="BC89" i="5"/>
  <c r="A89" i="5"/>
  <c r="CQ88" i="5"/>
  <c r="BW88" i="5"/>
  <c r="BA88" i="5"/>
  <c r="A88" i="5"/>
  <c r="CQ87" i="5"/>
  <c r="CC87" i="5"/>
  <c r="BC87" i="5"/>
  <c r="A87" i="5"/>
  <c r="CK86" i="5"/>
  <c r="BW86" i="5"/>
  <c r="AY86" i="5"/>
  <c r="A86" i="5"/>
  <c r="CK85" i="5"/>
  <c r="BU85" i="5"/>
  <c r="AY85" i="5"/>
  <c r="A85" i="5"/>
  <c r="CQ84" i="5"/>
  <c r="BY84" i="5"/>
  <c r="BC84" i="5"/>
  <c r="A84" i="5"/>
  <c r="CQ83" i="5"/>
  <c r="BW83" i="5"/>
  <c r="BC83" i="5"/>
  <c r="A83" i="5"/>
  <c r="CQ82" i="5"/>
  <c r="BW82" i="5"/>
  <c r="AY82" i="5"/>
  <c r="A82" i="5"/>
  <c r="CS81" i="5"/>
  <c r="BW81" i="5"/>
  <c r="AY81" i="5"/>
  <c r="A81" i="5"/>
  <c r="CK80" i="5"/>
  <c r="BU80" i="5"/>
  <c r="AY80" i="5"/>
  <c r="A80" i="5"/>
  <c r="CS79" i="5"/>
  <c r="BY79" i="5"/>
  <c r="BA79" i="5"/>
  <c r="A79" i="5"/>
  <c r="CQ78" i="5"/>
  <c r="BU78" i="5"/>
  <c r="AY78" i="5"/>
  <c r="A78" i="5"/>
  <c r="CM77" i="5"/>
  <c r="BU77" i="5"/>
  <c r="AY77" i="5"/>
  <c r="A77" i="5"/>
  <c r="CM76" i="5"/>
  <c r="CM331" i="5" s="1"/>
  <c r="BU76" i="5"/>
  <c r="AY76" i="5"/>
  <c r="A76" i="5"/>
  <c r="CK75" i="5"/>
  <c r="BU75" i="5"/>
  <c r="AY75" i="5"/>
  <c r="A75" i="5"/>
  <c r="CU74" i="5"/>
  <c r="BY74" i="5"/>
  <c r="BC74" i="5"/>
  <c r="A74" i="5"/>
  <c r="CK73" i="5"/>
  <c r="BU73" i="5"/>
  <c r="AY73" i="5"/>
  <c r="A73" i="5"/>
  <c r="BS72" i="5"/>
  <c r="BS331" i="5" s="1"/>
  <c r="A72" i="5"/>
  <c r="CS71" i="5"/>
  <c r="BW71" i="5"/>
  <c r="BA71" i="5"/>
  <c r="A71" i="5"/>
  <c r="CS70" i="5"/>
  <c r="BY70" i="5"/>
  <c r="BE70" i="5"/>
  <c r="A70" i="5"/>
  <c r="CS69" i="5"/>
  <c r="BY69" i="5"/>
  <c r="BC69" i="5"/>
  <c r="A69" i="5"/>
  <c r="CK68" i="5"/>
  <c r="BW68" i="5"/>
  <c r="BC68" i="5"/>
  <c r="A68" i="5"/>
  <c r="CU67" i="5"/>
  <c r="BY67" i="5"/>
  <c r="BC67" i="5"/>
  <c r="A67" i="5"/>
  <c r="CK66" i="5"/>
  <c r="BU66" i="5"/>
  <c r="AY66" i="5"/>
  <c r="A66" i="5"/>
  <c r="CS65" i="5"/>
  <c r="BY65" i="5"/>
  <c r="BC65" i="5"/>
  <c r="A65" i="5"/>
  <c r="CU64" i="5"/>
  <c r="BW64" i="5"/>
  <c r="AY64" i="5"/>
  <c r="A64" i="5"/>
  <c r="CI63" i="5"/>
  <c r="CI331" i="5" s="1"/>
  <c r="BO63" i="5"/>
  <c r="BO331" i="5" s="1"/>
  <c r="A63" i="5"/>
  <c r="CS62" i="5"/>
  <c r="BY62" i="5"/>
  <c r="BG62" i="5"/>
  <c r="A62" i="5"/>
  <c r="CU61" i="5"/>
  <c r="BY61" i="5"/>
  <c r="BG61" i="5"/>
  <c r="BG331" i="5" s="1"/>
  <c r="A61" i="5"/>
  <c r="CK60" i="5"/>
  <c r="BW60" i="5"/>
  <c r="AY60" i="5"/>
  <c r="A60" i="5"/>
  <c r="CK59" i="5"/>
  <c r="BW59" i="5"/>
  <c r="BC59" i="5"/>
  <c r="A59" i="5"/>
  <c r="CU58" i="5"/>
  <c r="BY58" i="5"/>
  <c r="BE58" i="5"/>
  <c r="BE331" i="5" s="1"/>
  <c r="A58" i="5"/>
  <c r="CK57" i="5"/>
  <c r="BW57" i="5"/>
  <c r="BC57" i="5"/>
  <c r="A57" i="5"/>
  <c r="CO56" i="5"/>
  <c r="CO331" i="5" s="1"/>
  <c r="BU56" i="5"/>
  <c r="BC56" i="5"/>
  <c r="A56" i="5"/>
  <c r="CS55" i="5"/>
  <c r="CC55" i="5"/>
  <c r="BI55" i="5"/>
  <c r="BI331" i="5" s="1"/>
  <c r="A55" i="5"/>
  <c r="CK54" i="5"/>
  <c r="BU54" i="5"/>
  <c r="AY54" i="5"/>
  <c r="A54" i="5"/>
  <c r="CK53" i="5"/>
  <c r="BU53" i="5"/>
  <c r="AY53" i="5"/>
  <c r="A53" i="5"/>
  <c r="CK52" i="5"/>
  <c r="BU52" i="5"/>
  <c r="AY52" i="5"/>
  <c r="A52" i="5"/>
  <c r="CK51" i="5"/>
  <c r="BU51" i="5"/>
  <c r="AY51" i="5"/>
  <c r="A51" i="5"/>
  <c r="CK50" i="5"/>
  <c r="BU50" i="5"/>
  <c r="AY50" i="5"/>
  <c r="A50" i="5"/>
  <c r="CK49" i="5"/>
  <c r="BU49" i="5"/>
  <c r="AY49" i="5"/>
  <c r="A49" i="5"/>
  <c r="CK48" i="5"/>
  <c r="BU48" i="5"/>
  <c r="AY48" i="5"/>
  <c r="A48" i="5"/>
  <c r="CK47" i="5"/>
  <c r="BU47" i="5"/>
  <c r="AY47" i="5"/>
  <c r="A47" i="5"/>
  <c r="CK46" i="5"/>
  <c r="BU46" i="5"/>
  <c r="AY46" i="5"/>
  <c r="A46" i="5"/>
  <c r="CK45" i="5"/>
  <c r="BU45" i="5"/>
  <c r="AY45" i="5"/>
  <c r="A45" i="5"/>
  <c r="CK44" i="5"/>
  <c r="BU44" i="5"/>
  <c r="AY44" i="5"/>
  <c r="A44" i="5"/>
  <c r="CK43" i="5"/>
  <c r="BU43" i="5"/>
  <c r="AY43" i="5"/>
  <c r="A43" i="5"/>
  <c r="CK42" i="5"/>
  <c r="BU42" i="5"/>
  <c r="AY42" i="5"/>
  <c r="A42" i="5"/>
  <c r="CK41" i="5"/>
  <c r="BU41" i="5"/>
  <c r="AY41" i="5"/>
  <c r="A41" i="5"/>
  <c r="CK40" i="5"/>
  <c r="BU40" i="5"/>
  <c r="AY40" i="5"/>
  <c r="A40" i="5"/>
  <c r="CQ39" i="5"/>
  <c r="BW39" i="5"/>
  <c r="BC39" i="5"/>
  <c r="A39" i="5"/>
  <c r="CK38" i="5"/>
  <c r="BU38" i="5"/>
  <c r="AY38" i="5"/>
  <c r="A38" i="5"/>
  <c r="CK37" i="5"/>
  <c r="BU37" i="5"/>
  <c r="AY37" i="5"/>
  <c r="A37" i="5"/>
  <c r="CK36" i="5"/>
  <c r="BU36" i="5"/>
  <c r="AY36" i="5"/>
  <c r="A36" i="5"/>
  <c r="CS35" i="5"/>
  <c r="BW35" i="5"/>
  <c r="AY35" i="5"/>
  <c r="A35" i="5"/>
  <c r="A34" i="5"/>
  <c r="A33" i="5"/>
  <c r="CU32" i="5"/>
  <c r="CU331" i="5" s="1"/>
  <c r="BY32" i="5"/>
  <c r="BC32" i="5"/>
  <c r="A32" i="5"/>
  <c r="CK31" i="5"/>
  <c r="BU31" i="5"/>
  <c r="AY31" i="5"/>
  <c r="A31" i="5"/>
  <c r="CK30" i="5"/>
  <c r="BU30" i="5"/>
  <c r="AY30" i="5"/>
  <c r="A30" i="5"/>
  <c r="CK29" i="5"/>
  <c r="BU29" i="5"/>
  <c r="AY29" i="5"/>
  <c r="A29" i="5"/>
  <c r="CK28" i="5"/>
  <c r="BU28" i="5"/>
  <c r="BA28" i="5"/>
  <c r="A28" i="5"/>
  <c r="CK27" i="5"/>
  <c r="BU27" i="5"/>
  <c r="AY27" i="5"/>
  <c r="A27" i="5"/>
  <c r="CK26" i="5"/>
  <c r="BU26" i="5"/>
  <c r="AY26" i="5"/>
  <c r="A26" i="5"/>
  <c r="CQ25" i="5"/>
  <c r="BW25" i="5"/>
  <c r="BC25" i="5"/>
  <c r="A25" i="5"/>
  <c r="CK24" i="5"/>
  <c r="BU24" i="5"/>
  <c r="AY24" i="5"/>
  <c r="A24" i="5"/>
  <c r="CK23" i="5"/>
  <c r="BU23" i="5"/>
  <c r="AY23" i="5"/>
  <c r="A23" i="5"/>
  <c r="CK22" i="5"/>
  <c r="BU22" i="5"/>
  <c r="AY22" i="5"/>
  <c r="A22" i="5"/>
  <c r="CK21" i="5"/>
  <c r="BU21" i="5"/>
  <c r="AY21" i="5"/>
  <c r="A21" i="5"/>
  <c r="CK20" i="5"/>
  <c r="BU20" i="5"/>
  <c r="BA20" i="5"/>
  <c r="A20" i="5"/>
  <c r="CK19" i="5"/>
  <c r="BU19" i="5"/>
  <c r="AY19" i="5"/>
  <c r="A19" i="5"/>
  <c r="CK18" i="5"/>
  <c r="BU18" i="5"/>
  <c r="BA18" i="5"/>
  <c r="A18" i="5"/>
  <c r="CK17" i="5"/>
  <c r="BU17" i="5"/>
  <c r="AY17" i="5"/>
  <c r="A17" i="5"/>
  <c r="CK16" i="5"/>
  <c r="BU16" i="5"/>
  <c r="AY16" i="5"/>
  <c r="A16" i="5"/>
  <c r="A15" i="5"/>
  <c r="CK14" i="5"/>
  <c r="BU14" i="5"/>
  <c r="AY14" i="5"/>
  <c r="A14" i="5"/>
  <c r="CK13" i="5"/>
  <c r="BU13" i="5"/>
  <c r="BA13" i="5"/>
  <c r="BA331" i="5" s="1"/>
  <c r="A13" i="5"/>
  <c r="CO12" i="5"/>
  <c r="BU12" i="5"/>
  <c r="AY12" i="5"/>
  <c r="A12" i="5"/>
  <c r="CQ11" i="5"/>
  <c r="BW11" i="5"/>
  <c r="AY11" i="5"/>
  <c r="A11" i="5"/>
  <c r="CK10" i="5"/>
  <c r="BU10" i="5"/>
  <c r="AY10" i="5"/>
  <c r="A10" i="5"/>
  <c r="CK9" i="5"/>
  <c r="BU9" i="5"/>
  <c r="AY9" i="5"/>
  <c r="A9" i="5"/>
  <c r="CS8" i="5"/>
  <c r="CS331" i="5" s="1"/>
  <c r="BW8" i="5"/>
  <c r="BW331" i="5" s="1"/>
  <c r="AY8" i="5"/>
  <c r="A8" i="5"/>
  <c r="CK7" i="5"/>
  <c r="BU7" i="5"/>
  <c r="AY7" i="5"/>
  <c r="AY331" i="5" s="1"/>
  <c r="A7" i="5"/>
  <c r="CQ6" i="5"/>
  <c r="BY6" i="5"/>
  <c r="AY6" i="5"/>
  <c r="A6" i="5"/>
  <c r="CK5" i="5"/>
  <c r="BU5" i="5"/>
  <c r="AY5" i="5"/>
  <c r="A5" i="5"/>
  <c r="CK4" i="5"/>
  <c r="BU4" i="5"/>
  <c r="AY4" i="5"/>
  <c r="A4" i="5"/>
  <c r="CQ3" i="5"/>
  <c r="CQ331" i="5" s="1"/>
  <c r="BY3" i="5"/>
  <c r="BY331" i="5" s="1"/>
  <c r="BC3" i="5"/>
  <c r="BC331" i="5" s="1"/>
  <c r="A3" i="5"/>
  <c r="CK2" i="5"/>
  <c r="CK331" i="5" s="1"/>
  <c r="BU2" i="5"/>
  <c r="BU331" i="5" s="1"/>
  <c r="AY2" i="5"/>
  <c r="A2" i="5"/>
  <c r="AY333" i="5" l="1"/>
  <c r="AY335" i="5" s="1"/>
  <c r="CW332" i="5"/>
  <c r="I4" i="8"/>
  <c r="H14" i="8"/>
  <c r="I14" i="8" s="1"/>
  <c r="D14" i="8"/>
  <c r="G14" i="7"/>
</calcChain>
</file>

<file path=xl/sharedStrings.xml><?xml version="1.0" encoding="utf-8"?>
<sst xmlns="http://schemas.openxmlformats.org/spreadsheetml/2006/main" count="6645" uniqueCount="2057">
  <si>
    <t>Jenjang</t>
  </si>
  <si>
    <t>Kab/Kota</t>
  </si>
  <si>
    <t>NPSN / NPM</t>
  </si>
  <si>
    <t>Nama Sekolah</t>
  </si>
  <si>
    <t>Alamat</t>
  </si>
  <si>
    <t>Jumlah Siswa</t>
  </si>
  <si>
    <t>Jml Dana 1 Tahun</t>
  </si>
  <si>
    <t>Dana Setelah Pengurangan</t>
  </si>
  <si>
    <t>Pencairan (Pemotongan Bertahap)</t>
  </si>
  <si>
    <t>Nomor NPHD 2025</t>
  </si>
  <si>
    <t>NPHD 2025 (baru)</t>
  </si>
  <si>
    <t>RKAS</t>
  </si>
  <si>
    <t>SPJ TW4 2024</t>
  </si>
  <si>
    <t>Lap. Realisasi 2025</t>
  </si>
  <si>
    <t>SPTJB 2025</t>
  </si>
  <si>
    <t>NPHD 2026</t>
  </si>
  <si>
    <t>SK Tim 2026</t>
  </si>
  <si>
    <t>Izin Operasional</t>
  </si>
  <si>
    <t>NPWP</t>
  </si>
  <si>
    <t>SK Penepatan Besaran SPP</t>
  </si>
  <si>
    <t>Bank Salur</t>
  </si>
  <si>
    <t>No. Rekening</t>
  </si>
  <si>
    <t>atas Nama Rekening</t>
  </si>
  <si>
    <t>Ket</t>
  </si>
  <si>
    <t>Tanggal Penyetoran Berkas</t>
  </si>
  <si>
    <t>SPJ Tahap 1</t>
  </si>
  <si>
    <t>Tanggal Penyerahan</t>
  </si>
  <si>
    <t>keterangan tahap 1</t>
  </si>
  <si>
    <t>SPJ Tahap 2</t>
  </si>
  <si>
    <t>keterangan tahap 2</t>
  </si>
  <si>
    <t>SPJ Tahap 3</t>
  </si>
  <si>
    <t>keterangan tahap 3</t>
  </si>
  <si>
    <t xml:space="preserve">Keterangan RKAS </t>
  </si>
  <si>
    <t>Alasan (Jika di Tolak)</t>
  </si>
  <si>
    <t>Tahap 1</t>
  </si>
  <si>
    <t>Nilai Tahap 1</t>
  </si>
  <si>
    <t>Tahap 2</t>
  </si>
  <si>
    <t>Nilai Tahap 2</t>
  </si>
  <si>
    <t>Tahap 3</t>
  </si>
  <si>
    <t>Nilai Tahap 3</t>
  </si>
  <si>
    <t>Tahap 4</t>
  </si>
  <si>
    <t>Nilai Tahap 4</t>
  </si>
  <si>
    <t>Tahap 2 Gel 1</t>
  </si>
  <si>
    <t>Tahap 2 Gel 1 Nilai</t>
  </si>
  <si>
    <t>Tahap 2 
Gel 2</t>
  </si>
  <si>
    <t>Tahap 2 
Gel 2 Nilai</t>
  </si>
  <si>
    <t>Tahap 2 
Gel 3</t>
  </si>
  <si>
    <t>Tahap 2 
Gel 3 Nilai</t>
  </si>
  <si>
    <t>Tahap 2 
Gel 4</t>
  </si>
  <si>
    <t>Tahap 2 
Gel 4 Nilai</t>
  </si>
  <si>
    <t>Tahap 2 
Gel 5</t>
  </si>
  <si>
    <t>Tahap 2 
Gel 5 Nilai</t>
  </si>
  <si>
    <t>Tahap 2 
Gel 6</t>
  </si>
  <si>
    <t>Tahap 2 
Gel 6 Nilai</t>
  </si>
  <si>
    <t>Tahap 2 Gel 7</t>
  </si>
  <si>
    <t>Tahap 2 Gel 7 Nilai</t>
  </si>
  <si>
    <t>Tahap 2 Gel 8</t>
  </si>
  <si>
    <t>Tahap 2 Gel 8 Nilai</t>
  </si>
  <si>
    <t>Tahap 2 Gel 9</t>
  </si>
  <si>
    <t>Tahap 2 Gel 9 Nilai</t>
  </si>
  <si>
    <t>Tahap 2 Gel 10</t>
  </si>
  <si>
    <t>Tahap 2 Gel 10 Nilai</t>
  </si>
  <si>
    <t>Tahap 2 Gel 11</t>
  </si>
  <si>
    <t>Tahap 2 Gel 11 Nilai</t>
  </si>
  <si>
    <t>Tahap 3 Gel 1</t>
  </si>
  <si>
    <t>Tahap 3 Gel 1 Nilai</t>
  </si>
  <si>
    <t>Tahap 3 Gel 2</t>
  </si>
  <si>
    <t>Tahap 3 Gel 2 Nilai</t>
  </si>
  <si>
    <t>Tahap 3 Gel 3</t>
  </si>
  <si>
    <t>Tahap 3 Gel 3 Nilai</t>
  </si>
  <si>
    <t>Tahap 3 Gel 4</t>
  </si>
  <si>
    <t>Tahap 3 Gel 4 Nilai</t>
  </si>
  <si>
    <t>Tahap 3 Gel 5</t>
  </si>
  <si>
    <t>Tahap 3 Gel 5 Nilai</t>
  </si>
  <si>
    <t>Tahap 3 Gel 6</t>
  </si>
  <si>
    <t>Tahap 3 Gel 6 Nilai</t>
  </si>
  <si>
    <t>Tahap 3 Gel 7</t>
  </si>
  <si>
    <t>Tahap 3 Gel 7 Nilai</t>
  </si>
  <si>
    <t>Tahap 3 Gel 8</t>
  </si>
  <si>
    <t>Tahap 3 Gel 8 Nilai</t>
  </si>
  <si>
    <t>Tahap 4 Gel 1</t>
  </si>
  <si>
    <t>Tahap 4 Gel 1 Nilai</t>
  </si>
  <si>
    <t>Tahap 4 Gel 2</t>
  </si>
  <si>
    <t>Tahap 4 Gel 2 Nilai</t>
  </si>
  <si>
    <t>Tahap 4 Gel 3</t>
  </si>
  <si>
    <t>Tahap 4 Gel 3 Nilai</t>
  </si>
  <si>
    <t>Tahap 4 Gel 4</t>
  </si>
  <si>
    <t>Tahap 4 Gel 4 Nilai</t>
  </si>
  <si>
    <t>Tahap 4 Gel 5</t>
  </si>
  <si>
    <t>Tahap 4 Gel 5 Nilai</t>
  </si>
  <si>
    <t>Tahap 4 Gel 6</t>
  </si>
  <si>
    <t>Tahap 4 Gel 6 Nilai</t>
  </si>
  <si>
    <t>Tahap 4 Gel 7</t>
  </si>
  <si>
    <t>Tahap 4 Gel 7 Nilai</t>
  </si>
  <si>
    <t>MA</t>
  </si>
  <si>
    <t>Balikpapan</t>
  </si>
  <si>
    <t>131164710001</t>
  </si>
  <si>
    <t>MAN BALIKPAPAN</t>
  </si>
  <si>
    <t>Jl. Prapatan RT. 026 No.10 Balikpapan</t>
  </si>
  <si>
    <t>000.4.3.2/</t>
  </si>
  <si>
    <t>/Disdikbud-Ib</t>
  </si>
  <si>
    <t>BANKALTIMTARA</t>
  </si>
  <si>
    <t>0032251056</t>
  </si>
  <si>
    <t>MADRASAH ALIYAH NEGERI BPP</t>
  </si>
  <si>
    <t>OKE</t>
  </si>
  <si>
    <t>131264710001</t>
  </si>
  <si>
    <t>MAS ASY-SYIFA</t>
  </si>
  <si>
    <t>Jl. Soekarno Hatta KM 15 Karang Joang Balikpapan Utara</t>
  </si>
  <si>
    <t>1032027471</t>
  </si>
  <si>
    <t>MA.ASY-SYIFA</t>
  </si>
  <si>
    <t>Perbaikan tanggal SPTJ dan Laporan Realisasi</t>
  </si>
  <si>
    <t>131264710007</t>
  </si>
  <si>
    <t>MAS DARUN NAJAH</t>
  </si>
  <si>
    <t>Jl. Mulawarman Gg. Mufakat RT. 31 Kel. Teritip Balikpapan Timur</t>
  </si>
  <si>
    <t>1212044195</t>
  </si>
  <si>
    <t>YYS PDK PESANTREN DARUN NAJAH</t>
  </si>
  <si>
    <t>131264710002</t>
  </si>
  <si>
    <t>MAS HIDAYATUL MUSTAQIM</t>
  </si>
  <si>
    <t>Jl. Pasar Gunung Tembak RT. 017 Kelurahan Teritip Kecamatan Balikpapan Timur</t>
  </si>
  <si>
    <t>0032268731</t>
  </si>
  <si>
    <t>MA HIDAYATUL MUSTAQIM BPP</t>
  </si>
  <si>
    <t>Tanggal Surat Pernyatan salah</t>
  </si>
  <si>
    <t>131264710006</t>
  </si>
  <si>
    <t>MAS MARDHATILLAH</t>
  </si>
  <si>
    <t>Jl. Padat Karya 1 No. 250 RT. 068, Kel. Graha Indah, kec. Balikpapan Utara KALTIM</t>
  </si>
  <si>
    <t>0032426085</t>
  </si>
  <si>
    <t>MADRASAH ALIYAH MARDHATILAH</t>
  </si>
  <si>
    <t xml:space="preserve">Perbaikan Tgl Lap Realisasi, SPTJ, Surat Kesanggupan </t>
  </si>
  <si>
    <t xml:space="preserve">Perbaikan tanggal surat kesanggupan </t>
  </si>
  <si>
    <t>131264710003</t>
  </si>
  <si>
    <t>MAS RAADHIYATAN MARDHIYYAH PUTRI</t>
  </si>
  <si>
    <t>Jl. Mulawarman RT. 026, kelurahan teritip, kecamatan balikpapan Timur.</t>
  </si>
  <si>
    <t>1212117681</t>
  </si>
  <si>
    <t>MA RAADHIYATAN MARDHIYYAH PUTR</t>
  </si>
  <si>
    <t>SMA</t>
  </si>
  <si>
    <t>30401501</t>
  </si>
  <si>
    <t>SMAS KARTIKA V-1</t>
  </si>
  <si>
    <t>JL. TANJUNG PURA 1 BALIKPAPAN</t>
  </si>
  <si>
    <t>0032423949</t>
  </si>
  <si>
    <t>SMU KARTIKA V-1 BALIKPAPAN</t>
  </si>
  <si>
    <t>Laporan Kegiatan</t>
  </si>
  <si>
    <t>131264710004</t>
  </si>
  <si>
    <t>MAS RADHIYATAN MARDHIYYAH PUTRA</t>
  </si>
  <si>
    <t>Jl. Mulawarman RT. 025, kelurahan teritip, kecamatan balikpapan Timur.</t>
  </si>
  <si>
    <t>0032250718</t>
  </si>
  <si>
    <t>Oke</t>
  </si>
  <si>
    <t>131264710005</t>
  </si>
  <si>
    <t>MAS SABILAL MUHTADIN</t>
  </si>
  <si>
    <t>Jl. P.Antasari RT. 062 No. 51, Kelurahan Karang Rejo Balikpapan</t>
  </si>
  <si>
    <t>0032597289</t>
  </si>
  <si>
    <t>MA SABILAL MUHTADIN BALIKPAPAN</t>
  </si>
  <si>
    <t>SLB</t>
  </si>
  <si>
    <t>69965143</t>
  </si>
  <si>
    <t>Sekolah Khusus Santo Fransiskus Assisi</t>
  </si>
  <si>
    <t>Jalan. Mayor (Pol) Zaenal Arifin No. 40 Rt. 18 Dam</t>
  </si>
  <si>
    <t>0031576245</t>
  </si>
  <si>
    <t>69965143 SKH ST FRANSISKUS A</t>
  </si>
  <si>
    <t>Perbaikan (SPTJ belum ada saldo awal)</t>
  </si>
  <si>
    <t>Rekening koran tidak lengkap, sptjb tidak ada saldo awal</t>
  </si>
  <si>
    <t>30402882</t>
  </si>
  <si>
    <t>SLB DHARMA KENCANA BALIKPAPAN</t>
  </si>
  <si>
    <t>Jl. Pembangunan No.30 Blok A</t>
  </si>
  <si>
    <t>0032309364</t>
  </si>
  <si>
    <t>SLB DHARMA KENCANA</t>
  </si>
  <si>
    <t>Tanggal Kata Pengantar dan tgl sptjb dan Lap Realisasi</t>
  </si>
  <si>
    <t>30402883</t>
  </si>
  <si>
    <t>SLB TUNAS BANGSA</t>
  </si>
  <si>
    <t>Jl. Kutilang Rss Damai Iii Rt. 28</t>
  </si>
  <si>
    <t>1022021202</t>
  </si>
  <si>
    <t>70048473</t>
  </si>
  <si>
    <t>SMA AL IMAM ISLAMIC SCHOOL BALIKPAPAN</t>
  </si>
  <si>
    <t>JL. BUKIT CINTA DAMAI</t>
  </si>
  <si>
    <t>0032943012</t>
  </si>
  <si>
    <t>SMA AL IMAN ISLAMIC SCHOOL BPP</t>
  </si>
  <si>
    <t>69987671</t>
  </si>
  <si>
    <t>SMA INTEGRAL LUQMAN AL HAKIM</t>
  </si>
  <si>
    <t>Jl. Perjuangan No.72 RT 06</t>
  </si>
  <si>
    <t>5000459283</t>
  </si>
  <si>
    <t>SMA INTEGRAL LUQMAN AL HAKIM BALIKPAPAN</t>
  </si>
  <si>
    <t>69901305</t>
  </si>
  <si>
    <t>SMA IT AL AULIYA</t>
  </si>
  <si>
    <t>MT. HARYONO RT. 43</t>
  </si>
  <si>
    <t>BNI</t>
  </si>
  <si>
    <t>0436832875</t>
  </si>
  <si>
    <t>SMA IT AL AULIYA BALIKPAPAN</t>
  </si>
  <si>
    <t>Laporan Realisasi Perbaikan</t>
  </si>
  <si>
    <t>70046800</t>
  </si>
  <si>
    <t>SMA IT AL AZHAR BOARDING SCHOOL</t>
  </si>
  <si>
    <t>Jl. Mulawarman RT.041</t>
  </si>
  <si>
    <t>5000459362</t>
  </si>
  <si>
    <t xml:space="preserve">SMA IT AL AZHAR BOARDING SCHOOL </t>
  </si>
  <si>
    <t>69974737</t>
  </si>
  <si>
    <t>SMA KRISTEN HARAPAN BANGSA</t>
  </si>
  <si>
    <t>JL. INDRAKILA RT 04 NO 99 G</t>
  </si>
  <si>
    <t>0034212741</t>
  </si>
  <si>
    <t>30401498</t>
  </si>
  <si>
    <t>SMA MUHAMMADIYAH 2 AL-MUJAHIDIN</t>
  </si>
  <si>
    <t>JL. SOEKARNO HATTA KM. 10</t>
  </si>
  <si>
    <t>0032252320</t>
  </si>
  <si>
    <t>SMA MUHAMMADIYAH 2 BALIKPAPAN</t>
  </si>
  <si>
    <t>70028641</t>
  </si>
  <si>
    <t>SMA NASIONAL KPS</t>
  </si>
  <si>
    <t>Jl. Sport No.1 RT.19</t>
  </si>
  <si>
    <t>0031476518</t>
  </si>
  <si>
    <t>70010866</t>
  </si>
  <si>
    <t>SMAIT Istiqamah Balikpapan</t>
  </si>
  <si>
    <t>Jl. Kol. H. Syarifuddin Yoes No 1 RT 41</t>
  </si>
  <si>
    <t>1671501477</t>
  </si>
  <si>
    <t>70010866 SMAIT ISTIQAMAH BPP</t>
  </si>
  <si>
    <t>69974739</t>
  </si>
  <si>
    <t>SMAIT TRI SUKSES GENERUS</t>
  </si>
  <si>
    <t>Jl. Guntur Damai, RT. 38</t>
  </si>
  <si>
    <t>0032564364</t>
  </si>
  <si>
    <t>30401409</t>
  </si>
  <si>
    <t>SMAS ADVENT</t>
  </si>
  <si>
    <t>JL. KAPTEN PIERE TENDEAN NO.57</t>
  </si>
  <si>
    <t>0031576237</t>
  </si>
  <si>
    <t>30401409 SMAS ADVENT</t>
  </si>
  <si>
    <t>30402919</t>
  </si>
  <si>
    <t>SMAS AL HASSAN</t>
  </si>
  <si>
    <t>JL. TELAGA SARI KOMPLEK PELAJAR</t>
  </si>
  <si>
    <t>0032459480</t>
  </si>
  <si>
    <t>SMA AL-HASSAN BALIKPAPAN</t>
  </si>
  <si>
    <t>30401500</t>
  </si>
  <si>
    <t>SMAS KATHOLIK ADI SUCIPTO</t>
  </si>
  <si>
    <t>JL. MT HARYONO RT. 42</t>
  </si>
  <si>
    <t>0031576253</t>
  </si>
  <si>
    <t>30401500 SMAS KATHOLIK ADI S</t>
  </si>
  <si>
    <t>Tanggal SUrat Pernyataan</t>
  </si>
  <si>
    <t>Perbaikan tanggal surat pernyataan,</t>
  </si>
  <si>
    <t>Perbaikan tanggal SPTJB dan Lap Realisasi</t>
  </si>
  <si>
    <t>30401499</t>
  </si>
  <si>
    <t>SMAS MUHAMMADIYAH 1</t>
  </si>
  <si>
    <t>JL. LETJEND S. PARMAN RT 24 NO.19</t>
  </si>
  <si>
    <t>0298531779</t>
  </si>
  <si>
    <t>30401497</t>
  </si>
  <si>
    <t>SMAS NUSANTARA</t>
  </si>
  <si>
    <t>JL. Gunung Samarinda IV No. 34 RT. 42 Balikpapan U</t>
  </si>
  <si>
    <t>0032251285</t>
  </si>
  <si>
    <t>SMA NUSANTARA BALIKPAPAN</t>
  </si>
  <si>
    <t>30401496</t>
  </si>
  <si>
    <t>SMAS PATRA DHARMA</t>
  </si>
  <si>
    <t>JL. WARUKIN III PANORAMA</t>
  </si>
  <si>
    <t>0297211864</t>
  </si>
  <si>
    <t>SMA PATRA DHARMA</t>
  </si>
  <si>
    <t>Perbaikan Laporan Realisasi dan SPTJM</t>
  </si>
  <si>
    <t>30401493</t>
  </si>
  <si>
    <t>SMAS SYAICHONA CHOLIL</t>
  </si>
  <si>
    <t>JL. MULAWARMAN RT 10 NO.59</t>
  </si>
  <si>
    <t>0032333231</t>
  </si>
  <si>
    <t>SMA SYAICHONA CHOLIL</t>
  </si>
  <si>
    <t>SMK</t>
  </si>
  <si>
    <t>69869763</t>
  </si>
  <si>
    <t>SMK BHAKTI INDONESIA</t>
  </si>
  <si>
    <t>Jl. Pattimura No 25 RT 28 Perumahan Sosial</t>
  </si>
  <si>
    <t>0031476411</t>
  </si>
  <si>
    <t>69894554</t>
  </si>
  <si>
    <t>SMK BINA PRESTASI AMI BALIKPAPAN</t>
  </si>
  <si>
    <t>Telindung Jl Masjid Al-Kahfi RT 86</t>
  </si>
  <si>
    <t>0031476097</t>
  </si>
  <si>
    <t>SMK BINA PRESTASI AMI BPP</t>
  </si>
  <si>
    <t>70040456</t>
  </si>
  <si>
    <t>SMK CENDEKIA AL-IZZAH</t>
  </si>
  <si>
    <t>JL SEI WAIN KM 15 RT 033</t>
  </si>
  <si>
    <t>0034234256</t>
  </si>
  <si>
    <t>SMK CENDEKIA AL IZZAH</t>
  </si>
  <si>
    <t>Laporan Kegiatan, Lap Realisasi tidak ada, Perbaikan SPTJB</t>
  </si>
  <si>
    <t>Perbaikan (proses)</t>
  </si>
  <si>
    <t>69982415</t>
  </si>
  <si>
    <t>SMK MIGAS INSAN KAMIL BALIKPAPAN</t>
  </si>
  <si>
    <t>Jl. Ksatrian KM.8 RT.38 Kel. Graha Indah Balikpapa</t>
  </si>
  <si>
    <t>0031476232</t>
  </si>
  <si>
    <t>SMK MIGAS INSAN KAMIL</t>
  </si>
  <si>
    <t>69939919</t>
  </si>
  <si>
    <t>SMK NURUL KHAERAT LIL MUHIBBIN</t>
  </si>
  <si>
    <t>JL. SEPINGGAN BARU RT. 17</t>
  </si>
  <si>
    <t>0031476356</t>
  </si>
  <si>
    <t>SMK NURUL KHAEERAT LILMUHIBBIN</t>
  </si>
  <si>
    <t>69960805</t>
  </si>
  <si>
    <t>SMK PERSADA BHAKTI BALIKPAPAN</t>
  </si>
  <si>
    <t>JL. PRONA II GG.5 RT 24 NO. 99</t>
  </si>
  <si>
    <t>0031576491</t>
  </si>
  <si>
    <t>69960805 SMK PERSADA BHAKTI BP</t>
  </si>
  <si>
    <t>Perbaikan tanggal SPTJB</t>
  </si>
  <si>
    <t>30407679</t>
  </si>
  <si>
    <t>SMK SINAR PANCASILA</t>
  </si>
  <si>
    <t>JL. TELAGA SARI GN.PASIR</t>
  </si>
  <si>
    <t>0031476178</t>
  </si>
  <si>
    <t>SMK SINAR PANCASILA BALIKPAPAN</t>
  </si>
  <si>
    <t>30407677</t>
  </si>
  <si>
    <t>SMKS ADZKIYA</t>
  </si>
  <si>
    <t>JL. MULAWARMAN KOMPLEK PERUMAHAN RAWA MANGUN INDAH</t>
  </si>
  <si>
    <t>0031475961</t>
  </si>
  <si>
    <t>SMK ADZKIYA</t>
  </si>
  <si>
    <t>30401517</t>
  </si>
  <si>
    <t>SMKS AIRLANGGA BALIKPAPAN</t>
  </si>
  <si>
    <t>JL. S. PARMAN (GN. GUNTUR) NO. 14</t>
  </si>
  <si>
    <t>0031476372</t>
  </si>
  <si>
    <t>SMK AIRLANGGA BALIKPAPAN</t>
  </si>
  <si>
    <t>30401515</t>
  </si>
  <si>
    <t>SMKS DUTA BANGSA BALIKPAPAN</t>
  </si>
  <si>
    <t>MULAWARMAN</t>
  </si>
  <si>
    <t>1781500158</t>
  </si>
  <si>
    <t>30401515 SMKS DUTA BANGSA BPP</t>
  </si>
  <si>
    <t>Tanggal Surat Pernyataan</t>
  </si>
  <si>
    <t xml:space="preserve">OKE </t>
  </si>
  <si>
    <t>30401513</t>
  </si>
  <si>
    <t>SMKS IBNU KHALDUN BALIKPAPAN</t>
  </si>
  <si>
    <t>JLN. SEMOI NO.23</t>
  </si>
  <si>
    <t>0031476127</t>
  </si>
  <si>
    <t>SMK IBNU KHALDUN BALIKPAPAN</t>
  </si>
  <si>
    <t>30402921</t>
  </si>
  <si>
    <t>SMKS IT AL AQSHA BALIKPAPAN</t>
  </si>
  <si>
    <t>JL. MARSMA R. ISWAHYUDI NO. 10 A</t>
  </si>
  <si>
    <t>0031476348</t>
  </si>
  <si>
    <t>SMK IT AL AQSHA</t>
  </si>
  <si>
    <t>30401512</t>
  </si>
  <si>
    <t>SMKS KARTIKA V 1 BALIKPAPAN</t>
  </si>
  <si>
    <t>JL. TANJUNG PURA III</t>
  </si>
  <si>
    <t>0031476101</t>
  </si>
  <si>
    <t>SMK KARTIKA V-I BALIKPAPAN</t>
  </si>
  <si>
    <t>69786293</t>
  </si>
  <si>
    <t>SMKS KESEHATAN AIRLANGGA</t>
  </si>
  <si>
    <t>Jl. S Parman No. 14 Gunung Guntur</t>
  </si>
  <si>
    <t>0031476381</t>
  </si>
  <si>
    <t>SMK KESEHATAN AIRLANGGA BPP</t>
  </si>
  <si>
    <t>30401511</t>
  </si>
  <si>
    <t>SMKS MUHAMMADIYAH 1 BALIKPAPAN</t>
  </si>
  <si>
    <t>JL. LETJEND S. PARMAN NO. 19 RT. 24</t>
  </si>
  <si>
    <t>0031475953</t>
  </si>
  <si>
    <t>SMK MUHAMMADIYAH I BALIKPAPAN</t>
  </si>
  <si>
    <t>30402922</t>
  </si>
  <si>
    <t>SMKS MULAWARMAN BALIKPAPAN</t>
  </si>
  <si>
    <t>JL. HENDRIAWAN SIE MARTADINATA</t>
  </si>
  <si>
    <t>0031475996</t>
  </si>
  <si>
    <t>SMK MULAWARMAN BPPN</t>
  </si>
  <si>
    <t>30406263</t>
  </si>
  <si>
    <t>SMKS NAHDLATUL ULAMA BALIKPAPAN</t>
  </si>
  <si>
    <t>Jl. Letjend S. Parman No. 47 RT. 22</t>
  </si>
  <si>
    <t>0031476046</t>
  </si>
  <si>
    <t>SMK NAHDLATUL ULAMA</t>
  </si>
  <si>
    <t>30401505</t>
  </si>
  <si>
    <t>SMKS NUSANTARA BALIKPAPAN</t>
  </si>
  <si>
    <t>JL. GURINDA 4 NO. 34</t>
  </si>
  <si>
    <t>0031475937</t>
  </si>
  <si>
    <t>SMK NUSANTARA</t>
  </si>
  <si>
    <t>30401486</t>
  </si>
  <si>
    <t>SMKS PANCA DHARMA BALIKPAPAN</t>
  </si>
  <si>
    <t>JL. JEND. SUDIRMAN NO. 04</t>
  </si>
  <si>
    <t>0031475945</t>
  </si>
  <si>
    <t>SMK PANCA DHARMA BALIKPAPAN</t>
  </si>
  <si>
    <t>30401485</t>
  </si>
  <si>
    <t>SMKS PANGERAN ANTASARI BALIKPAPAN</t>
  </si>
  <si>
    <t>Jl. Mayjend Sutoyo RT. 38 No. 01</t>
  </si>
  <si>
    <t>0031476305</t>
  </si>
  <si>
    <t>SMK PANGERAN ANTASARI</t>
  </si>
  <si>
    <t>30401464</t>
  </si>
  <si>
    <t>SMKS PERTIWI BALIKPAPAN</t>
  </si>
  <si>
    <t>JL. JEND. SUDIRMAN RT.35 No.72 Kel.Damai-Balikpapa</t>
  </si>
  <si>
    <t>0031476089</t>
  </si>
  <si>
    <t>SMK PERTIWI</t>
  </si>
  <si>
    <t>30401463</t>
  </si>
  <si>
    <t>SMKS SABILAL MUHTADIN BALIKPAPAN</t>
  </si>
  <si>
    <t>JL. PANGERAN ANTASARI 51</t>
  </si>
  <si>
    <t>0031475988</t>
  </si>
  <si>
    <t>SMK SABILAL MUHTADIN</t>
  </si>
  <si>
    <t>30401462</t>
  </si>
  <si>
    <t>SMKS SETIA BUDI BALIKPAPAN</t>
  </si>
  <si>
    <t>JL. SOEKARNO-HATTA KM 2 NO. 3</t>
  </si>
  <si>
    <t>0031476119</t>
  </si>
  <si>
    <t>SMK SETIA BUDI BALIKPAPAN</t>
  </si>
  <si>
    <t>30401460</t>
  </si>
  <si>
    <t>SMKS SYAICHONA CHOLIL</t>
  </si>
  <si>
    <t>JL. MULAWARMAN GG. ARJUNA</t>
  </si>
  <si>
    <t>0031476275</t>
  </si>
  <si>
    <t>SMK SYAICHONA CHOLIL BPPN</t>
  </si>
  <si>
    <t>30402923</t>
  </si>
  <si>
    <t>SMKS TRI MITRA TELAGA SARI</t>
  </si>
  <si>
    <t>JL. TELAGA SARI NO. 01 KOMPLEK PELAJAR GN PASIR</t>
  </si>
  <si>
    <t>0031476135</t>
  </si>
  <si>
    <t>SMK TRI MITRA BALIKPAPAN</t>
  </si>
  <si>
    <t>Berau</t>
  </si>
  <si>
    <t>131264030008</t>
  </si>
  <si>
    <t>MA AL-RIDHO BERAU</t>
  </si>
  <si>
    <t>Jl. Pramuka RT. 001 Gunung Mas Kel. Teluk Bayur Kec. Teluk bayur Kab. Berau Prov. Kalimantan Timur</t>
  </si>
  <si>
    <t>1552202984</t>
  </si>
  <si>
    <t>MA AL RIDHO BERAU</t>
  </si>
  <si>
    <t>SPTJB tidak ada saldo awal, perbaikan sptjb dan Lap Realisasi, Laporan Kegiatan, Surat Pernyataan</t>
  </si>
  <si>
    <t>Perbaikan Laporan Kegiatan</t>
  </si>
  <si>
    <t>131164030001</t>
  </si>
  <si>
    <t>MAN BERAU</t>
  </si>
  <si>
    <t>Jl. Pangeran Diponegoro II Kel. Gunung Panjang Kec. Tanjung Redeb Kab. Berau Kalimantan Timur</t>
  </si>
  <si>
    <t>0061499750</t>
  </si>
  <si>
    <t>30315149 BOSDA MAN BERAU</t>
  </si>
  <si>
    <t>Perbaikan Lap realisasi  dan SPTJB</t>
  </si>
  <si>
    <t>Perbaikan tanggal surat pernyataan, rekening koran, perbaikan sptjb dan lap realisasiu</t>
  </si>
  <si>
    <t>131264030002</t>
  </si>
  <si>
    <t>MAS AL-KHOLIL NU BERAU</t>
  </si>
  <si>
    <t>Jl. Sei Limunjan RT. 021 Sambaliung Kab. Berau</t>
  </si>
  <si>
    <t>MANDIRI</t>
  </si>
  <si>
    <t>1490013984515</t>
  </si>
  <si>
    <t>MAS ALKHOLIL NU BERAU</t>
  </si>
  <si>
    <t>SPTJB dan Lap realisasi, Tanggal Surat Pernyataan</t>
  </si>
  <si>
    <t>Rekening koran tidak jelas, tanggal surat pernyataan, tanggal laporan ganti 31 oktober</t>
  </si>
  <si>
    <t>131264030003</t>
  </si>
  <si>
    <t>MAS ISTIQOMAH NWDI BERAU</t>
  </si>
  <si>
    <t>Jl. Nuri RT.09 Labanan Jaya, Kec. Teluk Bayur Kabupaten Berau Prov. Kalimantan Timur</t>
  </si>
  <si>
    <t>0062491485</t>
  </si>
  <si>
    <t>MA ISTIQOMAH NWDI BERAU</t>
  </si>
  <si>
    <t>Laporan Kegiatan, Perbaikan SPJ, Laporan realisasi</t>
  </si>
  <si>
    <t>Laporan kegiatan dll</t>
  </si>
  <si>
    <t>Belum ada laporan kegiatan dan surat pernyataan kesanggupan</t>
  </si>
  <si>
    <t>131264030001</t>
  </si>
  <si>
    <t>MAS NURUL MUHAJIRIN</t>
  </si>
  <si>
    <t>Jl. Gajah Mada RT. 001 Labanan Makarti Kec. Teluk Bayur Kab. Berau Kalimantan Timur</t>
  </si>
  <si>
    <t>0062385766</t>
  </si>
  <si>
    <t>MA NURUL MUHAJIRIN</t>
  </si>
  <si>
    <t>Surat Pernyataan salah tanggal</t>
  </si>
  <si>
    <t>Perbaikan tanggal surat pernyataan, Perbaikan nilai SPTJB dan Lap Realisasi</t>
  </si>
  <si>
    <t>Perbaikan tanggal</t>
  </si>
  <si>
    <t>70043825</t>
  </si>
  <si>
    <t>SMA Ibnu Katsir Tanjung Redeb</t>
  </si>
  <si>
    <t>Jl.  Sei. Seramut, RT.22</t>
  </si>
  <si>
    <t>0061501223</t>
  </si>
  <si>
    <t>SMA IBNU KATSIR TANJUNG REDEB</t>
  </si>
  <si>
    <t>Kurang Laporan Kegiatan</t>
  </si>
  <si>
    <t>Perbaikan tanggal surat pernyataan, perbaikan lap keu realisasi</t>
  </si>
  <si>
    <t>Perbaikan tanggal surat kesanggupan, SPTJ dan Lap Realisasi</t>
  </si>
  <si>
    <t>69930839</t>
  </si>
  <si>
    <t>SMA INTEGRAL HIDAYATULLAH</t>
  </si>
  <si>
    <t>0061500065</t>
  </si>
  <si>
    <t>69930839 SMA INTEGRAL HIDAYATU</t>
  </si>
  <si>
    <t>perbaikan tanggal surat pernyataan,</t>
  </si>
  <si>
    <t>Perbaikan Tanggal Surat Kesanggupan</t>
  </si>
  <si>
    <t>69902911</t>
  </si>
  <si>
    <t>SMA IT ASH SHOHWAH</t>
  </si>
  <si>
    <t>Jl. Al Bina</t>
  </si>
  <si>
    <t>0477448982</t>
  </si>
  <si>
    <t>SMAIT ASH SHOHWAH</t>
  </si>
  <si>
    <t>berkas tidak asli, perbaikan tanggal surat pernyataan</t>
  </si>
  <si>
    <t>30404227</t>
  </si>
  <si>
    <t>SMAS MUHAMADIYAH TANJUNG REDEB</t>
  </si>
  <si>
    <t>JL. JENDERAL SUDIRMAN</t>
  </si>
  <si>
    <t>BRI</t>
  </si>
  <si>
    <t>021301001752306</t>
  </si>
  <si>
    <t>SMA MUHAMMADIYAH TANJUNG REDEB</t>
  </si>
  <si>
    <t>Proses kirim</t>
  </si>
  <si>
    <t>30404355</t>
  </si>
  <si>
    <t>SMAS PGRI 13 TANJUNG REDEB</t>
  </si>
  <si>
    <t>DR. MURDJANI 2</t>
  </si>
  <si>
    <t>0061550488</t>
  </si>
  <si>
    <t>30404355 SMAS PGRI 13 TG REDEB</t>
  </si>
  <si>
    <t>Rekapitulasi Realisasi tidak perlu diisi tahap 2, 3, dan 4</t>
  </si>
  <si>
    <t>Surat pernyataan SPTJB dan Lap realisasi tidak asli</t>
  </si>
  <si>
    <t>Perbaikan tanggal SPTJ dan Laporan realisasi</t>
  </si>
  <si>
    <t>69775247</t>
  </si>
  <si>
    <t>SMKS AL FALAH QUEEN</t>
  </si>
  <si>
    <t>JL. H. Isa II Gg Wira RT. 07</t>
  </si>
  <si>
    <t>0061544925</t>
  </si>
  <si>
    <t>69775247 SMKS AL FALAH QUEEN</t>
  </si>
  <si>
    <t xml:space="preserve">Belum stempel sekolah, Surat Pernyataan salah tanggal </t>
  </si>
  <si>
    <t>69786401</t>
  </si>
  <si>
    <t>SMKS INSAN CEMERLANG</t>
  </si>
  <si>
    <t>Jl. Raja Alam I, Kilo 5 (Kampus STIPER)</t>
  </si>
  <si>
    <t>343601027110537</t>
  </si>
  <si>
    <t>SMK INSAN CEMERLANG KAB. BERAU</t>
  </si>
  <si>
    <t>Tgl Surat Pernyataan, SPTJB dan Lap Realisasi perbaikan, Belum ada Laporan Kegiatan</t>
  </si>
  <si>
    <t>30404243</t>
  </si>
  <si>
    <t>SMKS INTEGRAL HIDAYATULLAH BERAU</t>
  </si>
  <si>
    <t>JL PANGERAN HIDAYATULLAH TANJUNG REDEB BERAU</t>
  </si>
  <si>
    <t>021301000611303</t>
  </si>
  <si>
    <t>SMK INTEGRAL HIDAYATULLAH BERAU</t>
  </si>
  <si>
    <t>Perbaikan tanggal surat kesanggupan</t>
  </si>
  <si>
    <t>30404525</t>
  </si>
  <si>
    <t>SMKS MAARIF NU 01 BERAU</t>
  </si>
  <si>
    <t>JL. MAARIF</t>
  </si>
  <si>
    <t>0061417001</t>
  </si>
  <si>
    <t>SMK MA'ARIF NU 01 BERAU</t>
  </si>
  <si>
    <t>perbaikan tanggal surat pernyataan</t>
  </si>
  <si>
    <t>30404230</t>
  </si>
  <si>
    <t>SMKS MUHAMMADIYAH</t>
  </si>
  <si>
    <t>JL. RAJA ALAM KM.5</t>
  </si>
  <si>
    <t>0061550771</t>
  </si>
  <si>
    <t>30404230 BOSDA SMK MUH BERAU</t>
  </si>
  <si>
    <t>belum stempel sekolah, lap realisasi tidak asli, tanggal surat pernyataan</t>
  </si>
  <si>
    <t>Perbaikan tanggal surat pernyataan kesanggupan</t>
  </si>
  <si>
    <t>30404244</t>
  </si>
  <si>
    <t>SMKS SEHAT PERSADA</t>
  </si>
  <si>
    <t>Gunung Panjang</t>
  </si>
  <si>
    <t>021301000612309</t>
  </si>
  <si>
    <t>SMK SEHAT PERSADA</t>
  </si>
  <si>
    <t>tanggal kata pengantar, surat pernyataan, sptjb dan lap realisasi salah</t>
  </si>
  <si>
    <t>Perbaikan Tanggal</t>
  </si>
  <si>
    <t>Perbaikan tanggal surat pengantar dan surat kesanggupan</t>
  </si>
  <si>
    <t>Bontang</t>
  </si>
  <si>
    <t>131164740001</t>
  </si>
  <si>
    <t>MAN BONTANG</t>
  </si>
  <si>
    <t>Jl. Kapten Piere Tendean RT. 009 No. 20,Kl.Bontang Kuala, kecamatan Bontang Utara Kota Bontang Kalimantan Timur</t>
  </si>
  <si>
    <t>0082150239</t>
  </si>
  <si>
    <t>MADRASAH ALIYAH NEGERI BONTANG</t>
  </si>
  <si>
    <t>Perbaikan SPTJ tgl 31 Juli 2025</t>
  </si>
  <si>
    <t>perbaikan tanggal surat pernyataan, perbaikan saldo akhir SPTJB</t>
  </si>
  <si>
    <t>131264740001</t>
  </si>
  <si>
    <t>MAS DDI BONTANG</t>
  </si>
  <si>
    <t>Jl. Carita No.100 RT. 012 Berbas Pantai, kecamatan Bontang Selatan Kota Bontang Kalimantan Timur</t>
  </si>
  <si>
    <t>0082932119</t>
  </si>
  <si>
    <t>MA DDI BONTANG</t>
  </si>
  <si>
    <t>70001505</t>
  </si>
  <si>
    <t>SLB Bina Kasih Mandiri</t>
  </si>
  <si>
    <t>Jl. Soekarno Hatta</t>
  </si>
  <si>
    <t>0082498745</t>
  </si>
  <si>
    <t>SLB BINA KASIH MANDIRI</t>
  </si>
  <si>
    <t>Perbaikan SPTJB dan Lap Realisasi,tgl kata pengantar dan Surat Pernyataan</t>
  </si>
  <si>
    <t>69822498</t>
  </si>
  <si>
    <t>SLB BORNEO CENTER</t>
  </si>
  <si>
    <t>JL. Mulawarman NO 23 Tj Limau</t>
  </si>
  <si>
    <t>0082338314</t>
  </si>
  <si>
    <t>SEKOLAH KHUSUS ABK AUTISME BC</t>
  </si>
  <si>
    <t>30401832</t>
  </si>
  <si>
    <t>SLB PERMATA BUNDA</t>
  </si>
  <si>
    <t>Jl. Ahmad Yani</t>
  </si>
  <si>
    <t>0082149955</t>
  </si>
  <si>
    <t>SLB PERMATA BUNDA BONTANG</t>
  </si>
  <si>
    <t>perbaikan tanggal surat pernyataan, perbaikan lap realisasi</t>
  </si>
  <si>
    <t>69958787</t>
  </si>
  <si>
    <t>SLB YAYASAN PENDIDIKAN AMALI BONTANG</t>
  </si>
  <si>
    <t>JL. KAPAL FERI NO. 24 RT 009</t>
  </si>
  <si>
    <t>0082512241</t>
  </si>
  <si>
    <t>SLB YPA BONTANG</t>
  </si>
  <si>
    <t>30404465</t>
  </si>
  <si>
    <t>SLB YPK</t>
  </si>
  <si>
    <t>Komp. Equator Hotel Pkt</t>
  </si>
  <si>
    <t>0082149967</t>
  </si>
  <si>
    <t>SLB YPK BONTANG</t>
  </si>
  <si>
    <t>30401830</t>
  </si>
  <si>
    <t>SMAS BAHRUL ULUM</t>
  </si>
  <si>
    <t>JL. MT. HARYONO 03</t>
  </si>
  <si>
    <t>0296183619</t>
  </si>
  <si>
    <t>30401829</t>
  </si>
  <si>
    <t>SMAS HIDAYATULLAH</t>
  </si>
  <si>
    <t>JL. IMAM BONJOL RT. 4 NO.63</t>
  </si>
  <si>
    <t>0081534861</t>
  </si>
  <si>
    <t>30401829 SMAS HIDAYATULLAH</t>
  </si>
  <si>
    <t>Perbaikan Laporan Realisasi dan SPTJB Triwulan</t>
  </si>
  <si>
    <t>30401828</t>
  </si>
  <si>
    <t>SMAS ISLAM TERPADU YABIS BONTANG</t>
  </si>
  <si>
    <t>JL. BRIGJEND KATAMSO NO.40 RT 45</t>
  </si>
  <si>
    <t>0082985191</t>
  </si>
  <si>
    <t>SMA YABIS BONTANG</t>
  </si>
  <si>
    <t>69766189</t>
  </si>
  <si>
    <t>SMAS IT DAARUL HIKMAH</t>
  </si>
  <si>
    <t>JL. SELAT KARIMATA</t>
  </si>
  <si>
    <t>0082409271</t>
  </si>
  <si>
    <t>SMA IT DAARUL HIKMAH</t>
  </si>
  <si>
    <t xml:space="preserve">SPTJB dan lap realisasi tidak asli, Kurang Laporan Kegiatan, </t>
  </si>
  <si>
    <t>Surat Pernyataan, SPTJB dan lap Realisasi tidak asli</t>
  </si>
  <si>
    <t>30401780</t>
  </si>
  <si>
    <t>SMAS TUNAS BANGSA</t>
  </si>
  <si>
    <t>JL. RUBY  RT.46</t>
  </si>
  <si>
    <t>0082971181</t>
  </si>
  <si>
    <t>SMA TUNAS BANGSA</t>
  </si>
  <si>
    <t>30401787</t>
  </si>
  <si>
    <t>SMAS YAYASAN PENDIDIKAN VIDYA DAHANA PATRA</t>
  </si>
  <si>
    <t>JL. BADAK NO. 2 KOMPLEKS PT BADAK NGL</t>
  </si>
  <si>
    <t>0081536244</t>
  </si>
  <si>
    <t>30401787 SMAS YPVDP</t>
  </si>
  <si>
    <t>30401809</t>
  </si>
  <si>
    <t>SMAS YAYASAN PUPUK KALTIM BONTANG</t>
  </si>
  <si>
    <t>JL. DAHLIA PC. VI PT PUPUK KALTIM</t>
  </si>
  <si>
    <t>0296606546</t>
  </si>
  <si>
    <t>SMAS YAYASAN PUPUK KALTIM</t>
  </si>
  <si>
    <t>Perbaikan Tanggal Surat Pernyataan</t>
  </si>
  <si>
    <t>30401808</t>
  </si>
  <si>
    <t>SMAS YKP MONAMAS BONTANG</t>
  </si>
  <si>
    <t>JL. A. YANI No. 68</t>
  </si>
  <si>
    <t>0296183799</t>
  </si>
  <si>
    <t xml:space="preserve">SPTJ tidak ada saldo awal, rekapitulasi realisasi tidak ada nominal jumlah </t>
  </si>
  <si>
    <t>SPTJB tidak ada saldo awal</t>
  </si>
  <si>
    <t>30407788</t>
  </si>
  <si>
    <t>SMKS CENDIKIA</t>
  </si>
  <si>
    <t>Jl. Piere Tendean Rt 18 No. 45</t>
  </si>
  <si>
    <t>033301001008303</t>
  </si>
  <si>
    <t>SMK CENDEKIA</t>
  </si>
  <si>
    <t>SPTJB tidak saldo awal</t>
  </si>
  <si>
    <t>30409872</t>
  </si>
  <si>
    <t>SMKS GALILEA</t>
  </si>
  <si>
    <t>JL. TARAKAN</t>
  </si>
  <si>
    <t>033301001011306</t>
  </si>
  <si>
    <t>SMK GALILEA</t>
  </si>
  <si>
    <t>Surat Pernyataan</t>
  </si>
  <si>
    <t>Perbaikan</t>
  </si>
  <si>
    <t>69755557</t>
  </si>
  <si>
    <t>SMKS IT BANI ABDURRAHMAN</t>
  </si>
  <si>
    <t>JL. ARIF RAHMAN HAKIM KM.03 RT.51</t>
  </si>
  <si>
    <t>033301001275308</t>
  </si>
  <si>
    <t>30401784</t>
  </si>
  <si>
    <t>SMKS MARITIM INDONESIA</t>
  </si>
  <si>
    <t>JL. LUMBA-LUMBA</t>
  </si>
  <si>
    <t>033301001002307</t>
  </si>
  <si>
    <t>SMK MARITIM INDONESIA</t>
  </si>
  <si>
    <t>SPTJB tidak ada, perbaikan Lap Realisasi</t>
  </si>
  <si>
    <t>Lap Realisasi masih TW, rekening ZKoran, tanggal surat pernyataan, laporan kegiatan</t>
  </si>
  <si>
    <t>30401783</t>
  </si>
  <si>
    <t>SMKS MUHAMMADIYAH BONTANG</t>
  </si>
  <si>
    <t>JL. GAMELAN RT 15 NO. 8</t>
  </si>
  <si>
    <t>1431501151</t>
  </si>
  <si>
    <t>30401783 SMKS MUHAMMADIYAH BTG</t>
  </si>
  <si>
    <t>perbaikan tanggal surat pernyataan, sptjb dan lap realisasi tidak asli</t>
  </si>
  <si>
    <t>perbaikan tanggal surat pernyataan, sptjb dan lap realisasi tidak asli, rekening koran</t>
  </si>
  <si>
    <t>30405691</t>
  </si>
  <si>
    <t>SMKS NUSANTARA MANDIRI</t>
  </si>
  <si>
    <t>JL.Banjarmasin No 29 Rt.21</t>
  </si>
  <si>
    <t>0082288406</t>
  </si>
  <si>
    <t>SMK NUSANTARA MANDIRI</t>
  </si>
  <si>
    <t>30401781</t>
  </si>
  <si>
    <t>SMKS PUTRA BANGSA BONTANG</t>
  </si>
  <si>
    <t>JL. KS. TUBUN NO. 70</t>
  </si>
  <si>
    <t>033301001596306</t>
  </si>
  <si>
    <t>SMK PUTRA BANGSA BONTANG</t>
  </si>
  <si>
    <t xml:space="preserve">Perbaikan lap realisasi saldo awal tidak sama dengn SPTJB, </t>
  </si>
  <si>
    <t>30401779</t>
  </si>
  <si>
    <t>SMKS YKPP BONTANG</t>
  </si>
  <si>
    <t>Jalan Selat Makassar RT. 25 No. 25</t>
  </si>
  <si>
    <t>033301001000305</t>
  </si>
  <si>
    <t>SMK YKPP BONTANG</t>
  </si>
  <si>
    <t>BKU</t>
  </si>
  <si>
    <t>30401778</t>
  </si>
  <si>
    <t>SMKS YP RIGOMASI BONTANG</t>
  </si>
  <si>
    <t>JL. AHMAD YANI NO. 1 RT.03 KEL.API-API KEC.BONTANG</t>
  </si>
  <si>
    <t>033301001006301</t>
  </si>
  <si>
    <t>SMK YP RIGOMASI BONTANG</t>
  </si>
  <si>
    <t>Perbaikan tanggal surat pernyataan, sptjb dan lap realisasi tidak asli</t>
  </si>
  <si>
    <t xml:space="preserve">Perbaikan Tgl surat kesanggupan, </t>
  </si>
  <si>
    <t>Kutai Barat</t>
  </si>
  <si>
    <t>131264070003</t>
  </si>
  <si>
    <t>MA AL KAUTSAR</t>
  </si>
  <si>
    <t>Jl. Belibis RT. 003 Kampung Linggang purwodadi Kec.Linggang Bigung Kabupaten Kutai Barat</t>
  </si>
  <si>
    <t>0112007211</t>
  </si>
  <si>
    <t>MADRASAH ALIYAH AL KAUTSAR</t>
  </si>
  <si>
    <t>5 Deesember 2025</t>
  </si>
  <si>
    <t>Perbaikan Tgl surat kesanggupan</t>
  </si>
  <si>
    <t>131164070001</t>
  </si>
  <si>
    <t>MAN KUTAI BARAT</t>
  </si>
  <si>
    <t>Jl. Islamic Center 1 RT. 032 Melak Ulu Kecamatan Melak Kabupaten Kutai Barat</t>
  </si>
  <si>
    <t>0112174257</t>
  </si>
  <si>
    <t>BOSDA MAN MELAK</t>
  </si>
  <si>
    <t>kata pengantar belum ttd, perbaikan tanggal kata pengantar dan surat pernyataan, BKU</t>
  </si>
  <si>
    <t>131264070002</t>
  </si>
  <si>
    <t>MAS AL HIKMAH</t>
  </si>
  <si>
    <t>Jl. Trans Kalimantan RT. 004 Kamp. Rejo Basuki Kecamatan Barong Tongkok Kabupaten Kutai Barat</t>
  </si>
  <si>
    <t>1480019684979</t>
  </si>
  <si>
    <t>Rekening koran, perbaikan tanggal surat pernyataan</t>
  </si>
  <si>
    <t>Perbaikan tanggal surat pernyataan, SPTJ, Lap Realisasi</t>
  </si>
  <si>
    <t>131264070001</t>
  </si>
  <si>
    <t>MAS SUBULUSSALAM</t>
  </si>
  <si>
    <t>Jl. Pandan Wangi RT. 018 Kel Simpang Raya Kec Barong Tongkok Kab Kutai Barat</t>
  </si>
  <si>
    <t>1262080435</t>
  </si>
  <si>
    <t>MA SUBULUSSALAM</t>
  </si>
  <si>
    <t>stempel SPTJB, BKU</t>
  </si>
  <si>
    <t>69875543</t>
  </si>
  <si>
    <t>SMA ADVENT SENDAWAR</t>
  </si>
  <si>
    <t>JL. Juaq Asa RT. 1</t>
  </si>
  <si>
    <t>1262166186</t>
  </si>
  <si>
    <t>SMA ADVENT SENDAWAR BOSDA</t>
  </si>
  <si>
    <t>SPTJB dan Lap Realisasi tidak asli,  Laporan Kegiatan</t>
  </si>
  <si>
    <t>69947957</t>
  </si>
  <si>
    <t>SMA KALAM SEJAHTERA</t>
  </si>
  <si>
    <t>JL. Kamp.Intu Lingau RT.007</t>
  </si>
  <si>
    <t>0112570551</t>
  </si>
  <si>
    <t>Perbaikan sptjb dan lap realisasi, laporan kegiatan, rekening koran</t>
  </si>
  <si>
    <t>Laporan Kegiatan, Perbaikan tanggal Surat Pernyataan Kesanggupan, Laporan Realisasi, SPTJ</t>
  </si>
  <si>
    <t>69786406</t>
  </si>
  <si>
    <t>SMAS KRISTEN BALA KESELAMATAN</t>
  </si>
  <si>
    <t>Jl. Pendidikan RT. 38</t>
  </si>
  <si>
    <t>0338652737</t>
  </si>
  <si>
    <t>Laporan kegiatan, perbaikan sptjb dan lap realisasi</t>
  </si>
  <si>
    <t>Laporan kegiatan, perbaikan sptjb dan lap realisasi dan tidak asli</t>
  </si>
  <si>
    <t>Lap Kegiatan, tanggal, rek koran</t>
  </si>
  <si>
    <t>30400559</t>
  </si>
  <si>
    <t>SMAS SARI MENTANANG</t>
  </si>
  <si>
    <t>JL. MARTAWAY</t>
  </si>
  <si>
    <t>0298126444</t>
  </si>
  <si>
    <t>Perbaikan tanggal surat pernyataan, SPTJ, laporan realisasi</t>
  </si>
  <si>
    <t>30400558</t>
  </si>
  <si>
    <t>SMAS SURYA MANDALA</t>
  </si>
  <si>
    <t>JL. AWANG LONG SENOPATI</t>
  </si>
  <si>
    <t>0111523088</t>
  </si>
  <si>
    <t>30400558 SMAS SURYA MANDALA</t>
  </si>
  <si>
    <t>Perbaikan tgl surat pernyataan dan perbaikan SPTJB. SPTJB dan Lap Realisasi tidak asli</t>
  </si>
  <si>
    <t>30400572</t>
  </si>
  <si>
    <t>SMK KATOLIK 1 SANTO YOSEP 002 BARONG TONGKOK</t>
  </si>
  <si>
    <t>JL. DR. SOETOMO RT. 02 KAMPUNG BARONG TONGKOK</t>
  </si>
  <si>
    <t>0112026425</t>
  </si>
  <si>
    <t>SMK KATOLIK 1 SANTO YOSEP</t>
  </si>
  <si>
    <t>Laporan Kurang Lengkap (kuitansi dan dokumentasi)</t>
  </si>
  <si>
    <t>Surat Pernyataan tidak asli, SPTJB tidak asli</t>
  </si>
  <si>
    <t>69815417</t>
  </si>
  <si>
    <t>SMK KESEHATAN BUDI BAKTI TERING</t>
  </si>
  <si>
    <t>Jl. Tering Baru RT. III</t>
  </si>
  <si>
    <t>021201001248303</t>
  </si>
  <si>
    <t>Laporan Kegiatan, SPTJB dan Lap Realisasi tidak asli</t>
  </si>
  <si>
    <t>Laporan Kegiatan, Surat Pernyataan SPTJB dan lap Realisasi masih Triwulan</t>
  </si>
  <si>
    <t>69947959</t>
  </si>
  <si>
    <t>SMK KESEHATAN KARTINI</t>
  </si>
  <si>
    <t>JL. GAJAH MADA RT.19</t>
  </si>
  <si>
    <t>0111523231</t>
  </si>
  <si>
    <t>SMK KESEHATAN KARTINI/BOSDA</t>
  </si>
  <si>
    <t>perbaikan sptjb dan lap realisasi, laporan kegiatan, rekening koran</t>
  </si>
  <si>
    <t>30400571</t>
  </si>
  <si>
    <t>SMKS AVE BUNGEN TANA</t>
  </si>
  <si>
    <t>JL. KAMPUNG BIGUNG BARU</t>
  </si>
  <si>
    <t>1492058081</t>
  </si>
  <si>
    <t>SMK PERTANIAN AVE BUNGEN TANA</t>
  </si>
  <si>
    <t>perbaikan sptjb da lap realisasi, laporan  kegiatan belum ada</t>
  </si>
  <si>
    <t>Perbaikan tanggal dan belum ada laporan kegiatan</t>
  </si>
  <si>
    <t>30400570</t>
  </si>
  <si>
    <t>SMKS PURNAMA 1 BARONG TONGKOK</t>
  </si>
  <si>
    <t>PATIMURA BUSUR</t>
  </si>
  <si>
    <t>0111522995</t>
  </si>
  <si>
    <t>30400570 SMKS PURNAMA 1 B.T</t>
  </si>
  <si>
    <t>30400569</t>
  </si>
  <si>
    <t>SMKS SINAR ABADI MELAK</t>
  </si>
  <si>
    <t>JL. PATIMURA</t>
  </si>
  <si>
    <t>062601000396308</t>
  </si>
  <si>
    <t>SMK SINAR ABADI MELAK</t>
  </si>
  <si>
    <t>Surat Pernyataan tidak asli</t>
  </si>
  <si>
    <t>30402393</t>
  </si>
  <si>
    <t>SMKS SURYA MANDALA SENDAWAR</t>
  </si>
  <si>
    <t>0111523096</t>
  </si>
  <si>
    <t>30402393 SMKS SURYA MANDALA</t>
  </si>
  <si>
    <t>perbaikan SPTJB, Surat pernyataan SPTJB dan Lap Realisasi tidak asli</t>
  </si>
  <si>
    <t>Kutai Kartanegara</t>
  </si>
  <si>
    <t>131264020022</t>
  </si>
  <si>
    <t>MA AL MAHSYAR NURUL IMAN</t>
  </si>
  <si>
    <t>Jl. AP Mangkunegara No.km 2. RW.2, Tlk. Dalam, Kec. Tenggarong Seberang, Kabupaten Kutai Kartanegara, Kalimantan Timur 75512</t>
  </si>
  <si>
    <t>5000154612</t>
  </si>
  <si>
    <t>131264020020</t>
  </si>
  <si>
    <t>MA AL-MUHIBBIN</t>
  </si>
  <si>
    <t>Jl. Pulau Keramat RT. 007 Desa Jantur Kecamatan Muara Muntai Kab. Kutai Kartanegara</t>
  </si>
  <si>
    <t>1391401108</t>
  </si>
  <si>
    <t>MA AL MUHIBBIN</t>
  </si>
  <si>
    <t xml:space="preserve">Laporan Kegiatan </t>
  </si>
  <si>
    <t>Rekening koran kurang bln sept, perbaikan sptjb dan lap realisasi, lap kegiatan</t>
  </si>
  <si>
    <t>Perbaikan Laporan Kegiatan dan masih triwulan</t>
  </si>
  <si>
    <t>131264020019</t>
  </si>
  <si>
    <t>MA DAARUL QUR'AN WATTARBIYAH</t>
  </si>
  <si>
    <t>Jl. M. Hatta Handil 4 Muara Jawa Pesisir kutai kartanegara</t>
  </si>
  <si>
    <t>1142110080</t>
  </si>
  <si>
    <t>MA DAARUL QUR'AN WATTARBIYYAH</t>
  </si>
  <si>
    <t>Surat pernyataan tidaka ada, SPTJb dan Lap Realisasi tidak ada tanggal, rekening koran</t>
  </si>
  <si>
    <t xml:space="preserve">Tidak Ada Tanggal </t>
  </si>
  <si>
    <t>Perbaikan belum ada tanggal laporan realisasi, SPTJ, dan surat pernyataan kesanggupan</t>
  </si>
  <si>
    <t>131264020021</t>
  </si>
  <si>
    <t>MA DARUNNAFI'</t>
  </si>
  <si>
    <t>Jl. Soekarno Hatta Km. 35 RT.016 Kelurahan Karya Merdeka, kecamatan Samboja Barat, Kabupaten Kutai Kartanegara</t>
  </si>
  <si>
    <t>114201000809308</t>
  </si>
  <si>
    <t>MADRASAH ALIYAH DARUNNAFI</t>
  </si>
  <si>
    <t>131264020023</t>
  </si>
  <si>
    <t>MA ISHLAHUL UMMAH MUARA KAMAN</t>
  </si>
  <si>
    <t>Jl. Punai RT. 004 Desa Cipari Makmur Kec. Muara Kaman Kab. Kutai Kartanegara</t>
  </si>
  <si>
    <t>1532041020</t>
  </si>
  <si>
    <t>MADRASAH ALIYAH ISHLAHUL UMMAH</t>
  </si>
  <si>
    <t>Perbaikan tanggal surat pernyataan dan tidak asli</t>
  </si>
  <si>
    <t>131164020001</t>
  </si>
  <si>
    <t>MAN 1 KUTAI KARTANEGARA</t>
  </si>
  <si>
    <t>Jl. Muhammad Siddik RT. 017 No. 118 Kota Bangun Ulu Kec. Kota Bangun Kab. Kutai Kartanegara</t>
  </si>
  <si>
    <t>1102018016</t>
  </si>
  <si>
    <t>kata pengantar, Surat pernyataan, SPTJ, Lap realisasi tidak asli</t>
  </si>
  <si>
    <t>131164020002</t>
  </si>
  <si>
    <t>MAN 2 KUTAI KARTANEGARA</t>
  </si>
  <si>
    <t>Jl. Jelawat No. 32 RT. V, Kelurahan Timbau, Kecamatan Tenggarong, Kabupaten Kutai Kartanegara</t>
  </si>
  <si>
    <t>0042629197</t>
  </si>
  <si>
    <t>131264020010</t>
  </si>
  <si>
    <t>MAS AL IKHSAN</t>
  </si>
  <si>
    <t>Jl. Poros Samarinda-Sebulu KM 47</t>
  </si>
  <si>
    <t>460501012683537</t>
  </si>
  <si>
    <t>MADRASAH ALIYAH AL IKHSAN</t>
  </si>
  <si>
    <t>Perbaikan SPTJB dan Lap Realisasi</t>
  </si>
  <si>
    <t>131264020006</t>
  </si>
  <si>
    <t>MAS AL MASYHURIYAH</t>
  </si>
  <si>
    <t>Jl. Ahmad Yani No. 02, Desa Bukit Raya, Kec. Tenggarong Seberang, Kab. Kutai Kartanegara</t>
  </si>
  <si>
    <t>021201025531500</t>
  </si>
  <si>
    <t>MA ALMASYHURIYAH</t>
  </si>
  <si>
    <t>131264020002</t>
  </si>
  <si>
    <t>MAS AL MU MINUN MUARA MUNTAI</t>
  </si>
  <si>
    <t>Jl. Kihajar Dewantara RT. 008 No. 99 muara Muntai ulu kec. muara Muntai kab Kutai kartanegara</t>
  </si>
  <si>
    <t>1391401094</t>
  </si>
  <si>
    <t>Perbaikan SPTJ dan Laporan Realisasi</t>
  </si>
  <si>
    <t>SPTJB, Lap Realisasi, Surat pernyataan, SPTJB tidak ada saldo awal, BKU</t>
  </si>
  <si>
    <t>131264020004</t>
  </si>
  <si>
    <t>MAS AL MUKARRAMAH MUARA JAWA</t>
  </si>
  <si>
    <t>Jl. Moch Hatta, RT 023, Handil 4 Kel. Muara Jawa ulu, Kec. Muara Jawa, Kab. Kutai Kartanegara</t>
  </si>
  <si>
    <t>448301010266533</t>
  </si>
  <si>
    <t>MA ALMUKARRAMAH</t>
  </si>
  <si>
    <t>Belum stempel skolah, Surat peryataan tanggal salah, SPTJB Lap realisasi TW I 2025 belum ada</t>
  </si>
  <si>
    <t>Perbaikan tanggal surat pernyataan, BKU, SPTJB Lap realisasi Tahap II 2025 belum ada</t>
  </si>
  <si>
    <t>131264020011</t>
  </si>
  <si>
    <t>MAS AS ADIYAH SANTAN TENGAH</t>
  </si>
  <si>
    <t>Jl. H. Husain RT. VI Dusun Handil Dua Desa Santan Tengah Kecamatan Marang Kayu Kab. Kutai Kartanegara</t>
  </si>
  <si>
    <t>1181401610</t>
  </si>
  <si>
    <t>MA AS ADIYAH SANTAN TENGAH</t>
  </si>
  <si>
    <t xml:space="preserve">Perbaikan tanggal surat kesanggupan dan SPTJ </t>
  </si>
  <si>
    <t>131264020018</t>
  </si>
  <si>
    <t>MAS AT-TADZKIR</t>
  </si>
  <si>
    <t>Jl. Ex PT Hima Gg. Mandiri RT. 015 RW. 05 Desa Loa Duri Ilir Kec. Loa Janan Kab. Kutai Kartanegara</t>
  </si>
  <si>
    <t>1612161395</t>
  </si>
  <si>
    <t>MADRASAH ALIYAH AT-TADZKIR</t>
  </si>
  <si>
    <t>131264020012</t>
  </si>
  <si>
    <t>MAS BAHRUL ULUM</t>
  </si>
  <si>
    <t>Jl. Pangeran Antasari RT. 008 No. 212 Desa Semayang Kecamatan Kenohan Kabupaten Kutai Kartanegara</t>
  </si>
  <si>
    <t>1102122719</t>
  </si>
  <si>
    <t>MADRASAH ALIYAH BAHRUL ULUM</t>
  </si>
  <si>
    <t>Perbaikan surat kesanggupan</t>
  </si>
  <si>
    <t>131264020014</t>
  </si>
  <si>
    <t>MAS DARUL IHSAN</t>
  </si>
  <si>
    <t>Jl. Pesanteren, RT. 003, No.31 Desa Handil Terusan Kec. Anggana Kab.Kutai Kartanegara</t>
  </si>
  <si>
    <t>1112178771</t>
  </si>
  <si>
    <t>30315175 MA DARUL IHSAN</t>
  </si>
  <si>
    <t>131264020016</t>
  </si>
  <si>
    <t>MAS DARUL IKHLAS</t>
  </si>
  <si>
    <t>Jl. Widyagama 2 RT. 001 Desa Sambera Baru, Kec. Marangkayu Kab. Kutai Kartangeara</t>
  </si>
  <si>
    <t>1182066237</t>
  </si>
  <si>
    <t>MA DARUL IKHLAS</t>
  </si>
  <si>
    <t>Laporan Kegiatan, perbaikan, SPTJB perbaikan</t>
  </si>
  <si>
    <t>131264020009</t>
  </si>
  <si>
    <t>MAS DDI KARYA BARU LOA JANAN</t>
  </si>
  <si>
    <t>Jl. Soekarno Hatta RT. 30 No. 41 Desa Batuah Kec. Loa Janan Kab. Kutai Kartanegara</t>
  </si>
  <si>
    <t>0042557471</t>
  </si>
  <si>
    <t>MADRASAH ALIYAH DDI KARYA BARU</t>
  </si>
  <si>
    <t>131264020024</t>
  </si>
  <si>
    <t>MAS HADIQOTUL ‘ULUM</t>
  </si>
  <si>
    <t>Jl. Rangga Yudha RT. 012, kel. Mangkurawang, kec. Tenggarong, Kukar</t>
  </si>
  <si>
    <t>778401022173539</t>
  </si>
  <si>
    <t>MADRASAH ALIYAH HADIQOTUL ULUM</t>
  </si>
  <si>
    <t>131264020008</t>
  </si>
  <si>
    <t>MAS HIDAYATUL MUBTADIIN</t>
  </si>
  <si>
    <t>Jl. Muso Salim RT. 009 Desa Sidomukti Kec. Muara Kaman</t>
  </si>
  <si>
    <t>1532211294</t>
  </si>
  <si>
    <t>MA HIDAYATUL MUBTADIN</t>
  </si>
  <si>
    <t>SPTJ belum ada saldo awal</t>
  </si>
  <si>
    <t>Perbaikan tanggal surat pernyataan, tanggal kata pengantar, perbaikan SPTJB</t>
  </si>
  <si>
    <t>131264020015</t>
  </si>
  <si>
    <t>MAS IBADURRAHMAN</t>
  </si>
  <si>
    <t>Jl.KH.Tsani Karim RT. 21 Desa Bangun Rejo Tenggarong Seberang Kutai Kartanegara</t>
  </si>
  <si>
    <t>021201002256309</t>
  </si>
  <si>
    <t>MA IBADURRAHMAN TENGGARONG SEBERANG</t>
  </si>
  <si>
    <t>131264020007</t>
  </si>
  <si>
    <t>MAS MIFTAHUL ULUM ANGGANA</t>
  </si>
  <si>
    <t>Jl. Samarinda RT. 014 No. 194 Desa Sungai Mariam Kec. Anggana Kab. Kutai Kartanegara</t>
  </si>
  <si>
    <t>1112004005</t>
  </si>
  <si>
    <t>MADRASAH ALIYAH MIFTAHUL ULUM</t>
  </si>
  <si>
    <t>oke</t>
  </si>
  <si>
    <t>131264020005</t>
  </si>
  <si>
    <t>MAS NAHDLATUL WATHAN</t>
  </si>
  <si>
    <t>Jl. KH. Muhsan Makbul RT. 030 Desa Bangun Rejo Kec. Tenggarong Seberang Kab. Kutai Kartanegara</t>
  </si>
  <si>
    <t>460501010517536</t>
  </si>
  <si>
    <t>MA NAHDLATUL WATHAN</t>
  </si>
  <si>
    <t>131264020003</t>
  </si>
  <si>
    <t>MAS NURUDDIN SAMBOJA</t>
  </si>
  <si>
    <t>Jl Mesjid RT 08 No 01 Kel Wonotirto Kec. Samboja Kab Kutai Kartanegara</t>
  </si>
  <si>
    <t>447801007532536</t>
  </si>
  <si>
    <t>MA NURUDDIN SAMBOJA</t>
  </si>
  <si>
    <t>131264020001</t>
  </si>
  <si>
    <t>MAS PPKP RIBATHUL KHAIL TENGGARONG</t>
  </si>
  <si>
    <t>Jl. KH. Akmad Muksin No. 89 Kel. Timbau, Kecamatan Tenggarong Kabupaten Kutai Kartanegara</t>
  </si>
  <si>
    <t>021201023343503</t>
  </si>
  <si>
    <t>MA PPKP RIBATHUL KHAIL</t>
  </si>
  <si>
    <t>69931888</t>
  </si>
  <si>
    <t>SEKOLAH KHUSUS BINA INSAN MANDIRI TENGGARONG</t>
  </si>
  <si>
    <t>JL. TIRTA KENCANA NO. 07 RT44</t>
  </si>
  <si>
    <t>0042034053</t>
  </si>
  <si>
    <t>SEKOLAH BINA INSAN MANDIRI</t>
  </si>
  <si>
    <t>Laporan Kegiatan, SPRJB dan Lap Realisasi perbaikan</t>
  </si>
  <si>
    <t>Perbaikan tanggal surat pernyataan kesanggupan, SPTJ dan laporan realisasi</t>
  </si>
  <si>
    <t>70043018</t>
  </si>
  <si>
    <t>SLB Harapan Insani</t>
  </si>
  <si>
    <t>Jl. Petinggi Umar kampung jawa</t>
  </si>
  <si>
    <t>1612170378</t>
  </si>
  <si>
    <t>SLB HARAPAN INSANI</t>
  </si>
  <si>
    <t>perbaikan lap realisasi</t>
  </si>
  <si>
    <t>30407686</t>
  </si>
  <si>
    <t>SLB KUTAI KARTANEGARA TENGGARONG</t>
  </si>
  <si>
    <t>Jalan Durian Gg. Mega Rt.22</t>
  </si>
  <si>
    <t>0041554053</t>
  </si>
  <si>
    <t>SLB KUTAI KARTANEGARA</t>
  </si>
  <si>
    <t>69969940</t>
  </si>
  <si>
    <t>SLB MUTMAINNAH</t>
  </si>
  <si>
    <t>Jln. Gerbang Dayaku RT. 17 Loa Ranten</t>
  </si>
  <si>
    <t>1611401236</t>
  </si>
  <si>
    <t>69969940 SLB MUTMAINNAH</t>
  </si>
  <si>
    <t>69969001</t>
  </si>
  <si>
    <t>SLB Tunas Mandiri</t>
  </si>
  <si>
    <t>Jl. Moch. Hatta Gg. Al-Ikhlas RT. 18</t>
  </si>
  <si>
    <t>1142092898</t>
  </si>
  <si>
    <t>SLB TUNAS MANDIRI</t>
  </si>
  <si>
    <t>Laporan Kegiatan tidak sli, dan SPTJB dan Lap realisasi tidak asli</t>
  </si>
  <si>
    <t xml:space="preserve">Perbaikan tanggal surat pernyataan, Perbaikan SPTJB dan Lap Realisasi, </t>
  </si>
  <si>
    <t>Perbaikan Tanggal Surat Pernyataan Surat Kesanggupan</t>
  </si>
  <si>
    <t>30405309</t>
  </si>
  <si>
    <t>SMA AL HAYAT SAMBOJA</t>
  </si>
  <si>
    <t>JL BATUAH KM 36</t>
  </si>
  <si>
    <t>0298288940</t>
  </si>
  <si>
    <t>SMAS AL HAYAT SAMBOJA</t>
  </si>
  <si>
    <t>Perbaikan Laporan Realisasi dan SPTJ</t>
  </si>
  <si>
    <t>30405326</t>
  </si>
  <si>
    <t>SMA AL MUHAJIRIN MUARA BADAK</t>
  </si>
  <si>
    <t>JL. BADAK MAKMUR</t>
  </si>
  <si>
    <t>1091536664</t>
  </si>
  <si>
    <t>30405326 SMA AL MUHAJIRIN BDAK</t>
  </si>
  <si>
    <t>30405318</t>
  </si>
  <si>
    <t>SMA AL MUNAWWAROH TENGGARONG</t>
  </si>
  <si>
    <t>JL. RAYA BUKIT BIRU</t>
  </si>
  <si>
    <t>0041552395</t>
  </si>
  <si>
    <t>30405318 SMA AL MUNAWWAROH TGR</t>
  </si>
  <si>
    <t>Perbaikan SPTJ dan Laporan Realisasi masih triwulan</t>
  </si>
  <si>
    <t>Perbaikan tanggal surat peenyataan, laporan keuangan relisasi, perbaikan sptjb dan lap realisasi</t>
  </si>
  <si>
    <t>70047860</t>
  </si>
  <si>
    <t>SMA Evans Indonesia Kota Bangun</t>
  </si>
  <si>
    <t>Wilayah Estate PT. PMM, Prima Estate</t>
  </si>
  <si>
    <t>30405308</t>
  </si>
  <si>
    <t>SMA ISLAM SANIPAH SAMBOJA</t>
  </si>
  <si>
    <t>JL. RAYA BALIKPAPAN</t>
  </si>
  <si>
    <t>1422019452</t>
  </si>
  <si>
    <t>30405307</t>
  </si>
  <si>
    <t>SMA ISLAM ULUMUDDIN SAMBOJA</t>
  </si>
  <si>
    <t>Jl. Balikpapan-Handil RT. 5 No. 219</t>
  </si>
  <si>
    <t>1421400977</t>
  </si>
  <si>
    <t>SMA ISLAM ULUMUDDIN</t>
  </si>
  <si>
    <t>69860790</t>
  </si>
  <si>
    <t>SMA IT AL-HIDAYAH TENGGARONG</t>
  </si>
  <si>
    <t>Jl. Ruwan Rt 03</t>
  </si>
  <si>
    <t>0041554061</t>
  </si>
  <si>
    <t>69860790 SMA IT AL-HIDAYAH TGR</t>
  </si>
  <si>
    <t>69769393</t>
  </si>
  <si>
    <t>SMA IT NURUL ILMI TENGGARONG</t>
  </si>
  <si>
    <t>JL. AHMAD DAHLAN NO. 47 TENGGARONG</t>
  </si>
  <si>
    <t>0041586796</t>
  </si>
  <si>
    <t>SMA IT NURUL ILMI TGR</t>
  </si>
  <si>
    <t>Perbaikan SPTJb dan Lap Realisasi</t>
  </si>
  <si>
    <t>Perbaikan SPTJB</t>
  </si>
  <si>
    <t>70010059</t>
  </si>
  <si>
    <t>SMA KARAKTER BANGSA BOARDING SCHOOL</t>
  </si>
  <si>
    <t>JLN. RAMANIA RT 3 L2 BLOK D</t>
  </si>
  <si>
    <t>1651500164</t>
  </si>
  <si>
    <t>SMA KARAKTER BANGSA</t>
  </si>
  <si>
    <t>30400323</t>
  </si>
  <si>
    <t>SMA GOTONG ROYONG KOTA BANGUN</t>
  </si>
  <si>
    <t>JL PAHLAWAN RT.11</t>
  </si>
  <si>
    <t>1101512165</t>
  </si>
  <si>
    <t>SMA GOTONG ROYONG/BOSDA</t>
  </si>
  <si>
    <t>Perbaikan BKU</t>
  </si>
  <si>
    <t>30405306</t>
  </si>
  <si>
    <t>SMA HARAPAN SAMBOJA</t>
  </si>
  <si>
    <t>JL PELAJAR RT IV</t>
  </si>
  <si>
    <t>0298300253</t>
  </si>
  <si>
    <t>SMAS HARAPAN SAMBOJA</t>
  </si>
  <si>
    <t>30405335</t>
  </si>
  <si>
    <t>SMA KI HAJAR DEWANTARA KEMBANG JANGGUT</t>
  </si>
  <si>
    <t>JL PEMBANGUNAN</t>
  </si>
  <si>
    <t>1511500334</t>
  </si>
  <si>
    <t>30405335 SMA KH DEWANTARA KBJ</t>
  </si>
  <si>
    <t>Perbaikan Laporan Realisasi Sisa Tunai</t>
  </si>
  <si>
    <t>30405331</t>
  </si>
  <si>
    <t>SMA MARTADIPURA MUARA KAMAN</t>
  </si>
  <si>
    <t>JL. DUSUN LOA LEBAN RT III</t>
  </si>
  <si>
    <t>0298305693</t>
  </si>
  <si>
    <t>SMAS MARTADIPURA</t>
  </si>
  <si>
    <t>30405339</t>
  </si>
  <si>
    <t>SMA MUHAMMADIYAH TENGGARONG</t>
  </si>
  <si>
    <t>JL. PESUT, RT 14</t>
  </si>
  <si>
    <t>0041552352</t>
  </si>
  <si>
    <t>30405339 SMA MUHAMMADIYAH TGR</t>
  </si>
  <si>
    <t>30405322</t>
  </si>
  <si>
    <t>SMA NURUL YAQIN SEBULU</t>
  </si>
  <si>
    <t>JL. KARYAWAN RT.1 NO.01</t>
  </si>
  <si>
    <t>0298309029</t>
  </si>
  <si>
    <t>SMAS NURUL YAQIN SENONI</t>
  </si>
  <si>
    <t>Perbaikan nilai SPTJB dan Lap Realisasi, perbaikan tanggal surat pernyataan</t>
  </si>
  <si>
    <t>30405329</t>
  </si>
  <si>
    <t>SMA RAHMATULLAH MARANG KAYU</t>
  </si>
  <si>
    <t>JL SAMARINDA - BONTANG</t>
  </si>
  <si>
    <t>460201001881530</t>
  </si>
  <si>
    <t>SMA ISLAM RAHMATULLAH</t>
  </si>
  <si>
    <t>30405317</t>
  </si>
  <si>
    <t>SMA YPK TENGGARONG</t>
  </si>
  <si>
    <t>JL MAWAR I NO.48 TENGGARONG</t>
  </si>
  <si>
    <t>0042161471</t>
  </si>
  <si>
    <t>30405325</t>
  </si>
  <si>
    <t>SMA YPM DIPONEGORO TENGGARONG SEBERANG</t>
  </si>
  <si>
    <t>JL. FLAMBOYAN L.II/D</t>
  </si>
  <si>
    <t>0298315023</t>
  </si>
  <si>
    <t>SMAS YPM DIPONEGORO</t>
  </si>
  <si>
    <t>30405301</t>
  </si>
  <si>
    <t>SMK AJI BAIDURI LOA JANAN</t>
  </si>
  <si>
    <t>JL. Gerbang Dayaku  Gg. Manggis</t>
  </si>
  <si>
    <t>0041563052</t>
  </si>
  <si>
    <t>30405301 SMK AJI BAIDURI LJN</t>
  </si>
  <si>
    <t>70013872</t>
  </si>
  <si>
    <t>SMK AL-IDRUS KUTAI KARTANEGARA</t>
  </si>
  <si>
    <t>Jalan Naga Gang Mufakat RT.36 No.17</t>
  </si>
  <si>
    <t>021201003751302</t>
  </si>
  <si>
    <t>SMK AL IDRUS KUTAI KARTANEGARA</t>
  </si>
  <si>
    <t>30407704</t>
  </si>
  <si>
    <t>SMK AYODYA MARTA KENOHAN</t>
  </si>
  <si>
    <t>JL. TAMBAK RT. 3</t>
  </si>
  <si>
    <t>0041575581</t>
  </si>
  <si>
    <t>30407704 SMK AYODYA MARTA</t>
  </si>
  <si>
    <t>SPTJB tidak ada saldo awal, kurang laporan kegiatan dan Lap realisasi, berkas tidak boleh menggunakan kertas NCR</t>
  </si>
  <si>
    <t>30405302</t>
  </si>
  <si>
    <t>SMK BHAKTI LOA JANAN</t>
  </si>
  <si>
    <t>JL. GERBANG DAYAKU</t>
  </si>
  <si>
    <t>0041599588</t>
  </si>
  <si>
    <t>Perbaikan tanggal surat kesanggupan, SPTJ dan lap realisasi</t>
  </si>
  <si>
    <t>30409890</t>
  </si>
  <si>
    <t>SMK DARUL FALAH TENGGARONG</t>
  </si>
  <si>
    <t>JL. SEMERU GANG DARUL FALAH NO.04</t>
  </si>
  <si>
    <t>0041552581</t>
  </si>
  <si>
    <t>30409890 SMK DARUL FALAH TGR</t>
  </si>
  <si>
    <t>30407742</t>
  </si>
  <si>
    <t>SMK DIPONEGORO SAMBOJA</t>
  </si>
  <si>
    <t>JL. BALIKPAPAN HANDIL RT. 09</t>
  </si>
  <si>
    <t>1421401451</t>
  </si>
  <si>
    <t>30405784</t>
  </si>
  <si>
    <t>SMK DUTA BANGSA SAMBOJA</t>
  </si>
  <si>
    <t>JL. SOEKARNO HATTA KM. 39</t>
  </si>
  <si>
    <t>1781500166</t>
  </si>
  <si>
    <t>30405784 SMK DUTA BANGSA SBJ</t>
  </si>
  <si>
    <t>69902882</t>
  </si>
  <si>
    <t>SMK EL-FHALUY AL FAIZIN LOA KULU</t>
  </si>
  <si>
    <t>Jl. Poros 1 Dusun Tama Mulya RT 15 Jonggon Jaya, L</t>
  </si>
  <si>
    <t>0041591153</t>
  </si>
  <si>
    <t>SMK EL FHALUY ALFAIZIN (BOSDA)</t>
  </si>
  <si>
    <t>Perbaikan tanggal surat pernyataan</t>
  </si>
  <si>
    <t>30400227</t>
  </si>
  <si>
    <t>SMK GEOLOGI PERTAMBANGAN TENGGARONG</t>
  </si>
  <si>
    <t>JL. MAWAR 3 NO. 27</t>
  </si>
  <si>
    <t>021201000867308</t>
  </si>
  <si>
    <t>70009642</t>
  </si>
  <si>
    <t>SMK Gerbang Raja Tenggarong</t>
  </si>
  <si>
    <t>Jalan Wolter Monginsidi No.17 Tenggarong</t>
  </si>
  <si>
    <t>021201003881301</t>
  </si>
  <si>
    <t>SMK GERBANG RAJA TENGGARONG</t>
  </si>
  <si>
    <t>OKe</t>
  </si>
  <si>
    <t>30405785</t>
  </si>
  <si>
    <t>SMK JAYA KENCANA KOTA BANGUN</t>
  </si>
  <si>
    <t>Jl. Moh. Siddiq Rt. 17</t>
  </si>
  <si>
    <t>1101403382</t>
  </si>
  <si>
    <t>SMK JAYA KENCANA KOBA/BOSDA</t>
  </si>
  <si>
    <t>30407390</t>
  </si>
  <si>
    <t>SMK KETOPONG TENGGARONG</t>
  </si>
  <si>
    <t>JL.WOLTER MONGINSIDI NO.25</t>
  </si>
  <si>
    <t>021201000870301</t>
  </si>
  <si>
    <t>SMK KETOPONG</t>
  </si>
  <si>
    <t>30405299</t>
  </si>
  <si>
    <t>SMK MUHAMMADIYAH LOA JANAN</t>
  </si>
  <si>
    <t>JL. EX. PT. HIMA KAMPUNG JAWA</t>
  </si>
  <si>
    <t>062501000123303</t>
  </si>
  <si>
    <t>perbaikan sptjb dan lap realisasi, perbaikan tanggal surat pernyataan</t>
  </si>
  <si>
    <t xml:space="preserve">Perbaikan SPTJB dan Lap realisasi, </t>
  </si>
  <si>
    <t>30400228</t>
  </si>
  <si>
    <t>SMK MUHAMMADIYAH LOA KULU</t>
  </si>
  <si>
    <t>JALAN MUHAMMADIYAH</t>
  </si>
  <si>
    <t>021201000883304</t>
  </si>
  <si>
    <t>69860520</t>
  </si>
  <si>
    <t>SMK MUHAMMADIYAH MUARA BADAK</t>
  </si>
  <si>
    <t>JL. K.H AHMAD DAHLAN RT 29</t>
  </si>
  <si>
    <t>021201001181307</t>
  </si>
  <si>
    <t>perbaikan SPTJB dan Lap Realisasi, Surat peenyataan belum di stempel</t>
  </si>
  <si>
    <t>SPTJB dan Lap Realisai perbaikan, tanggal kata pengantar dan surat pernyataan, tanggal laporan ganti 31 okt</t>
  </si>
  <si>
    <t>30405303</t>
  </si>
  <si>
    <t>SMK MUHAMMADIYAH SANGA-SANGA</t>
  </si>
  <si>
    <t>JL. SYAHRIL DAHLAN D IV</t>
  </si>
  <si>
    <t>021201000864300</t>
  </si>
  <si>
    <t>SMK MUHAMMADIYAH SANGASANGA</t>
  </si>
  <si>
    <t>30405305</t>
  </si>
  <si>
    <t>SMK NASIONAL MUARA JAWA</t>
  </si>
  <si>
    <t>JL. MOCH. HATTA KM. 3 NO. 12</t>
  </si>
  <si>
    <t>021201000862308</t>
  </si>
  <si>
    <t>perbaikan SPTJB dan Lap Realisasi</t>
  </si>
  <si>
    <t>Perbaikan tanggal laporan</t>
  </si>
  <si>
    <t>30405765</t>
  </si>
  <si>
    <t>SMK PARTI LOA KULU</t>
  </si>
  <si>
    <t>JL. R. ISMANUN</t>
  </si>
  <si>
    <t>1641401273</t>
  </si>
  <si>
    <t>30405765 SMK PARTI LOA KULU</t>
  </si>
  <si>
    <t>30405783</t>
  </si>
  <si>
    <t>SMK PESISIR SAMBOJA</t>
  </si>
  <si>
    <t>JL. RAYA BALIKPAPAN-HANDIL II</t>
  </si>
  <si>
    <t>1421401744</t>
  </si>
  <si>
    <t>30405304</t>
  </si>
  <si>
    <t>SMK PRASETYA BUDI LUHUR MUARA JAWA</t>
  </si>
  <si>
    <t>JL. JEND. AHMAD YANI</t>
  </si>
  <si>
    <t>021201000886302</t>
  </si>
  <si>
    <t>Perbaikan Lap Realisasi &amp; SPTJ</t>
  </si>
  <si>
    <t>30405788</t>
  </si>
  <si>
    <t>SMK PURWAJAYA LOA JANAN</t>
  </si>
  <si>
    <t>JL. PEMBANGUNAN</t>
  </si>
  <si>
    <t>062501000126301</t>
  </si>
  <si>
    <t>SMK PURWAJAYA</t>
  </si>
  <si>
    <t>Laporan Realisasi dan SPTJM</t>
  </si>
  <si>
    <t>30407809</t>
  </si>
  <si>
    <t>SMK SYARIF HIDAYATULLAH MUARA BADAK</t>
  </si>
  <si>
    <t>JL. MUARA BADAK-SAMARINDA KM.1 RT 25</t>
  </si>
  <si>
    <t>021201000873309</t>
  </si>
  <si>
    <t>SMK SYARIF HIDAYATULLAH</t>
  </si>
  <si>
    <t>Laporan Realisasi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</si>
  <si>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</si>
  <si>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30405293</t>
  </si>
  <si>
    <t>SMK TUNAS ETAM TENGGARONG SEBERANG</t>
  </si>
  <si>
    <t>Jl. Baru PT.Kitadin L3 Blok. C Desa Bangunrejo Ten</t>
  </si>
  <si>
    <t>1651500237</t>
  </si>
  <si>
    <t>30405293 SMK TUNAS ETAM BOSDA</t>
  </si>
  <si>
    <t>berkas tidak asli, tanggal sptjb perbaikan</t>
  </si>
  <si>
    <t>Perbaikan Tanggal Surat Pernyataan Kesanggupan, SPTJ dan Lap Realisasi</t>
  </si>
  <si>
    <t>30405787</t>
  </si>
  <si>
    <t>SMK UTAMA AL-JABAL NUR SAMBOJA</t>
  </si>
  <si>
    <t>JL. PELAJAR</t>
  </si>
  <si>
    <t>1421401442</t>
  </si>
  <si>
    <t>SMK UTAMA AL JABAL NUR</t>
  </si>
  <si>
    <t>30405296</t>
  </si>
  <si>
    <t>SMK YP 17 TENGGARONG SEBERANG</t>
  </si>
  <si>
    <t>JL. MANUNGGAL JAYA KM. 17</t>
  </si>
  <si>
    <t>021201000876307</t>
  </si>
  <si>
    <t>30400213</t>
  </si>
  <si>
    <t>SMK YPK TENGGARONG</t>
  </si>
  <si>
    <t>JL. MAWAR I NO. 11</t>
  </si>
  <si>
    <t>0041552344</t>
  </si>
  <si>
    <t>30400213 SMK YPK TENGGARONG</t>
  </si>
  <si>
    <t>69764524</t>
  </si>
  <si>
    <t>SMK YPM DIPONEGORO TENGGARONG SEBERANG</t>
  </si>
  <si>
    <t>021201000940300</t>
  </si>
  <si>
    <t>SMK YPM DIPONEGORO</t>
  </si>
  <si>
    <t>Kutai Timur</t>
  </si>
  <si>
    <t>131264080006</t>
  </si>
  <si>
    <t>MA AL-FALAH</t>
  </si>
  <si>
    <t>Jl. Poros KM 5 Bontang-Sangatta, Suka Rahmat Teluk Pandan Kutai Timur</t>
  </si>
  <si>
    <t>0081535434</t>
  </si>
  <si>
    <t>70013801 MA AL FALAH</t>
  </si>
  <si>
    <t>Rekening koran, tanggal surat pernyataan, berkas tidak asli</t>
  </si>
  <si>
    <t>131264080005</t>
  </si>
  <si>
    <t>MA AN NABAWI</t>
  </si>
  <si>
    <t>Jl. Poros SP 2, Desa Wahau Baru, Kecamatan Muara Wahau, Kabupaten Kutai Timur</t>
  </si>
  <si>
    <t>1232202811</t>
  </si>
  <si>
    <t xml:space="preserve">Realisasi satu tahun </t>
  </si>
  <si>
    <t>131264080008</t>
  </si>
  <si>
    <t>MA MUS'AB BIN UMAIR</t>
  </si>
  <si>
    <t>Jl Poros Bontang-Samarinda Km. 19, Danau Redan, Teluk Pandan, Kutai Timur</t>
  </si>
  <si>
    <t>0082990623</t>
  </si>
  <si>
    <t>MA MUS AB BIN UMAIR</t>
  </si>
  <si>
    <t>Perbaikan tanggal, SPTJB dan Lap realisasi</t>
  </si>
  <si>
    <t>perbaikan tanggal surat pernyataan, Perbaikan SPTJB dan Lap Realisasi, SPTJB tidak ada saldo awal</t>
  </si>
  <si>
    <t>131264080007</t>
  </si>
  <si>
    <t>MA NUR ANNISA KARTANEGARA</t>
  </si>
  <si>
    <t>Jl.Poros propinsi RT 006 dusun tapian desa karangan seberang kecamatan karangan kabupaten Kutai Timur</t>
  </si>
  <si>
    <t>0101578330</t>
  </si>
  <si>
    <t>131264080003</t>
  </si>
  <si>
    <t>MAS AL MUFID</t>
  </si>
  <si>
    <t>Jl. Poros Bontang-Samarinda KM.08, RT. 010, Desa. Suka Rahmat, Kec. Teluk Pandan, Kab. Kutai Timur</t>
  </si>
  <si>
    <t>450701008613532</t>
  </si>
  <si>
    <t>MADRASAH ALIYAH ALMUFID</t>
  </si>
  <si>
    <t>Perbaikan tanggal Surat Pernyataan, Lap Realisasi tidak asli</t>
  </si>
  <si>
    <t>Lap Realisasi tidak asli</t>
  </si>
  <si>
    <t>131264080004</t>
  </si>
  <si>
    <t>MAS DAARUL IKHLAASH</t>
  </si>
  <si>
    <t>Jl. Poros Sangatta-Bontang Km. 05 GG. Manggis Sangatta Selatan</t>
  </si>
  <si>
    <t>0101553540</t>
  </si>
  <si>
    <t>MA DAARUL IKHLAASH SANGATTA</t>
  </si>
  <si>
    <t>131264080009</t>
  </si>
  <si>
    <t>MAS MBS KUTAI TIMUR</t>
  </si>
  <si>
    <t>Jl. Santai, RT. 005 Dusun Gunung Karet Kec.Sangatta Selatan, Kab.Kutai Timur, Kalimantan Timur</t>
  </si>
  <si>
    <t>0101539946</t>
  </si>
  <si>
    <t>MA MBS KUTAI TIMUR</t>
  </si>
  <si>
    <t>131264080002</t>
  </si>
  <si>
    <t>MAS NURUL HIKMAH</t>
  </si>
  <si>
    <t>Jl. Hidayatullah Gg. Hikmah No. 51 RT. 003 Teluk Lingga, Sangatta, Kutai Timur, Kalimantan Timur</t>
  </si>
  <si>
    <t>056301013642538</t>
  </si>
  <si>
    <t>Perbaikan SPTJB dan Lap Realisasi, Laporan Kegiatan tidak ada</t>
  </si>
  <si>
    <t>Laporan Kegiatan, Perbaikan tanggal Surat Pernyataan Kesanggupan, SPTJ dan Laporan Realisasi</t>
  </si>
  <si>
    <t>131264080001</t>
  </si>
  <si>
    <t>MAS NURUSSA ADAH</t>
  </si>
  <si>
    <t>Jl. Jendral Sudirman RT. 022 No. 37 Benua Baru Ilir Sangkulirang</t>
  </si>
  <si>
    <t>0102128583</t>
  </si>
  <si>
    <t>MADRASAH ALIYAH NURUSSA'ADAH</t>
  </si>
  <si>
    <t>69878226</t>
  </si>
  <si>
    <t>SLB BAHASA HATI</t>
  </si>
  <si>
    <t>JL. SOEKARNO HATTA KM. 2+900</t>
  </si>
  <si>
    <t>0101507785</t>
  </si>
  <si>
    <t>Kurang Laporan Krgiatan, SPJ belum ada kuitansi hanya ada nota nota</t>
  </si>
  <si>
    <t>Perbaikan SPJ, Laporan Kegiatan</t>
  </si>
  <si>
    <t>30400779</t>
  </si>
  <si>
    <t>SLB DAARUSSALAAM</t>
  </si>
  <si>
    <t>JL. JEND. SUDIRMAN NO.1</t>
  </si>
  <si>
    <t>0101553566</t>
  </si>
  <si>
    <t>30400779 SLB DAARUSSALAAM</t>
  </si>
  <si>
    <t>Laporan Kegiatan, SPTJB dan Lap Realisasi perbaikan</t>
  </si>
  <si>
    <t>70042390</t>
  </si>
  <si>
    <t>SMA Islam Terpadu Daarussalaam Sangatta</t>
  </si>
  <si>
    <t>Jl.  Jend.  Sudirman  No.1</t>
  </si>
  <si>
    <t>0101565637</t>
  </si>
  <si>
    <t>SMAIT DAARUSSALAAM</t>
  </si>
  <si>
    <t>SPTJB dan Lap realisais amsih Triwulan, Berkas belum asli, perbaikan tanggal surat pernyataan</t>
  </si>
  <si>
    <t xml:space="preserve">Perbaiakan tanggal surat kesanggupan </t>
  </si>
  <si>
    <t>Perbaikan surat pernyataan</t>
  </si>
  <si>
    <t>70027332</t>
  </si>
  <si>
    <t>SMA PLUS BUDI LUHUR MANDIRI</t>
  </si>
  <si>
    <t>Jl. Permai Raya,RT 020</t>
  </si>
  <si>
    <t>0101553396</t>
  </si>
  <si>
    <t>SMA PLUS BUDI LUHUR MDRI BOSDA</t>
  </si>
  <si>
    <t>perbaikan sptjb dan lap realisasi,surat pernyataan tidak asli dan perbaikan tanggal, rekening koran tidak lengkap</t>
  </si>
  <si>
    <t>70040356</t>
  </si>
  <si>
    <t>SMA Prima YPPSB</t>
  </si>
  <si>
    <t>Jl. Munthe, Kompleks Perumahan Griya Prima Lestari</t>
  </si>
  <si>
    <t>0101547175</t>
  </si>
  <si>
    <t>70040356 SMA PRIMA YPPSB</t>
  </si>
  <si>
    <t>perbaikan tanggal surat pernyataan, perbaikan saldo akhir sptjb</t>
  </si>
  <si>
    <t xml:space="preserve">Perbaikan Tanggal surat kesanggupan </t>
  </si>
  <si>
    <t>30404429</t>
  </si>
  <si>
    <t>SMAS BAKTI SEJAHTERA</t>
  </si>
  <si>
    <t>JL. PAHLAWAN</t>
  </si>
  <si>
    <t>1231502561</t>
  </si>
  <si>
    <t>30404429 SMAS BAKTI SEJAHTERA</t>
  </si>
  <si>
    <t>Kurang Laporan Kegiatan dan Perbaikan SPTJB dan Lap realisasi</t>
  </si>
  <si>
    <t>Perbaikan SPTJB dan Lap RealisasiKurang Laporan Kegiatan dan Perbaikan SPTJB dan Lap realisasi</t>
  </si>
  <si>
    <t>69880762</t>
  </si>
  <si>
    <t>SMAK SANTA YOSEPH</t>
  </si>
  <si>
    <t>Jl. Mulawarman No. 1 Komplek Gereja Katolik Bukit Batu Bara Sangatta Utara</t>
  </si>
  <si>
    <t>0101550273</t>
  </si>
  <si>
    <t>SMAK SANTO YOSEPH SANGATTA</t>
  </si>
  <si>
    <t>69981642</t>
  </si>
  <si>
    <t>SMK AL-QURAN DAN DAKWAH ALAM</t>
  </si>
  <si>
    <t>Jalan Menur</t>
  </si>
  <si>
    <t>1231501921</t>
  </si>
  <si>
    <t>SMK ALQURAN DAKWAH A</t>
  </si>
  <si>
    <t>Seluruh Laporan Kegiatan, Perbaikan SPTJB dan Lap realisasi, BKU, Rekening Koran</t>
  </si>
  <si>
    <t>30404455</t>
  </si>
  <si>
    <t>SMKS AL KAUTSAR BENGALON</t>
  </si>
  <si>
    <t>JL. HAUR KUNING SUMBER MAKMUR</t>
  </si>
  <si>
    <t>056301000535302</t>
  </si>
  <si>
    <t xml:space="preserve">SMK AL-KAUTSAR </t>
  </si>
  <si>
    <t>Kurang laporan kegiatan</t>
  </si>
  <si>
    <t>surat pernyataan tidak asli dan perbaikan tanggal, SPTJB dan Lap Realisasi tidak asli, perbaikan saldo akhir lap realisasi</t>
  </si>
  <si>
    <t>Perbaikan Tanggal Surat Kesanggupan, SPTJ &amp; Laporan Realisasi</t>
  </si>
  <si>
    <t>30400778</t>
  </si>
  <si>
    <t>SMKS HASANUDDIN SANGATTA SELATAN</t>
  </si>
  <si>
    <t>Jl. Loa Mali No.40 RT.02 Sangatta Selatan</t>
  </si>
  <si>
    <t>0101593282</t>
  </si>
  <si>
    <t>30400778 SMKS HASANUDDIN SGT</t>
  </si>
  <si>
    <t>Perbaikan tanggal surat pernyataan kesanggupan, SPTJ dan Laporan Realisasi</t>
  </si>
  <si>
    <t>30400776</t>
  </si>
  <si>
    <t>SMKS HIDAYATUL MUBTADIIN KONGBENG</t>
  </si>
  <si>
    <t>JL. Mulawarman SP 4 Desa Marga Mulia</t>
  </si>
  <si>
    <t>221101000005304</t>
  </si>
  <si>
    <t>SPTJB dan Lap Realisasi, Laporan Keuangan</t>
  </si>
  <si>
    <t>Lampiran Rek koran kurang, BKU</t>
  </si>
  <si>
    <t>Perbaikan tanggal Kata Pengantar, surat pernyataan kesanggupan, SPTJ dan laporan realisasi</t>
  </si>
  <si>
    <t>30404577</t>
  </si>
  <si>
    <t>SMKS ISLAM NURUL HIKMAH</t>
  </si>
  <si>
    <t>JL. YOS SUDARSO III NO. 34</t>
  </si>
  <si>
    <t>0101538371</t>
  </si>
  <si>
    <t>SMK ISLAM NURUL HIKMAH</t>
  </si>
  <si>
    <t xml:space="preserve">Kata Pengantar dan Surat Pernyataan tidak asli, </t>
  </si>
  <si>
    <t>perbaikan tanggal surat pernyataan, berkas laporan yang ber ttd tidak asli</t>
  </si>
  <si>
    <t>30405683</t>
  </si>
  <si>
    <t>SMKS KUTIM CEMERLANG</t>
  </si>
  <si>
    <t>Jl. Poros Simpang 3 Bontang Sangatta</t>
  </si>
  <si>
    <t>056301000524301</t>
  </si>
  <si>
    <t>SMK KUTIM CEMERLANG</t>
  </si>
  <si>
    <t>perbaikan semua tanggal</t>
  </si>
  <si>
    <t>perbaikan tanggal surat pernyataan, perbaikan laporan keuangan realisasi</t>
  </si>
  <si>
    <t>30404529</t>
  </si>
  <si>
    <t>SMKS MUHAMMADIYAH 1 SANGATTA UTARA</t>
  </si>
  <si>
    <t>JL. K. H. AHMAD DAHLAN RT.51</t>
  </si>
  <si>
    <t>0101538214</t>
  </si>
  <si>
    <t>SMK MUHAMMADIYAH 1 SANGATTA</t>
  </si>
  <si>
    <t>Laporan kegiatan</t>
  </si>
  <si>
    <t>laporan kegiatan</t>
  </si>
  <si>
    <t>30404457</t>
  </si>
  <si>
    <t>SMKS MUHAMMADIYAH SANGKULIRANG</t>
  </si>
  <si>
    <t>JL. DMG SETIA NO 06</t>
  </si>
  <si>
    <t>1481500547</t>
  </si>
  <si>
    <t>30404457 SMKS MUHAMMADIYAH SKL</t>
  </si>
  <si>
    <t>Saldo Awal SPTJB</t>
  </si>
  <si>
    <t>Perbaikan tanggal surat pernyataan dan SPTJB tidak ada saldo awal</t>
  </si>
  <si>
    <t>30409884</t>
  </si>
  <si>
    <t>SMKS PERSADA</t>
  </si>
  <si>
    <t>JL. SEPAKAT</t>
  </si>
  <si>
    <t>056301000532304</t>
  </si>
  <si>
    <t>SMK PERSADA</t>
  </si>
  <si>
    <t>SPTJB tidak ada saldo awal,Kurang Laporan Kegiatan</t>
  </si>
  <si>
    <t>30405622</t>
  </si>
  <si>
    <t>SMKS SINGA GEWEH</t>
  </si>
  <si>
    <t>JL MULAWARMAN No 64</t>
  </si>
  <si>
    <t>056301000539306</t>
  </si>
  <si>
    <t>SMK SINGA GAWEH</t>
  </si>
  <si>
    <t>Perbaikan tanggal kata pengan tar dan surat pern yataan</t>
  </si>
  <si>
    <t>Perbaikan tanggal Kata Pengantar dan surat pernyataan</t>
  </si>
  <si>
    <t>Mahakam Ulu</t>
  </si>
  <si>
    <t>30400578</t>
  </si>
  <si>
    <t>SMA SWASTA AWANG LONG</t>
  </si>
  <si>
    <t>JL. KH. DEWANTARA RT.II</t>
  </si>
  <si>
    <t>0161500321</t>
  </si>
  <si>
    <t>30400578 SMA SWASTA AWANG LONG</t>
  </si>
  <si>
    <t>kata pengantar belum ttd, surat pernytaan tidak asli,Lap realisasi dan SPTJB perbaikan</t>
  </si>
  <si>
    <t>30402379</t>
  </si>
  <si>
    <t>SMA SWASTA MAHAKAM</t>
  </si>
  <si>
    <t>JL. HIGANG WAN GANG PELAJAR RT.I</t>
  </si>
  <si>
    <t>0161580015</t>
  </si>
  <si>
    <t>30402379 SMA SWASTA MAHAKAM</t>
  </si>
  <si>
    <t>60726654</t>
  </si>
  <si>
    <t>SMK SWASTA CAHAYA MULIA</t>
  </si>
  <si>
    <t>KAMPUNG RUKUN DAMAI</t>
  </si>
  <si>
    <t>0161580031</t>
  </si>
  <si>
    <t>SMK CAHAYA MULIA/BOSDA</t>
  </si>
  <si>
    <t>Lporan Kegiatan, perbaikan sptjb dan lap realisasi</t>
  </si>
  <si>
    <t>30409888</t>
  </si>
  <si>
    <t>SMK SWASTA PELITA MAHAKAM</t>
  </si>
  <si>
    <t>KAMP. DATAH BILANG ULU</t>
  </si>
  <si>
    <t>0011581714</t>
  </si>
  <si>
    <t>30409888 SMK SWASTA PELITA MHK</t>
  </si>
  <si>
    <t>Perbaikan SPTJb dan Lap Realisasi, tanggal surat pernyataan, rekening koran tidak lengkap</t>
  </si>
  <si>
    <t>Paser</t>
  </si>
  <si>
    <t>131264010015</t>
  </si>
  <si>
    <t>MA AL MAZAYA PASER</t>
  </si>
  <si>
    <t>Jl. Provinsi, Km. 09, RT. 003, Desa Sempulang, Kec.Tanah Grogot, Kab. Paser, Kalimantan Timur</t>
  </si>
  <si>
    <t>0021599158</t>
  </si>
  <si>
    <t>AL MAZAYA PASER, MA</t>
  </si>
  <si>
    <t>131264010014</t>
  </si>
  <si>
    <t>MA AL MUKARRAM</t>
  </si>
  <si>
    <t>Jl. Madinah Pasar Minggu Lama RT. 002 Desa Pait Kec. Long Ikis Kab. Paser, Kalimantan Timur</t>
  </si>
  <si>
    <t>1042284129</t>
  </si>
  <si>
    <t>Kurang laporan krgiatan, SPTJB tidak ada saldo awal</t>
  </si>
  <si>
    <t>Perbaikan tanggal surat peenyataan, SPTJB tidak ada saldo awal, berkas tidak asli</t>
  </si>
  <si>
    <t>131264010016</t>
  </si>
  <si>
    <t>MA ANWARUS SALAF</t>
  </si>
  <si>
    <t>Jl. Kupang RT. 007 Desa Sempulang, Kec. Tanah Grogot, Kab. Paser, Kalimantan Timur</t>
  </si>
  <si>
    <t>0021596647</t>
  </si>
  <si>
    <t>stempel kata pengantar, perbaikan SPTJb dan Lap realisasi, rekening koran, BKU, tanggal surat pernyataan</t>
  </si>
  <si>
    <t>131164010002</t>
  </si>
  <si>
    <t>MAN INSAN CENDEKIA PASER</t>
  </si>
  <si>
    <t>Jl. Negara Km 08 Desa Sempulang Kec. Tanah Grgot Kab. Paser Kalimantan Timur</t>
  </si>
  <si>
    <t>0022360108</t>
  </si>
  <si>
    <t>MA NEGERI INSAN CENDEKIA</t>
  </si>
  <si>
    <t>131164010001</t>
  </si>
  <si>
    <t>MAN PASER</t>
  </si>
  <si>
    <t>Jl. Negara RT. 001 No. 92 Desa Tanah Periuk Kec. Tanah Grogot Kab. Paser, Kalimatan Timur</t>
  </si>
  <si>
    <t>0022158325</t>
  </si>
  <si>
    <t>MADRASAH ALIYAH NEGERI PASER</t>
  </si>
  <si>
    <t>Surat pernyataan, SPTJB, dan laporan realisasi tidak asli, surat pernyataan belum bermaterai, SPTJB tidak ada saldo awal</t>
  </si>
  <si>
    <t>131264010009</t>
  </si>
  <si>
    <t>MAS AL FURQON</t>
  </si>
  <si>
    <t>Jl. Nusa Indah RT. 020 Desa Suliliran Baru Kec. Paser Belengkong Kab. Paser, Kalimantan Timur</t>
  </si>
  <si>
    <t>0021512699</t>
  </si>
  <si>
    <t>MA AL FURQAN</t>
  </si>
  <si>
    <t>Perbaikan SPTJM Triwulan</t>
  </si>
  <si>
    <t>Perbaikan SPTJB, tanggal surat pernyataan, berkas tidak asli</t>
  </si>
  <si>
    <t>Perbaikan tanggal, masih ada kata triwulan</t>
  </si>
  <si>
    <t>131264010003</t>
  </si>
  <si>
    <t>MAS AL IHSAN</t>
  </si>
  <si>
    <t>Jl. Senaken RT. 004, Desa Senaken, Kec. Tanah Grogot, Kab. Paser, Kalimantan Timur 76211</t>
  </si>
  <si>
    <t>0022159798</t>
  </si>
  <si>
    <t>MA AL IHSAN TANAH GROGOT</t>
  </si>
  <si>
    <t>Kata Pengantar, Surat pernyataan, SPTJB dan lap Realisasi  tidak asli</t>
  </si>
  <si>
    <t>Perbaikan tanggal Surat Pernyataan, Perbaikan SPTJB, Reekening Koran</t>
  </si>
  <si>
    <t>Perbaikan tanggal surat peenyataan, SPTJ dan Laporan realisasi</t>
  </si>
  <si>
    <t>131264010008</t>
  </si>
  <si>
    <t>MAS AL-IKHLAS</t>
  </si>
  <si>
    <t>Jl. Negara KM. 170 RT. 002 No. 55 Kec.Muara Komam Kab.Paser, Kalimantan Timur</t>
  </si>
  <si>
    <t>0022159453</t>
  </si>
  <si>
    <t>MA AL-IKHLAS MUARA KOMAM</t>
  </si>
  <si>
    <t>sptjb tidak ada saldo awal, perbaikan tanggal kata pengantar</t>
  </si>
  <si>
    <t>Perbaikan surat pernyataan surat kesanggupan</t>
  </si>
  <si>
    <t>131264010012</t>
  </si>
  <si>
    <t>MAS BABUSSALAM</t>
  </si>
  <si>
    <t>Jl. Provinsi KM 12 RT. 003 Desa Janju Kec. Tanah Grogot Kab. Paser Kalimantan Timur</t>
  </si>
  <si>
    <t>0021533874</t>
  </si>
  <si>
    <t>MA BABUSSALAM</t>
  </si>
  <si>
    <t>Perbaikan tgl SPTJ realisasi</t>
  </si>
  <si>
    <t>perbaikan tanggal kata pengantgar</t>
  </si>
  <si>
    <t>131264010002</t>
  </si>
  <si>
    <t>MAS BINA ISLAM</t>
  </si>
  <si>
    <t>Jl. KH.Agus Salim Tanah Grogot</t>
  </si>
  <si>
    <t>0022053035</t>
  </si>
  <si>
    <t>MADRASAH ALIYAH BINA ISLAM</t>
  </si>
  <si>
    <t>131264010007</t>
  </si>
  <si>
    <t>MAS FATHUR RAHMAN</t>
  </si>
  <si>
    <t>Jl. Negara KM. 142 RT. 021 Batu Kajang Kec. Batu Sopang Kab. Paser Kalimantan Timur</t>
  </si>
  <si>
    <t>1152132260</t>
  </si>
  <si>
    <t>MA FATHUR RAHMAN</t>
  </si>
  <si>
    <t>SPTJB tidak ada saldo awal, perbaikan tgl surat pernyataan, laporan realisasi keuangan</t>
  </si>
  <si>
    <t>SPTJB tidak ada saldo awal, perbaikan tgl SPTJB dan Lap Realisasi</t>
  </si>
  <si>
    <t>131264010017</t>
  </si>
  <si>
    <t>MAS HUBBUL WATHAN NW PASER</t>
  </si>
  <si>
    <t>Jl. Gajah Mada, Desa Padang Pengrapat,Kec. Tanah Grogot, Kab. Paser, Kalimantan Timur</t>
  </si>
  <si>
    <t>0021411922</t>
  </si>
  <si>
    <t>SPTJB dab Lap Realisasi tidak asli, SPTJB masih Triwulan I, Kurang Laporan Kegiatan</t>
  </si>
  <si>
    <t>Perbaikan tanggal, SPTJB dan lap realisasi masih triwulan</t>
  </si>
  <si>
    <t>131264010004</t>
  </si>
  <si>
    <t>MAS ISTIQAMAH</t>
  </si>
  <si>
    <t>Jl. Negara Km. 82 RT.006 Long Ikis, Kec. Long Ikis Kab. Paser Kalimantan Timur</t>
  </si>
  <si>
    <t>1041500898</t>
  </si>
  <si>
    <t>MA ISTIQAMAH LONG IKIS</t>
  </si>
  <si>
    <t>Perbaikan SPTJB dan Lap realisasi</t>
  </si>
  <si>
    <t>Perbaikan tanggal surat pernyataan, perbaikan sptjb dan laporan realisasi</t>
  </si>
  <si>
    <t>131264010010</t>
  </si>
  <si>
    <t>MAS NURUL KHAIR</t>
  </si>
  <si>
    <t>Jl. Poros Desa Muara Telake RT. 004 Kec. Long Kali Kab. Paser, Kalimantan Timur</t>
  </si>
  <si>
    <t>0022156543</t>
  </si>
  <si>
    <t>MA. NURUL KHAIR AS'ADIYAH</t>
  </si>
  <si>
    <t>Perbaikan SPTJB dan Lap realisasi, tanggal surat pernyataan</t>
  </si>
  <si>
    <t>131264010005</t>
  </si>
  <si>
    <t>MAS SUBULUSSALAM KUARO</t>
  </si>
  <si>
    <t>Jl. Mulawarman RT. 007 Kuaro Kec. Kuaro Kab. Paser Kalimantan Timur</t>
  </si>
  <si>
    <t>1522328690</t>
  </si>
  <si>
    <t>MA SUBULUSSALAM KUARO</t>
  </si>
  <si>
    <t>Perbaikan SPTJb dan Lap Realisasi nilai realisasi tidak ada</t>
  </si>
  <si>
    <t>131264010013</t>
  </si>
  <si>
    <t>MAS TRUBUS IMAN</t>
  </si>
  <si>
    <t>Jl. Salak Pondoh Blok C RT. 013 Desa Padang Pengrapat Kec. Tanah Grogot Kab. Paser, Kalimantan Timur</t>
  </si>
  <si>
    <t>0021470937</t>
  </si>
  <si>
    <t>TRUBUS IMAN PASER, MA</t>
  </si>
  <si>
    <t>Surat pernyataan salah tanggal</t>
  </si>
  <si>
    <t>69944364</t>
  </si>
  <si>
    <t>Jl. Jenderal Ahmad Yani RT. 008 Kel. Kuaro Kec. Ku</t>
  </si>
  <si>
    <t>1522015802</t>
  </si>
  <si>
    <t>SMA INTEGRAL LUQMAN AL-HAKIM</t>
  </si>
  <si>
    <t>Laporan Kegiatan, belum ada SPTJ, Laporan realisasi dan surat pernyataan kesanggupan</t>
  </si>
  <si>
    <t>69984683</t>
  </si>
  <si>
    <t>SMA IT Al-Khawarizmi</t>
  </si>
  <si>
    <t>Jln. Ridwan Suwidi</t>
  </si>
  <si>
    <t>0021594172</t>
  </si>
  <si>
    <t>SMAIT AL-KHAWARIZMI</t>
  </si>
  <si>
    <t>Perbaikan tanggal Surat Pernyataan, tanggal kata pengantar,perbaikan sptjb dan tanggalnya, lap realisasi belum ada</t>
  </si>
  <si>
    <t>Kata pengantar  belum TTD, lap realisasi tidak ada, rekening koran tidak lengkap, nilai laporan tidak sesuai</t>
  </si>
  <si>
    <t>30407371</t>
  </si>
  <si>
    <t>SMAS ISLAM BINA IMAN</t>
  </si>
  <si>
    <t>NEGARA NO.32 RT.VII</t>
  </si>
  <si>
    <t>0022228595</t>
  </si>
  <si>
    <t>SMA ISLAM BINA IMAN</t>
  </si>
  <si>
    <t>Laporan realisasi belum ditulis sisa dana</t>
  </si>
  <si>
    <t>perbaikan SPTJB, berkas tidak asli</t>
  </si>
  <si>
    <t>30400178</t>
  </si>
  <si>
    <t>SMAS MUHAMMADIYAH TANAH GROGOT</t>
  </si>
  <si>
    <t>JL. PANGERAN MENTERI TANAH GROGOT NO. 96 TANAH GRO</t>
  </si>
  <si>
    <t>0022153218</t>
  </si>
  <si>
    <t>SMA MUHAMMADIYAH TANAH GROGOT</t>
  </si>
  <si>
    <t>Perbaikan tanggal Surat Pernyataan</t>
  </si>
  <si>
    <t>tangga SPTJB</t>
  </si>
  <si>
    <t>30408004</t>
  </si>
  <si>
    <t>SMK MUHAMMADIYAH LONGKALI</t>
  </si>
  <si>
    <t>Jln. Abdullah jahi RT 02</t>
  </si>
  <si>
    <t>021401000925308</t>
  </si>
  <si>
    <t>SMK MUHAMMADIYAH LONG KALI</t>
  </si>
  <si>
    <t>Perbaikan Surat Pernyataan</t>
  </si>
  <si>
    <t>BKU, Rek Koran bulan november, Perbaikan tanggal surat pernyataan</t>
  </si>
  <si>
    <t>69759028</t>
  </si>
  <si>
    <t>SMKS AL IKHLAS LONG KALI</t>
  </si>
  <si>
    <t>JL MESJID NURUL  IJTIHAD KM 65</t>
  </si>
  <si>
    <t>021401000926304</t>
  </si>
  <si>
    <t>SMK AL IKHLAS LONG KALI</t>
  </si>
  <si>
    <t>Kurang Laporan Kegiatan, SPTJB tidak ada saldo awal</t>
  </si>
  <si>
    <t>SPTJB tidak ada saldo awal, Perbaikan tanggal SPTJb dan Lap Realisasi, Laporan Kegiatan</t>
  </si>
  <si>
    <t>Perbaikan tidak ada saldo awal SPTJ dan laporan kegiatan</t>
  </si>
  <si>
    <t>30407736</t>
  </si>
  <si>
    <t>SMKS KERTANEGARA KUARO</t>
  </si>
  <si>
    <t>JLN. RAYA. KM 113</t>
  </si>
  <si>
    <t>021401000923306</t>
  </si>
  <si>
    <t>SMK KERTANEGARA KUARO</t>
  </si>
  <si>
    <t>16 Juni 2024 (Berkas Ok)</t>
  </si>
  <si>
    <t>Perbaikan tanggal kata pengantat dan surat pernyataan</t>
  </si>
  <si>
    <t>30405265</t>
  </si>
  <si>
    <t>SMKS MUHAMMADIYAH LONG IKIS</t>
  </si>
  <si>
    <t>JL NEGARA KM 84</t>
  </si>
  <si>
    <t>1042039779</t>
  </si>
  <si>
    <t>SMK MUHAMMADIYAH LONG IKIS</t>
  </si>
  <si>
    <t>30405357</t>
  </si>
  <si>
    <t>SMKS PGRI 2 TANAH GROGOT</t>
  </si>
  <si>
    <t>JL. RM NOTO SUNARDI</t>
  </si>
  <si>
    <t>0022177389</t>
  </si>
  <si>
    <t>SMK PGRI 2 TANAH GROGOT</t>
  </si>
  <si>
    <t>Tidak ada Saldo Awal SPTJB</t>
  </si>
  <si>
    <t>69786428</t>
  </si>
  <si>
    <t>SMKS PGRI MUARA KOMAM</t>
  </si>
  <si>
    <t>Jalan Negara KM 170 Muara Komam</t>
  </si>
  <si>
    <t>716101012688530</t>
  </si>
  <si>
    <t>Perbaikan sptjb dan Lap realisasi, tanggal Surat ernyataan salah</t>
  </si>
  <si>
    <t>Penajam Paser Utara</t>
  </si>
  <si>
    <t>131164090001</t>
  </si>
  <si>
    <t>MAN PENAJAM PASER UTARA</t>
  </si>
  <si>
    <t>Jl. Raya KM. 47 RT. 005 Desa Babulu Darat Kec. Babulu Kab. Penajam Paser Utara</t>
  </si>
  <si>
    <t>1292117848</t>
  </si>
  <si>
    <t>SPTJB dan Lap realisasi</t>
  </si>
  <si>
    <t>131264090001</t>
  </si>
  <si>
    <t>MAS AL FALAH</t>
  </si>
  <si>
    <t>Jl. Propinsi KM.18 Kel.Petung Kec. Penajam Kab. Penajam Paser Utara</t>
  </si>
  <si>
    <t>0132078041</t>
  </si>
  <si>
    <t>MADRASAH ALIYAH AL-FALAH</t>
  </si>
  <si>
    <t>Pebaikan tanggal surat pernyataan</t>
  </si>
  <si>
    <t>131264090002</t>
  </si>
  <si>
    <t>MAS BINA UL MUHAJIRIN</t>
  </si>
  <si>
    <t>Jl. Rawa Pelita RT. 005 Desa Rawa Mulia Kecamatan Babulu Kab.Penajam Paser Utara 76285</t>
  </si>
  <si>
    <t>1292098746</t>
  </si>
  <si>
    <t>MA BINA UL MUHAJIRIN</t>
  </si>
  <si>
    <t>Perbaikan tanggal, perbaikan sptjb dan lap realisasi</t>
  </si>
  <si>
    <t>Perbaikan SPTJB dan Lap Realisasi, tanggal surat pernyataa</t>
  </si>
  <si>
    <t>131264090003</t>
  </si>
  <si>
    <t>MAS DARUL ULUM</t>
  </si>
  <si>
    <t>Jl. Raden Sukma RT. 016 Kecamatan Penajam Kab. Penajam Paser Utara</t>
  </si>
  <si>
    <t>0131513321</t>
  </si>
  <si>
    <t>MADRASAH ALIYAH DARUL ULUM</t>
  </si>
  <si>
    <t>SPTJB dan Lap realisasi Perbaikan, ttd belum di stempel semua, sptjb belum ada materai</t>
  </si>
  <si>
    <t>Perbaikan Lap realisasi, SPTJB tidak bermaterai, BKU, Tanggal surat pernyataan</t>
  </si>
  <si>
    <t>Perbaikan tanggal Surat Kesanggupan, Lap Realisasi dan SPTJ</t>
  </si>
  <si>
    <t>131264090005</t>
  </si>
  <si>
    <t>MAS HAYATUL ISLAMIYAH</t>
  </si>
  <si>
    <t>Jl.Tambong, RT. 023 Kec.Babulu,Kab.Penajam Paser Utara</t>
  </si>
  <si>
    <t>1490019178278</t>
  </si>
  <si>
    <t xml:space="preserve">Perbaikan daftar salur </t>
  </si>
  <si>
    <t>Perbaikan tanggal surat pernyataan, SPTJB masih triwulan</t>
  </si>
  <si>
    <t>131264090006</t>
  </si>
  <si>
    <t>MAS NURUL HIDAYAH</t>
  </si>
  <si>
    <t>Jl. Propinsi Km.20 Petung-Sepaku, RT.04, Kel.Sotek, Kec.Penajam, Kab. Penajam Paser Utara 76144</t>
  </si>
  <si>
    <t>1792013828</t>
  </si>
  <si>
    <t>MA NURUL HIDAYAH</t>
  </si>
  <si>
    <t>131264090004</t>
  </si>
  <si>
    <t>MAS SEPAKU</t>
  </si>
  <si>
    <t>Jl. KS Tubun, Argo Mulyo, Kec. Sepaku, Kab. Penajam Paser Utara.</t>
  </si>
  <si>
    <t>1362045629</t>
  </si>
  <si>
    <t>MADRASAH ALIYAH SEPAKU</t>
  </si>
  <si>
    <t>Kata pengantar, Kuitansi SPJ</t>
  </si>
  <si>
    <t>70004669</t>
  </si>
  <si>
    <t>SMA INTEGRAL AL MUZZAMMIL</t>
  </si>
  <si>
    <t>JL.SILKAR</t>
  </si>
  <si>
    <t>1402053271</t>
  </si>
  <si>
    <t>70006956</t>
  </si>
  <si>
    <t>SMA ISLAM TERPADU AL-HIKMAH</t>
  </si>
  <si>
    <t>Jl. H.Tatta Km.07 RT.04</t>
  </si>
  <si>
    <t>1401500274</t>
  </si>
  <si>
    <t>SMA IT AL HIKMAH</t>
  </si>
  <si>
    <t>30402081</t>
  </si>
  <si>
    <t>SMAS ITCI PPU</t>
  </si>
  <si>
    <t>JL. PELAWAN KM 5 RT. 13 NO. 33 KEL.MARIDAN</t>
  </si>
  <si>
    <t>1132015895</t>
  </si>
  <si>
    <t>SMA ITCI PPU</t>
  </si>
  <si>
    <t>30409868</t>
  </si>
  <si>
    <t>SMK INNE DONGWHA</t>
  </si>
  <si>
    <t>Jl. Tonny Koeswoyo No. 41 RT. XI Kel. Gersik</t>
  </si>
  <si>
    <t>0131513127</t>
  </si>
  <si>
    <t>SMK INNE DONGWHA BOSDA PROV</t>
  </si>
  <si>
    <t>Kurang Laporan Kegiatan, SPTJB masih Triwulan I</t>
  </si>
  <si>
    <t xml:space="preserve">Tanggal surat pernyataan salah, </t>
  </si>
  <si>
    <t>69946738</t>
  </si>
  <si>
    <t>SMK MUHAMMADIYAH 2 PENAJAM PASER UTARA</t>
  </si>
  <si>
    <t>Jl. Provinsi Km. 2,5 Kel. Penajam</t>
  </si>
  <si>
    <t>0131513488</t>
  </si>
  <si>
    <t>SMK MUHAMMADIYAH 2</t>
  </si>
  <si>
    <t>70037340</t>
  </si>
  <si>
    <t>SMK Nusantara PPU</t>
  </si>
  <si>
    <t>JALAN DEKER</t>
  </si>
  <si>
    <t>1401500428</t>
  </si>
  <si>
    <t>SMK NUSANTARA PPU</t>
  </si>
  <si>
    <t>30407288</t>
  </si>
  <si>
    <t>SMKS MUHAMADDIAH</t>
  </si>
  <si>
    <t>JLN.PROVINSI KM.48 KEC. BABULU KAB.  PENAJAM PASER</t>
  </si>
  <si>
    <t>1291500621</t>
  </si>
  <si>
    <t>SMK MUHAMMADIYAH 1 PPU</t>
  </si>
  <si>
    <t>Tanggal Kata Pengantar dan Tanggal Surat Pernyataan</t>
  </si>
  <si>
    <t>30402084</t>
  </si>
  <si>
    <t>SMKS PELITA GAMA PENAJAM</t>
  </si>
  <si>
    <t>JL.PROPINSI KM. 7 Rt.01</t>
  </si>
  <si>
    <t>0131512325</t>
  </si>
  <si>
    <t>SMK PELITA GAMMA</t>
  </si>
  <si>
    <t>LAp Keuangan tidak sama dengan Lap Realisasi</t>
  </si>
  <si>
    <t>perbaikan tanggal surat pernyataan, BKU</t>
  </si>
  <si>
    <t>Samarinda</t>
  </si>
  <si>
    <t>131264720004</t>
  </si>
  <si>
    <t>MA AN NUR</t>
  </si>
  <si>
    <t>Jl. Kebun Raya RT. 008 No. 018 Kel. Tanah Merah Kec. Samarinda Utara</t>
  </si>
  <si>
    <t>1382113868</t>
  </si>
  <si>
    <t>MA AN NUR SAMARINDA</t>
  </si>
  <si>
    <t>131164720001</t>
  </si>
  <si>
    <t>MAN 1 SAMARINDA</t>
  </si>
  <si>
    <t>Jl. P. Suryanata Rt.29 Kelurahan Air Putih Samarinda Ulu. Telp (0541) 742909</t>
  </si>
  <si>
    <t>1082080801</t>
  </si>
  <si>
    <t>MAN I SAMARINDA</t>
  </si>
  <si>
    <t xml:space="preserve">Perbaikan </t>
  </si>
  <si>
    <t>131164720002</t>
  </si>
  <si>
    <t>MAN 2 SAMARINDA</t>
  </si>
  <si>
    <t>Jl. Harmonika No. 98 Kecamatan Samarinda Kota Kelurahan Sungai Pinang Luar</t>
  </si>
  <si>
    <t>1052835174</t>
  </si>
  <si>
    <t>BOSDA MAN 2 SAMARINDA</t>
  </si>
  <si>
    <t>131264720005</t>
  </si>
  <si>
    <t>MAS AL ARSYADI</t>
  </si>
  <si>
    <t>Jl. Kurnia Makmur No 55 RT. 023 Kel. Harapan Baru, Kec. Loa Janan Ilir, Kota Samarinda</t>
  </si>
  <si>
    <t>1252024961</t>
  </si>
  <si>
    <t>MADRASAH ALIYAH AL-ARSYADI</t>
  </si>
  <si>
    <t>131264720003</t>
  </si>
  <si>
    <t>MAS AL MUJAHIDIN</t>
  </si>
  <si>
    <t>Jl. KH.Harun Nafsi Gg.Darma RT.19 Kel.Rapak Dalam Kec.Loa Janan Ilir Kota Samarinda</t>
  </si>
  <si>
    <t>1252007497</t>
  </si>
  <si>
    <t>MA AL MUJAHIDIN</t>
  </si>
  <si>
    <t>131264720011</t>
  </si>
  <si>
    <t>MAS AL-USWAH</t>
  </si>
  <si>
    <t>Jl. A. Wahab Syahrani Gg. 8 (Delapan) No. 99. Kel. Gn. Kelua Kec. Samarinda Ulu, Kota Samarinda, Kaltim</t>
  </si>
  <si>
    <t>0389095218</t>
  </si>
  <si>
    <t>MADRASAH ALIYAH TERPADU AL USWAH</t>
  </si>
  <si>
    <t>Perbaikan tgl SPTJ dan Laporan realisasi</t>
  </si>
  <si>
    <t xml:space="preserve">perbaikan tanggal surat pernyataan </t>
  </si>
  <si>
    <t>Rekening koran, tanggal surat pernyataan</t>
  </si>
  <si>
    <t>131264729007</t>
  </si>
  <si>
    <t>MAS AS-SA'ADIYAH</t>
  </si>
  <si>
    <t>Jl. P.Suryanata GG Julak Gafur RT. 04 No. 50 Kel. Bukit Pinang kec. Samarinda ulu</t>
  </si>
  <si>
    <t>0435988483</t>
  </si>
  <si>
    <t>MA AS SAADIYAH</t>
  </si>
  <si>
    <t>131264720001</t>
  </si>
  <si>
    <t>Jl. Siti Aisyah RT. 028 Kel. Teluk Lerong Ilir Kec. Samarinda Ulu Kota samarinda 75128</t>
  </si>
  <si>
    <t>1272022841</t>
  </si>
  <si>
    <t>MA. DARUL IHSAN</t>
  </si>
  <si>
    <t>131264720015</t>
  </si>
  <si>
    <t>MAS DARUSSALAM BOARDING SCHOOL</t>
  </si>
  <si>
    <t>Jl. H.A.M.Rifaddin, RT. 033 Kel.Harapan Baru, Kec.Loa Janan Ilir, Kota Samarinda</t>
  </si>
  <si>
    <t>0012686684</t>
  </si>
  <si>
    <t>MA DARUSSALAM BOARDING SCHOOL</t>
  </si>
  <si>
    <t>Kata Pengantar belum ttd</t>
  </si>
  <si>
    <t>Kata pengantar belum di TTD, perbaikan tanggal surat pernyataan, ganti tanggal semua dikarenakan tgutu BKU 30 sep</t>
  </si>
  <si>
    <t>kata pengantar belum ttd, lap realisasi tidak asli</t>
  </si>
  <si>
    <t>131264720002</t>
  </si>
  <si>
    <t>MAS DDI TANI AMAN</t>
  </si>
  <si>
    <t>Jl. Soekarno-Hatta Km.2 RT. 010 Kel. Tani Aman, Kec. Loa Janan Ilir, Kota Samarinda</t>
  </si>
  <si>
    <t>0012178981</t>
  </si>
  <si>
    <t>MA DDI TANI AMAN</t>
  </si>
  <si>
    <t>perbaikan tanggal surat pernyataan, SPTJB perbaikan</t>
  </si>
  <si>
    <t>131264720014</t>
  </si>
  <si>
    <t>MAS LUQMAN AL HAKIM</t>
  </si>
  <si>
    <t>Jl. Perjuangan No 22 Sempaja Selatan Samarinda Utara</t>
  </si>
  <si>
    <t>5101071354</t>
  </si>
  <si>
    <t>MA LUQMAN AL-HAKIM SAMARINDA</t>
  </si>
  <si>
    <t>saldo akhir SPTJB</t>
  </si>
  <si>
    <t>Perbaikan tanggal surat pengantar, belum ada surat pernyataan</t>
  </si>
  <si>
    <t>131264720012</t>
  </si>
  <si>
    <t>MAS MA'ARIF NU 1 SAMARINDA</t>
  </si>
  <si>
    <t>Jl. Trikora RT. 07 Kel. Rawa Makmur Kec. Palaran Samarinda</t>
  </si>
  <si>
    <t>1172145872</t>
  </si>
  <si>
    <t>MA MA ARIF NU 1 SAMARINDA</t>
  </si>
  <si>
    <t xml:space="preserve">Perbaikan (SPTJ, Kata Pengantar belum ada stempel &amp; ttd, SPTJ masih menggunakan triwulan bukan tahap </t>
  </si>
  <si>
    <t>perbaikan SPTJB,perbaikan tanggal kata pengantgar</t>
  </si>
  <si>
    <t>131264720010</t>
  </si>
  <si>
    <t>MAS MIC</t>
  </si>
  <si>
    <t>Jl. Manunggal Bukit Pinang RT. 017 Kel. Bukit Pinang Kec. Samarinda Ulu, Kota Samarinda</t>
  </si>
  <si>
    <t>1272049153</t>
  </si>
  <si>
    <t>MADRASAH ALIYAH (MA) MIC</t>
  </si>
  <si>
    <t>Kelengkapan berkas copy</t>
  </si>
  <si>
    <t>Perbaikan Laporan realisasi</t>
  </si>
  <si>
    <t>131264720007</t>
  </si>
  <si>
    <t>Jl. Jakarta Blok D Perum Korpri RT. 018 kel. Loa Bakung, Kec. Sungai Kunjang, Kota Samarinda</t>
  </si>
  <si>
    <t>0435979716</t>
  </si>
  <si>
    <t>MA SABILAL MUHTADIN</t>
  </si>
  <si>
    <t>11 Agutus 2025</t>
  </si>
  <si>
    <t>Perbaikan nominal penyaluran</t>
  </si>
  <si>
    <t>Kata pengantar belum di TTD, perbaikan tanggal surat pernyataan, perbaikan sptjb</t>
  </si>
  <si>
    <t>Perbaikan SPTJB dan Tanggal surat pernyataan</t>
  </si>
  <si>
    <t>131264720009</t>
  </si>
  <si>
    <t>MAS SABILARRASYAD</t>
  </si>
  <si>
    <t>Jl. Pusaka RT. 017 Kel. Lok Bahu, Kec. Sungai Kunjang, Kota Samarinda</t>
  </si>
  <si>
    <t>0012679602</t>
  </si>
  <si>
    <t>MADRASAH ALIYAH SABILARRASYAD</t>
  </si>
  <si>
    <t>69967615</t>
  </si>
  <si>
    <t>Sekolah Khusus Istiqomah Samarinda</t>
  </si>
  <si>
    <t>Jalan Sukses Blok A Nomor 6 Kelurahan Sambutan Kot</t>
  </si>
  <si>
    <t>457001028745532</t>
  </si>
  <si>
    <t>YAYASAN PKBM ISTIQOMAH</t>
  </si>
  <si>
    <t>69889019</t>
  </si>
  <si>
    <t>Sekolah Khusus Pelita Bunda</t>
  </si>
  <si>
    <t>Jl. Markisa No. 58</t>
  </si>
  <si>
    <t>1480083111222</t>
  </si>
  <si>
    <t>SEKOLAH KHUSUS PELITA BUNDA</t>
  </si>
  <si>
    <t>69947996</t>
  </si>
  <si>
    <t>SLB Bhakti Pertiwi Kaltim</t>
  </si>
  <si>
    <t>Jl. Proklamasi 4 No. 24</t>
  </si>
  <si>
    <t>1012246974</t>
  </si>
  <si>
    <t>SLB BHAKTI PERTIWI KALTIM</t>
  </si>
  <si>
    <t>30401049</t>
  </si>
  <si>
    <t>SLB C D UNTUNG TUAH</t>
  </si>
  <si>
    <t>Jl. Samratulangi Rt 05 Kel. Gunung Panjang</t>
  </si>
  <si>
    <t>0012607954</t>
  </si>
  <si>
    <t>SLB/C-D UNTUNG TUAH</t>
  </si>
  <si>
    <t>30407424</t>
  </si>
  <si>
    <t>SLB CEMARA WILIS</t>
  </si>
  <si>
    <t>Jl. Bukit Salam RT 09 Sempaja Timur</t>
  </si>
  <si>
    <t>1332007595</t>
  </si>
  <si>
    <t>PEND KHUSUS SLB CEMARA WILIS</t>
  </si>
  <si>
    <t>69774828</t>
  </si>
  <si>
    <t>SLB MUTIARA KASIH</t>
  </si>
  <si>
    <t>Jl. A.wahab Syahrani Gg. I</t>
  </si>
  <si>
    <t>1332242420</t>
  </si>
  <si>
    <t>Perbaikan Lap Realisasi dan SPTJ</t>
  </si>
  <si>
    <t>69774827</t>
  </si>
  <si>
    <t>SLB TUNAS HARAPAN</t>
  </si>
  <si>
    <t>Jl. Swadaya/gg. Soponyono IV Kel. Handil Bakti Kec</t>
  </si>
  <si>
    <t>1172026041</t>
  </si>
  <si>
    <t>30405644</t>
  </si>
  <si>
    <t>SLB UNTUNG TUAH</t>
  </si>
  <si>
    <t>Jln. Pelita No.15 Samarinda</t>
  </si>
  <si>
    <t>0012560541</t>
  </si>
  <si>
    <t>SMPLB UNTUNG TUAH</t>
  </si>
  <si>
    <t>69753985</t>
  </si>
  <si>
    <t>SLB WIDYA KARYA</t>
  </si>
  <si>
    <t>JL. REVOLUSI GANG TERATAI (TERATAI IV) NO. 06 RT.</t>
  </si>
  <si>
    <t>0012716915</t>
  </si>
  <si>
    <t>69948500</t>
  </si>
  <si>
    <t>SMA Budi Luhur</t>
  </si>
  <si>
    <t>Jl. Bugis RT. 2 Kelurahan Mugirejo Kecamatan Sunga</t>
  </si>
  <si>
    <t>1381501058</t>
  </si>
  <si>
    <t>SMA BUDI LUHUR SAMARINDA</t>
  </si>
  <si>
    <t>70007239</t>
  </si>
  <si>
    <t>SMA FASTABIQUL KHAIRAT</t>
  </si>
  <si>
    <t>Jl. Ruhui Rahayu 1, RT.20</t>
  </si>
  <si>
    <t>1082173605</t>
  </si>
  <si>
    <t>SMA FASTABIQUL KHAIRAT/BOSDA</t>
  </si>
  <si>
    <t>69950015</t>
  </si>
  <si>
    <t>SMA Islam Terpadu Granada</t>
  </si>
  <si>
    <t>Jl.HM. Ardhans, Ringroad 3, RT.01</t>
  </si>
  <si>
    <t>5170000577</t>
  </si>
  <si>
    <t>SMA IT GRANADA</t>
  </si>
  <si>
    <t>Surat pernyataan perbaikan tanggall</t>
  </si>
  <si>
    <t>69984752</t>
  </si>
  <si>
    <t>SMA ISTIQAMAH MUHAMMADIYAH</t>
  </si>
  <si>
    <t>KOMPLEK PONTREN ISTIQAMAH MUHAMMADIYAH JL. KH.WAHI</t>
  </si>
  <si>
    <t>1332612456</t>
  </si>
  <si>
    <t>69991845</t>
  </si>
  <si>
    <t>SMA IT TURSINA</t>
  </si>
  <si>
    <t>Jl. Poros Samarinda-Bontang Km.32</t>
  </si>
  <si>
    <t>008201028792532</t>
  </si>
  <si>
    <t>BOSDA SMA ISLAM TERPADU TURSINA</t>
  </si>
  <si>
    <t>70028531</t>
  </si>
  <si>
    <t>SMA KRISTEN CITA HATI</t>
  </si>
  <si>
    <t>Jln. Aminah Syukur No. 44 RT.03</t>
  </si>
  <si>
    <t>0011534198</t>
  </si>
  <si>
    <t>70028531 SMA KRISTEN CITA HATI</t>
  </si>
  <si>
    <t>69948015</t>
  </si>
  <si>
    <t>SMA Madina Citra Insani</t>
  </si>
  <si>
    <t>Jl. Mugirejo Gang Assaadah</t>
  </si>
  <si>
    <t>1382085350</t>
  </si>
  <si>
    <t>SMA MADINA CITRA INSANI</t>
  </si>
  <si>
    <t xml:space="preserve">Perbaikan tanggal surat pernyataan, </t>
  </si>
  <si>
    <t>69978141</t>
  </si>
  <si>
    <t>SMA TAHFIDZ AL-IZZAH</t>
  </si>
  <si>
    <t>Jl. Poros Simpang Pasir RT. 18</t>
  </si>
  <si>
    <t>1172115655</t>
  </si>
  <si>
    <t>SMA TAHFIDHZ AL-IZZAH</t>
  </si>
  <si>
    <t>Perbaikan tanggal surat pernyataan, SPTJB dan lap Realisasi  tidak asli</t>
  </si>
  <si>
    <t>30404264</t>
  </si>
  <si>
    <t>SMAS Al - Khairiyah Samarinda</t>
  </si>
  <si>
    <t>Jl. KH. Abul Hasan</t>
  </si>
  <si>
    <t>0012438559</t>
  </si>
  <si>
    <t>SMA AL-KHAIRIYAH</t>
  </si>
  <si>
    <t xml:space="preserve">Perbaikan tanggal surat pernyataan, Perbaikan SPTJB dan lap Realisasi </t>
  </si>
  <si>
    <t>30404178</t>
  </si>
  <si>
    <t>SMAS Gotong Royong Samarinda</t>
  </si>
  <si>
    <t>Jl. Marsda Aburrahman Saleh Gg. 3 RT. 22</t>
  </si>
  <si>
    <t>1062058907</t>
  </si>
  <si>
    <t>SMA GOTONG ROYONG SAMARINDA</t>
  </si>
  <si>
    <t>30401062</t>
  </si>
  <si>
    <t>SMAS Immanuel Samarinda</t>
  </si>
  <si>
    <t>Jl. Limau No.50 Vorvo Samarinda</t>
  </si>
  <si>
    <t>5100004296</t>
  </si>
  <si>
    <t>30401062 SMAS IMMANUEL SMD</t>
  </si>
  <si>
    <t>30404461</t>
  </si>
  <si>
    <t>SMAS Islam Samarinda</t>
  </si>
  <si>
    <t>Jl. K.H. Achmad Dahlan No. 2</t>
  </si>
  <si>
    <t>1061500134</t>
  </si>
  <si>
    <t>SMA ISLAM SAMARINDA</t>
  </si>
  <si>
    <t>Surat pernyataan tidak asli dan perbaikan tanggal, perbaikan format sptjb dan belum asli, lap realisasi perbaikan dan tidak asli juga</t>
  </si>
  <si>
    <t>SPTJB dan Lap realisasi tidak sesuai format, kata pengantar belum ttd, surat pernyataan tidak asli</t>
  </si>
  <si>
    <t>30401063</t>
  </si>
  <si>
    <t>SMAS Katolik W. R. Soepratman</t>
  </si>
  <si>
    <t>Jl. WR. Soepratman No.03</t>
  </si>
  <si>
    <t>0012361161</t>
  </si>
  <si>
    <t>SMA KATOLIK WR.SUPRATMAN</t>
  </si>
  <si>
    <t>Perbaikan tanggal kata pengantar dan tanggal surat pernyataan</t>
  </si>
  <si>
    <t>Perbaikan tanggal surat pernyataan, belum stempel</t>
  </si>
  <si>
    <t>30404265</t>
  </si>
  <si>
    <t>SMAS Ma arif Samarinda</t>
  </si>
  <si>
    <t>Jln. Raudah III</t>
  </si>
  <si>
    <t>0011590420</t>
  </si>
  <si>
    <t>30404265 SMAS MA ARIF SMD</t>
  </si>
  <si>
    <t>30404266</t>
  </si>
  <si>
    <t>SMAS Muhammadiyah 2 Samarinda</t>
  </si>
  <si>
    <t>Jl. Slamet Riyadi</t>
  </si>
  <si>
    <t>0012463367</t>
  </si>
  <si>
    <t>SMA MUHAMMADIYAH 2 SAMARINDA</t>
  </si>
  <si>
    <t>30404269</t>
  </si>
  <si>
    <t>SMAS Nabil Husein Samarinda</t>
  </si>
  <si>
    <t>Jl. Rapak Indah</t>
  </si>
  <si>
    <t>1062067621</t>
  </si>
  <si>
    <t>SMA NABIL HUSEIN SAMARINDA</t>
  </si>
  <si>
    <t>Perbaikan tanggal surat pernyataan dan tidak asli, rekening koran, Lap realisasi tidak asli, SPTJB tidak ada</t>
  </si>
  <si>
    <t>,</t>
  </si>
  <si>
    <t>69774826</t>
  </si>
  <si>
    <t>SMAS Plus Melati</t>
  </si>
  <si>
    <t>Jl. HAMM. Rifaddin</t>
  </si>
  <si>
    <t>1252096473</t>
  </si>
  <si>
    <t>SMA PLUS MELATI</t>
  </si>
  <si>
    <t>Perbaikan tanggal surat pernyataan dan tidak asli, perbaikan format SPTJB, Lap realisasi tidak asli</t>
  </si>
  <si>
    <t>30404270</t>
  </si>
  <si>
    <t>SMAS Setia Marga Samarinda</t>
  </si>
  <si>
    <t>Jl. Abdul Sani Gani RT.28 No.73</t>
  </si>
  <si>
    <t>1252007098</t>
  </si>
  <si>
    <t>SMA SETIA MARGA</t>
  </si>
  <si>
    <t>30403011</t>
  </si>
  <si>
    <t>SMAS SF Assisi Samarinda</t>
  </si>
  <si>
    <t>Jalan Belatuk No. 23 RT. 18</t>
  </si>
  <si>
    <t>1081558139</t>
  </si>
  <si>
    <t>30403011 SMAS SF ASSISI SMD</t>
  </si>
  <si>
    <t>30404179</t>
  </si>
  <si>
    <t>SMAS Sunodia Samarinda</t>
  </si>
  <si>
    <t>Jl. Kartini No.112A</t>
  </si>
  <si>
    <t>1012496351</t>
  </si>
  <si>
    <t>SMA KRISTEN SUNODIA SAMARINDA</t>
  </si>
  <si>
    <t>30403013</t>
  </si>
  <si>
    <t>SMAS Syaichona Cholil Samarinda</t>
  </si>
  <si>
    <t>Jl. Batu Indah RT. 41</t>
  </si>
  <si>
    <t>1082091439</t>
  </si>
  <si>
    <t>SMA SYAICHONA CHOLIL SAMARINDA</t>
  </si>
  <si>
    <t xml:space="preserve">Perbaikan SPTJB dan Lap Realisasi, Surat Pernyataan tidak asli </t>
  </si>
  <si>
    <t>berkas tidak asli, sptjb  tidak ada saldo awal, rekening koran, tanggal surat pernyataan</t>
  </si>
  <si>
    <t>30404598</t>
  </si>
  <si>
    <t>SMAS Tunas Kelapa Samarinda</t>
  </si>
  <si>
    <t>Jl. M. Yamin No.6 Samarinda</t>
  </si>
  <si>
    <t>1082060592</t>
  </si>
  <si>
    <t>SMA TUNAS KELAPA</t>
  </si>
  <si>
    <t>Kata pengantar belum ada TTD, Lap pengeluaran keuangan tahap I tidak di isi, perbaikan tanggal surat pernyataan</t>
  </si>
  <si>
    <t>30404552</t>
  </si>
  <si>
    <t>SMAS Widya Praja Samarinda</t>
  </si>
  <si>
    <t>Jl. Lai No. 4</t>
  </si>
  <si>
    <t>5101042353</t>
  </si>
  <si>
    <t>SMA WIDYA PRAJA SAMARINDA</t>
  </si>
  <si>
    <t>69830684</t>
  </si>
  <si>
    <t>SMK Integral Hidayatullah</t>
  </si>
  <si>
    <t>JL. Pembangunan RT.018 Kel. Makroman Kel Sambutan</t>
  </si>
  <si>
    <t>0011584497</t>
  </si>
  <si>
    <t>69830684 SMK INTEGRAL HDYTL</t>
  </si>
  <si>
    <t>Perbaikan SPTJB, Perbaikan tanggal</t>
  </si>
  <si>
    <t>30406107</t>
  </si>
  <si>
    <t>SMKS Al Azhar Samarinda</t>
  </si>
  <si>
    <t>Jl. Muh.Said RT 12</t>
  </si>
  <si>
    <t>1451503606</t>
  </si>
  <si>
    <t>SMK AL-AZHAR SAMARINDA</t>
  </si>
  <si>
    <t>30401056</t>
  </si>
  <si>
    <t>SMKS Al Khairiyah Samarinda</t>
  </si>
  <si>
    <t>Jl. KH. Abul Hasan No.77</t>
  </si>
  <si>
    <t>0011523013</t>
  </si>
  <si>
    <t>SMK AL KHAIRIYAH SMD BOSDA</t>
  </si>
  <si>
    <t>30403014</t>
  </si>
  <si>
    <t>SMKS Cendana DDI Samarinda</t>
  </si>
  <si>
    <t>Jl. Banggeris</t>
  </si>
  <si>
    <t>0011550720</t>
  </si>
  <si>
    <t>30403014 SMKS CENDANA DDI SMD</t>
  </si>
  <si>
    <t>30401069</t>
  </si>
  <si>
    <t>SMKS Cokroaminoto Samarinda</t>
  </si>
  <si>
    <t>Jl. Panglima Batur No.117</t>
  </si>
  <si>
    <t>0011588751</t>
  </si>
  <si>
    <t>SMK COKROAMINOTO SAMARINDA</t>
  </si>
  <si>
    <t>30404604</t>
  </si>
  <si>
    <t>SMKS Darussalam Samarinda</t>
  </si>
  <si>
    <t>Jl. KH. Wahid Hasyim</t>
  </si>
  <si>
    <t>1331524634</t>
  </si>
  <si>
    <t>30404604 SMKS DARUSSALAM SMD</t>
  </si>
  <si>
    <t>30404359</t>
  </si>
  <si>
    <t>SMKS Farmasi Samarinda</t>
  </si>
  <si>
    <t>Jl. P. Hidayatullah Gg. Bhakti No.16</t>
  </si>
  <si>
    <t>1011566886</t>
  </si>
  <si>
    <t>SMK FARMASI SAMARINDA</t>
  </si>
  <si>
    <t>30401070</t>
  </si>
  <si>
    <t>SMKS Istiqomah Muhammadiyah 4 Samarinda</t>
  </si>
  <si>
    <t>Jl. A.W. Syahranie RT. 25</t>
  </si>
  <si>
    <t>1271500081</t>
  </si>
  <si>
    <t>SMK ISTIQOMAH MUHAMMADIYAH 4</t>
  </si>
  <si>
    <t>30405842</t>
  </si>
  <si>
    <t>SMKS IT Subulussalam</t>
  </si>
  <si>
    <t>Jl. Subulussalam RT.37</t>
  </si>
  <si>
    <t>1061500801</t>
  </si>
  <si>
    <t>30405842 SMKS IT SUBULUSSALAM</t>
  </si>
  <si>
    <t>30407724</t>
  </si>
  <si>
    <t>SMKS Jamiatul Muttaqin</t>
  </si>
  <si>
    <t>BOJONEGORO</t>
  </si>
  <si>
    <t>1171555759</t>
  </si>
  <si>
    <t>SMK KESHTN JAMIATUL MUTTAQIN</t>
  </si>
  <si>
    <t>30404129</t>
  </si>
  <si>
    <t>SMKS Katolik 2 WR. Soepratman</t>
  </si>
  <si>
    <t>Jl. WR. Soepratman No.18 RT.07</t>
  </si>
  <si>
    <t>0011550185</t>
  </si>
  <si>
    <t>SMK KATOLIK 2 WR BOSDA</t>
  </si>
  <si>
    <t>30405836</t>
  </si>
  <si>
    <t>SMKS Kesehatan Samarinda</t>
  </si>
  <si>
    <t>Jl. Perjuangan No. 2</t>
  </si>
  <si>
    <t>1081512121</t>
  </si>
  <si>
    <t>SMK KESEHATAN SAMARINDA</t>
  </si>
  <si>
    <t>30407767</t>
  </si>
  <si>
    <t>SMKS Medika Samarinda</t>
  </si>
  <si>
    <t>Jl. Padat Karya 46C Bengkuring Luar</t>
  </si>
  <si>
    <t>1331512113</t>
  </si>
  <si>
    <t>SMK MEDIKA SAMARINDA</t>
  </si>
  <si>
    <t>Perbaikan SPTJB, Lap realisasi tidak ada</t>
  </si>
  <si>
    <t>30401085</t>
  </si>
  <si>
    <t>SMKS Miftahul Ulum Samarinda</t>
  </si>
  <si>
    <t>Jl. Penangkaran Buaya RT. 24 Makroman SMD</t>
  </si>
  <si>
    <t>0011547681</t>
  </si>
  <si>
    <t>SMK MIFTAHUL ULUM SAMARINDA</t>
  </si>
  <si>
    <t>30401086</t>
  </si>
  <si>
    <t>SMKS Muhammadiyah 1 Samarinda</t>
  </si>
  <si>
    <t>Jl. KH. Abdul Mutalib No. 8 RT. 10</t>
  </si>
  <si>
    <t>0011590501</t>
  </si>
  <si>
    <t>SMK MUHAMMADIYAH 1 SAMARINDA</t>
  </si>
  <si>
    <t>30401087</t>
  </si>
  <si>
    <t>SMKS Muhammadiyah 2 Samarinda</t>
  </si>
  <si>
    <t>Jl. Siti aisyah No. 19</t>
  </si>
  <si>
    <t>1451503614</t>
  </si>
  <si>
    <t>SMK MUHAMMADIYAH 2 SAMARINDA</t>
  </si>
  <si>
    <t>30401088</t>
  </si>
  <si>
    <t>SMKS Muhammadiyah 3 Samarinda</t>
  </si>
  <si>
    <t>Jl. Delima Dalam RT. 53</t>
  </si>
  <si>
    <t>1081521120</t>
  </si>
  <si>
    <t>SMK MUHAMMADIYAH 3 SAMARINDA</t>
  </si>
  <si>
    <t>30404274</t>
  </si>
  <si>
    <t>SMKS Nabil Husein Samarinda</t>
  </si>
  <si>
    <t>JL. RAPAK INDAH NO.1</t>
  </si>
  <si>
    <t>1441568700</t>
  </si>
  <si>
    <t>SMK NABIL HUSEIN SAMARINDA</t>
  </si>
  <si>
    <t>30401073</t>
  </si>
  <si>
    <t>SMKS Nuri Samarinda</t>
  </si>
  <si>
    <t>Jl. Bukit Raya No.02 RT.112</t>
  </si>
  <si>
    <t>1011523338</t>
  </si>
  <si>
    <t>30401073 SMKS NURI SAMARINDA</t>
  </si>
  <si>
    <t>30401075</t>
  </si>
  <si>
    <t>SMKS Pemuda Samarinda</t>
  </si>
  <si>
    <t>Jl. Gunung Cermai No. 4 RT.40 RW.1 Samarinda</t>
  </si>
  <si>
    <t>1051597768</t>
  </si>
  <si>
    <t>SMK PEMUDA SAMARINDA</t>
  </si>
  <si>
    <t>30401078</t>
  </si>
  <si>
    <t>SMKS PGRI 5 SAMARINDA</t>
  </si>
  <si>
    <t>Jalan Sultan Sulaiman Km 2.5</t>
  </si>
  <si>
    <t>1061500932</t>
  </si>
  <si>
    <t>SMK PGRI 5 SAMARINDA</t>
  </si>
  <si>
    <t>30405709</t>
  </si>
  <si>
    <t>SMKS Plus Melati Samarinda</t>
  </si>
  <si>
    <t>Jl. H.A.M. M. Rifaddin</t>
  </si>
  <si>
    <t>1251572778</t>
  </si>
  <si>
    <t>30405709 SMKS PLUS MELATI SMD</t>
  </si>
  <si>
    <t>30406110</t>
  </si>
  <si>
    <t>SMKS Terpadu Madina Samarinda</t>
  </si>
  <si>
    <t>Jl. Mugirejo Rt.18 No.37 Lubuk Sawah</t>
  </si>
  <si>
    <t>1381502526</t>
  </si>
  <si>
    <t>SMK TERPADU MADINA</t>
  </si>
  <si>
    <t>Perbaikan Laporan Realisasi dan SPTJM ada saldo awal</t>
  </si>
  <si>
    <t>30404271</t>
  </si>
  <si>
    <t>SMKS TI Airlangga</t>
  </si>
  <si>
    <t>Jl. Pahlawan 2A Samarinda</t>
  </si>
  <si>
    <t>1081522517</t>
  </si>
  <si>
    <t>SMK TI AIRLANGGA SAMARINDA</t>
  </si>
  <si>
    <t>30405722</t>
  </si>
  <si>
    <t>SMKS TI Labbaika</t>
  </si>
  <si>
    <t>Jl. KH.Harun Nafsi</t>
  </si>
  <si>
    <t>1251551550</t>
  </si>
  <si>
    <t>SMK TI LABBAIKA</t>
  </si>
  <si>
    <t>30406109</t>
  </si>
  <si>
    <t>SMKS TI Pratama PGRI Samarinda</t>
  </si>
  <si>
    <t>Jl. Kemakmuran Komplek Pelita</t>
  </si>
  <si>
    <t>0011551807</t>
  </si>
  <si>
    <t>30406109 SMKS TI PRATAMA PGRI</t>
  </si>
  <si>
    <t>berkas tidak asli</t>
  </si>
  <si>
    <t>30401090</t>
  </si>
  <si>
    <t>SMKS YPS Samarinda</t>
  </si>
  <si>
    <t>Jl. Merdeka No.42 RT.95</t>
  </si>
  <si>
    <t>1011450098</t>
  </si>
  <si>
    <t>SMK YPS SAMARINDA</t>
  </si>
  <si>
    <t>DPA</t>
  </si>
  <si>
    <t>silpa</t>
  </si>
  <si>
    <t>No</t>
  </si>
  <si>
    <t>Jml Siswa</t>
  </si>
  <si>
    <t>Sisa Dana 2025</t>
  </si>
  <si>
    <t>Sekolah Baru</t>
  </si>
  <si>
    <t>SM AGAMA KATOLIK SANTO YOSEPH SANGGATTA</t>
  </si>
  <si>
    <t>Pengesahaan</t>
  </si>
  <si>
    <t>NPSN</t>
  </si>
  <si>
    <t>Jenis Pendidikan</t>
  </si>
  <si>
    <t>Status</t>
  </si>
  <si>
    <t>Kota/Kabupaten</t>
  </si>
  <si>
    <t>Status RKAS</t>
  </si>
  <si>
    <t>Swasta</t>
  </si>
  <si>
    <t>Kota Balikpapan</t>
  </si>
  <si>
    <t>BOS Daerah</t>
  </si>
  <si>
    <t>Anggaran Disetujui</t>
  </si>
  <si>
    <t>Kota Samarinda</t>
  </si>
  <si>
    <t>Kab. Kutai Kartanegara</t>
  </si>
  <si>
    <t>Kota Bontang</t>
  </si>
  <si>
    <t>BOS Daerah Revisi Ke 1</t>
  </si>
  <si>
    <t>Kab. Kutai Timur</t>
  </si>
  <si>
    <t>30400960</t>
  </si>
  <si>
    <t>SLB A RUHUI RAHAYU</t>
  </si>
  <si>
    <t>Belum Mengajukan</t>
  </si>
  <si>
    <t>30407664</t>
  </si>
  <si>
    <t>SLB C RUHUI RAHAYU SAMARINDA</t>
  </si>
  <si>
    <t>30401005</t>
  </si>
  <si>
    <t>SLB B RUHUI RAHAYU SAMARINDA</t>
  </si>
  <si>
    <t>Kab. Berau</t>
  </si>
  <si>
    <t>Kab. Kutai Barat</t>
  </si>
  <si>
    <t>Kab. Paser</t>
  </si>
  <si>
    <t>Kab. Penajam Paser Utara</t>
  </si>
  <si>
    <t>69988480</t>
  </si>
  <si>
    <t>SMA MAMAHAK BESAR</t>
  </si>
  <si>
    <t>Kab. Mahakam Ulu</t>
  </si>
  <si>
    <t>30401495</t>
  </si>
  <si>
    <t>SMAS PJHI BALIKPAPAN</t>
  </si>
  <si>
    <t>30401494</t>
  </si>
  <si>
    <t>SMAS SINAR PANCASILA</t>
  </si>
  <si>
    <t>69991774</t>
  </si>
  <si>
    <t>SMA Pelita Hati</t>
  </si>
  <si>
    <t>70010137</t>
  </si>
  <si>
    <t>SMA Kristen  IPEKA Balikpapan</t>
  </si>
  <si>
    <t>Anggaran Ditolak</t>
  </si>
  <si>
    <t>69761840</t>
  </si>
  <si>
    <t>SMAS Islam Bunga Bangsa</t>
  </si>
  <si>
    <t>69889021</t>
  </si>
  <si>
    <t>SMAS Budi Bakti</t>
  </si>
  <si>
    <t>BOS Daerah Revisi Ke 2</t>
  </si>
  <si>
    <t>30405786</t>
  </si>
  <si>
    <t>SMK FARMASI TENGGARONG</t>
  </si>
  <si>
    <t>30400775</t>
  </si>
  <si>
    <t>SMKS NUSANTARA SANGATA UTARA</t>
  </si>
  <si>
    <t>69948243</t>
  </si>
  <si>
    <t>SMKS Tridaya Harapan</t>
  </si>
  <si>
    <t>30405266</t>
  </si>
  <si>
    <t>SMKS DAYA TAKA</t>
  </si>
  <si>
    <t>69955118</t>
  </si>
  <si>
    <t>SMK ISLAM AL MA ARIF 1 PASER</t>
  </si>
  <si>
    <t>30405585</t>
  </si>
  <si>
    <t>SMKS HARAPAN BHAKTI BALIKPAPAN</t>
  </si>
  <si>
    <t>69788523</t>
  </si>
  <si>
    <t>SMK BAHTERA PELAYARAN KRISTEN GPIB</t>
  </si>
  <si>
    <t>70000715</t>
  </si>
  <si>
    <t>SMK AL IKHLAS FIL QOLBI BALIKPAPAN</t>
  </si>
  <si>
    <t>69766188</t>
  </si>
  <si>
    <t>SMKS ALL TRUCK</t>
  </si>
  <si>
    <t>30409909</t>
  </si>
  <si>
    <t>SMKS Terate</t>
  </si>
  <si>
    <t>30405759</t>
  </si>
  <si>
    <t>SMKS 17 Agustus 1945</t>
  </si>
  <si>
    <t>69761841</t>
  </si>
  <si>
    <t>SMKS Husada Prima</t>
  </si>
  <si>
    <t>KabKota</t>
  </si>
  <si>
    <t>TOTAL</t>
  </si>
  <si>
    <t>TOTAL PESERTA x3</t>
  </si>
  <si>
    <t>SMA Swasta</t>
  </si>
  <si>
    <t>SMK Swasta</t>
  </si>
  <si>
    <t>SLB Swasta</t>
  </si>
  <si>
    <t>Jumlah Dana</t>
  </si>
  <si>
    <t>MA HAJI ABDUL THAIB LAGUNGGUNG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</si>
</sst>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m&quot; &quot;yyyy"/>
    <numFmt numFmtId="165" formatCode="d\ mmmm\ yyyy"/>
    <numFmt numFmtId="167" formatCode="dmmmm\ yyyy"/>
    <numFmt numFmtId="168" formatCode="dd/mm/yyyy"/>
    <numFmt numFmtId="169" formatCode="_-* #,##0.00_-;\-* #,##0.00_-;_-* &quot;-&quot;??_-;_-@"/>
  </numFmts>
  <fonts count="16" x14ac:knownFonts="1">
    <font>
      <sz val="10"/>
      <color rgb="FF000000"/>
      <name val="Arial"/>
      <scheme val="minor"/>
    </font>
    <font>
      <b/>
      <sz val="11"/>
      <color theme="1"/>
      <name val="Open Sans"/>
    </font>
    <font>
      <sz val="10"/>
      <name val="Arial"/>
    </font>
    <font>
      <sz val="11"/>
      <color theme="1"/>
      <name val="Open Sans"/>
    </font>
    <font>
      <sz val="9"/>
      <color rgb="FF1F1F1F"/>
      <name val="Arial"/>
    </font>
    <font>
      <sz val="10"/>
      <color theme="1"/>
      <name val="Arial"/>
    </font>
    <font>
      <sz val="10"/>
      <color theme="1"/>
      <name val="Open Sans"/>
    </font>
    <font>
      <sz val="10"/>
      <color theme="1"/>
      <name val="Arial"/>
    </font>
    <font>
      <sz val="11"/>
      <color theme="1"/>
      <name val="Aptos Narrow"/>
    </font>
    <font>
      <sz val="9"/>
      <color theme="1"/>
      <name val="Arial"/>
    </font>
    <font>
      <sz val="10"/>
      <color rgb="FF666666"/>
      <name val="Open Sans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theme="1"/>
      <name val="Open Sans"/>
    </font>
    <font>
      <b/>
      <sz val="12"/>
      <color theme="1"/>
      <name val="Roboto"/>
    </font>
    <font>
      <sz val="12"/>
      <color theme="1"/>
      <name val="Roboto"/>
    </font>
  </fonts>
  <fills count="1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3" fontId="1" fillId="5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3" fontId="1" fillId="6" borderId="0" xfId="0" applyNumberFormat="1" applyFont="1" applyFill="1" applyAlignment="1">
      <alignment horizontal="center" vertical="center" wrapText="1"/>
    </xf>
    <xf numFmtId="4" fontId="1" fillId="7" borderId="0" xfId="0" applyNumberFormat="1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165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vertical="top"/>
    </xf>
    <xf numFmtId="3" fontId="3" fillId="0" borderId="0" xfId="0" applyNumberFormat="1" applyFont="1" applyAlignment="1">
      <alignment vertical="top"/>
    </xf>
    <xf numFmtId="0" fontId="6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right" vertical="center"/>
    </xf>
    <xf numFmtId="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top"/>
    </xf>
    <xf numFmtId="0" fontId="7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right" vertical="center"/>
    </xf>
    <xf numFmtId="49" fontId="3" fillId="0" borderId="1" xfId="0" quotePrefix="1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4" fontId="3" fillId="0" borderId="0" xfId="0" applyNumberFormat="1" applyFont="1" applyAlignment="1">
      <alignment vertical="top"/>
    </xf>
    <xf numFmtId="0" fontId="11" fillId="0" borderId="1" xfId="0" applyFont="1" applyBorder="1"/>
    <xf numFmtId="167" fontId="3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right" wrapText="1"/>
    </xf>
    <xf numFmtId="0" fontId="6" fillId="3" borderId="1" xfId="0" applyFont="1" applyFill="1" applyBorder="1"/>
    <xf numFmtId="0" fontId="11" fillId="0" borderId="1" xfId="0" applyFont="1" applyBorder="1" applyAlignment="1">
      <alignment wrapText="1"/>
    </xf>
    <xf numFmtId="0" fontId="12" fillId="0" borderId="0" xfId="0" applyFont="1"/>
    <xf numFmtId="0" fontId="3" fillId="0" borderId="1" xfId="0" quotePrefix="1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65" fontId="12" fillId="0" borderId="1" xfId="0" applyNumberFormat="1" applyFont="1" applyBorder="1" applyAlignment="1">
      <alignment vertical="center"/>
    </xf>
    <xf numFmtId="165" fontId="6" fillId="0" borderId="1" xfId="0" applyNumberFormat="1" applyFont="1" applyBorder="1"/>
    <xf numFmtId="0" fontId="12" fillId="8" borderId="1" xfId="0" applyFont="1" applyFill="1" applyBorder="1" applyAlignment="1">
      <alignment vertical="center" wrapText="1"/>
    </xf>
    <xf numFmtId="168" fontId="6" fillId="9" borderId="1" xfId="0" applyNumberFormat="1" applyFont="1" applyFill="1" applyBorder="1" applyAlignment="1">
      <alignment vertical="center"/>
    </xf>
    <xf numFmtId="3" fontId="3" fillId="3" borderId="0" xfId="0" applyNumberFormat="1" applyFont="1" applyFill="1" applyAlignment="1">
      <alignment vertical="center"/>
    </xf>
    <xf numFmtId="167" fontId="5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3" fontId="3" fillId="0" borderId="0" xfId="0" applyNumberFormat="1" applyFont="1"/>
    <xf numFmtId="49" fontId="3" fillId="0" borderId="0" xfId="0" applyNumberFormat="1" applyFont="1" applyAlignment="1">
      <alignment wrapText="1"/>
    </xf>
    <xf numFmtId="0" fontId="13" fillId="0" borderId="0" xfId="0" applyFont="1"/>
    <xf numFmtId="164" fontId="13" fillId="0" borderId="0" xfId="0" applyNumberFormat="1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/>
    </xf>
    <xf numFmtId="164" fontId="13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3" fillId="0" borderId="0" xfId="0" applyNumberFormat="1" applyFont="1"/>
    <xf numFmtId="49" fontId="12" fillId="0" borderId="0" xfId="0" applyNumberFormat="1" applyFont="1"/>
    <xf numFmtId="3" fontId="12" fillId="0" borderId="0" xfId="0" applyNumberFormat="1" applyFont="1"/>
    <xf numFmtId="0" fontId="14" fillId="0" borderId="0" xfId="0" applyFont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2" fillId="9" borderId="0" xfId="0" applyFont="1" applyFill="1"/>
    <xf numFmtId="0" fontId="14" fillId="10" borderId="5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4" fontId="12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4" fontId="12" fillId="0" borderId="0" xfId="0" applyNumberFormat="1" applyFont="1" applyAlignment="1">
      <alignment horizontal="center" wrapText="1"/>
    </xf>
    <xf numFmtId="169" fontId="8" fillId="0" borderId="0" xfId="0" applyNumberFormat="1" applyFont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4" fillId="11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4" fillId="11" borderId="8" xfId="0" applyFont="1" applyFill="1" applyBorder="1" applyAlignment="1">
      <alignment horizontal="center" vertical="center"/>
    </xf>
    <xf numFmtId="0" fontId="2" fillId="0" borderId="9" xfId="0" applyFont="1" applyBorder="1"/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A-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K-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LB-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%20(1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-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K-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B-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 (1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W102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6328125" defaultRowHeight="15.75" customHeight="1" x14ac:dyDescent="0.25"/>
  <cols>
    <col min="1" max="1" width="6.7265625" customWidth="1"/>
    <col min="2" max="2" width="10.6328125" customWidth="1"/>
    <col min="3" max="3" width="18.90625" customWidth="1"/>
    <col min="4" max="4" width="13.453125" customWidth="1"/>
    <col min="5" max="5" width="28.08984375" customWidth="1"/>
    <col min="6" max="6" width="45.6328125" customWidth="1"/>
    <col min="7" max="7" width="9.6328125" customWidth="1"/>
    <col min="8" max="8" width="17.08984375" customWidth="1"/>
    <col min="9" max="9" width="11.36328125" customWidth="1"/>
    <col min="10" max="10" width="11.453125" customWidth="1"/>
    <col min="11" max="12" width="11.36328125" customWidth="1"/>
    <col min="13" max="13" width="6.26953125" customWidth="1"/>
    <col min="14" max="14" width="12.453125" customWidth="1"/>
    <col min="15" max="15" width="12.6328125" hidden="1"/>
    <col min="16" max="16" width="11" customWidth="1"/>
    <col min="17" max="17" width="11" hidden="1" customWidth="1"/>
    <col min="24" max="24" width="14.08984375" customWidth="1"/>
    <col min="25" max="25" width="16.6328125" customWidth="1"/>
    <col min="26" max="26" width="15" customWidth="1"/>
    <col min="27" max="27" width="21.90625" customWidth="1"/>
    <col min="28" max="28" width="37.90625" customWidth="1"/>
    <col min="30" max="30" width="16.7265625" customWidth="1"/>
    <col min="31" max="31" width="11.26953125" hidden="1" customWidth="1"/>
    <col min="32" max="32" width="16.7265625" hidden="1" customWidth="1"/>
    <col min="33" max="33" width="19.26953125" hidden="1" customWidth="1"/>
    <col min="34" max="34" width="10.6328125" hidden="1" customWidth="1"/>
    <col min="35" max="36" width="19.26953125" hidden="1" customWidth="1"/>
    <col min="37" max="37" width="11.36328125" hidden="1" customWidth="1"/>
    <col min="38" max="39" width="19.26953125" hidden="1" customWidth="1"/>
    <col min="40" max="40" width="19.26953125" customWidth="1"/>
    <col min="42" max="49" width="12.36328125" customWidth="1"/>
    <col min="50" max="72" width="12.36328125" hidden="1" customWidth="1"/>
    <col min="73" max="101" width="14.26953125" hidden="1" customWidth="1"/>
  </cols>
  <sheetData>
    <row r="1" spans="1:101" ht="53.25" customHeight="1" x14ac:dyDescent="0.25">
      <c r="A1" s="1" t="s">
        <v>1977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3" t="s">
        <v>1978</v>
      </c>
      <c r="H1" s="3" t="s">
        <v>6</v>
      </c>
      <c r="I1" s="1" t="s">
        <v>1979</v>
      </c>
      <c r="J1" s="1" t="s">
        <v>7</v>
      </c>
      <c r="K1" s="1" t="s">
        <v>8</v>
      </c>
      <c r="L1" s="111" t="s">
        <v>9</v>
      </c>
      <c r="M1" s="112"/>
      <c r="N1" s="113"/>
      <c r="O1" s="1" t="s">
        <v>10</v>
      </c>
      <c r="P1" s="4" t="s">
        <v>11</v>
      </c>
      <c r="Q1" s="1" t="s">
        <v>12</v>
      </c>
      <c r="R1" s="4" t="s">
        <v>13</v>
      </c>
      <c r="S1" s="4" t="s">
        <v>14</v>
      </c>
      <c r="T1" s="4" t="s">
        <v>15</v>
      </c>
      <c r="U1" s="1" t="s">
        <v>16</v>
      </c>
      <c r="V1" s="1" t="s">
        <v>17</v>
      </c>
      <c r="W1" s="1" t="s">
        <v>18</v>
      </c>
      <c r="X1" s="4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5" t="s">
        <v>24</v>
      </c>
      <c r="AD1" s="5" t="s">
        <v>1982</v>
      </c>
      <c r="AE1" s="5" t="s">
        <v>25</v>
      </c>
      <c r="AF1" s="5" t="s">
        <v>26</v>
      </c>
      <c r="AG1" s="5" t="s">
        <v>27</v>
      </c>
      <c r="AH1" s="5" t="s">
        <v>28</v>
      </c>
      <c r="AI1" s="6" t="s">
        <v>26</v>
      </c>
      <c r="AJ1" s="5" t="s">
        <v>29</v>
      </c>
      <c r="AK1" s="5" t="s">
        <v>30</v>
      </c>
      <c r="AL1" s="6" t="s">
        <v>26</v>
      </c>
      <c r="AM1" s="5" t="s">
        <v>31</v>
      </c>
      <c r="AN1" s="5" t="s">
        <v>32</v>
      </c>
      <c r="AO1" s="5" t="s">
        <v>33</v>
      </c>
      <c r="AP1" s="7" t="s">
        <v>34</v>
      </c>
      <c r="AQ1" s="8" t="s">
        <v>35</v>
      </c>
      <c r="AR1" s="7" t="s">
        <v>36</v>
      </c>
      <c r="AS1" s="8" t="s">
        <v>37</v>
      </c>
      <c r="AT1" s="7" t="s">
        <v>38</v>
      </c>
      <c r="AU1" s="8" t="s">
        <v>39</v>
      </c>
      <c r="AV1" s="7" t="s">
        <v>40</v>
      </c>
      <c r="AW1" s="8" t="s">
        <v>41</v>
      </c>
      <c r="AX1" s="9" t="s">
        <v>42</v>
      </c>
      <c r="AY1" s="10" t="s">
        <v>43</v>
      </c>
      <c r="AZ1" s="9" t="s">
        <v>44</v>
      </c>
      <c r="BA1" s="10" t="s">
        <v>45</v>
      </c>
      <c r="BB1" s="9" t="s">
        <v>46</v>
      </c>
      <c r="BC1" s="10" t="s">
        <v>47</v>
      </c>
      <c r="BD1" s="9" t="s">
        <v>48</v>
      </c>
      <c r="BE1" s="10" t="s">
        <v>49</v>
      </c>
      <c r="BF1" s="9" t="s">
        <v>50</v>
      </c>
      <c r="BG1" s="10" t="s">
        <v>51</v>
      </c>
      <c r="BH1" s="9" t="s">
        <v>52</v>
      </c>
      <c r="BI1" s="10" t="s">
        <v>53</v>
      </c>
      <c r="BJ1" s="10" t="s">
        <v>54</v>
      </c>
      <c r="BK1" s="10" t="s">
        <v>55</v>
      </c>
      <c r="BL1" s="10" t="s">
        <v>56</v>
      </c>
      <c r="BM1" s="10" t="s">
        <v>57</v>
      </c>
      <c r="BN1" s="10" t="s">
        <v>58</v>
      </c>
      <c r="BO1" s="10" t="s">
        <v>59</v>
      </c>
      <c r="BP1" s="10" t="s">
        <v>60</v>
      </c>
      <c r="BQ1" s="10" t="s">
        <v>61</v>
      </c>
      <c r="BR1" s="10" t="s">
        <v>62</v>
      </c>
      <c r="BS1" s="10" t="s">
        <v>63</v>
      </c>
      <c r="BT1" s="11" t="s">
        <v>64</v>
      </c>
      <c r="BU1" s="11" t="s">
        <v>65</v>
      </c>
      <c r="BV1" s="11" t="s">
        <v>66</v>
      </c>
      <c r="BW1" s="11" t="s">
        <v>67</v>
      </c>
      <c r="BX1" s="11" t="s">
        <v>68</v>
      </c>
      <c r="BY1" s="11" t="s">
        <v>69</v>
      </c>
      <c r="BZ1" s="11" t="s">
        <v>70</v>
      </c>
      <c r="CA1" s="11" t="s">
        <v>71</v>
      </c>
      <c r="CB1" s="11" t="s">
        <v>72</v>
      </c>
      <c r="CC1" s="11" t="s">
        <v>73</v>
      </c>
      <c r="CD1" s="11" t="s">
        <v>74</v>
      </c>
      <c r="CE1" s="11" t="s">
        <v>75</v>
      </c>
      <c r="CF1" s="11" t="s">
        <v>76</v>
      </c>
      <c r="CG1" s="11" t="s">
        <v>77</v>
      </c>
      <c r="CH1" s="11" t="s">
        <v>78</v>
      </c>
      <c r="CI1" s="11" t="s">
        <v>79</v>
      </c>
      <c r="CJ1" s="10" t="s">
        <v>80</v>
      </c>
      <c r="CK1" s="10" t="s">
        <v>81</v>
      </c>
      <c r="CL1" s="10" t="s">
        <v>82</v>
      </c>
      <c r="CM1" s="10" t="s">
        <v>83</v>
      </c>
      <c r="CN1" s="10" t="s">
        <v>84</v>
      </c>
      <c r="CO1" s="10" t="s">
        <v>85</v>
      </c>
      <c r="CP1" s="10" t="s">
        <v>86</v>
      </c>
      <c r="CQ1" s="10" t="s">
        <v>87</v>
      </c>
      <c r="CR1" s="10" t="s">
        <v>88</v>
      </c>
      <c r="CS1" s="10" t="s">
        <v>89</v>
      </c>
      <c r="CT1" s="10" t="s">
        <v>90</v>
      </c>
      <c r="CU1" s="10" t="s">
        <v>91</v>
      </c>
      <c r="CV1" s="10" t="s">
        <v>92</v>
      </c>
      <c r="CW1" s="10" t="s">
        <v>93</v>
      </c>
    </row>
    <row r="2" spans="1:101" ht="32.25" customHeight="1" x14ac:dyDescent="0.25">
      <c r="A2" s="12">
        <f t="shared" ref="A2:A256" si="0">SUBTOTAL(3,$B$2:B2)</f>
        <v>1</v>
      </c>
      <c r="B2" s="13" t="s">
        <v>94</v>
      </c>
      <c r="C2" s="13" t="s">
        <v>95</v>
      </c>
      <c r="D2" s="14" t="s">
        <v>96</v>
      </c>
      <c r="E2" s="15" t="s">
        <v>97</v>
      </c>
      <c r="F2" s="15" t="s">
        <v>98</v>
      </c>
      <c r="G2" s="16">
        <v>552</v>
      </c>
      <c r="H2" s="17">
        <v>931776000</v>
      </c>
      <c r="I2" s="18"/>
      <c r="J2" s="18"/>
      <c r="K2" s="18"/>
      <c r="L2" s="18" t="s">
        <v>99</v>
      </c>
      <c r="M2" s="19">
        <v>17064</v>
      </c>
      <c r="N2" s="20" t="s">
        <v>100</v>
      </c>
      <c r="O2" s="13" t="b">
        <v>1</v>
      </c>
      <c r="P2" s="20" t="b">
        <v>1</v>
      </c>
      <c r="Q2" s="20" t="b">
        <v>1</v>
      </c>
      <c r="R2" s="13" t="b">
        <v>1</v>
      </c>
      <c r="S2" s="13" t="b">
        <v>1</v>
      </c>
      <c r="T2" s="13" t="b">
        <v>1</v>
      </c>
      <c r="U2" s="13" t="b">
        <v>1</v>
      </c>
      <c r="V2" s="13" t="b">
        <v>1</v>
      </c>
      <c r="W2" s="13" t="b">
        <v>1</v>
      </c>
      <c r="X2" s="13" t="b">
        <v>1</v>
      </c>
      <c r="Y2" s="21" t="s">
        <v>101</v>
      </c>
      <c r="Z2" s="21" t="s">
        <v>102</v>
      </c>
      <c r="AA2" s="21" t="s">
        <v>103</v>
      </c>
      <c r="AB2" s="22"/>
      <c r="AC2" s="23"/>
      <c r="AD2" s="24"/>
      <c r="AE2" s="13" t="b">
        <v>1</v>
      </c>
      <c r="AF2" s="25">
        <v>45875</v>
      </c>
      <c r="AG2" s="26"/>
      <c r="AH2" s="27" t="b">
        <v>1</v>
      </c>
      <c r="AI2" s="28">
        <v>45903</v>
      </c>
      <c r="AJ2" s="29" t="s">
        <v>104</v>
      </c>
      <c r="AK2" s="27" t="b">
        <v>1</v>
      </c>
      <c r="AL2" s="30">
        <v>45964</v>
      </c>
      <c r="AM2" s="29" t="s">
        <v>104</v>
      </c>
      <c r="AN2" s="29"/>
      <c r="AO2" s="31"/>
      <c r="AP2" s="12"/>
      <c r="AQ2" s="16"/>
      <c r="AR2" s="32"/>
      <c r="AS2" s="33"/>
      <c r="AT2" s="32"/>
      <c r="AU2" s="33"/>
      <c r="AV2" s="34"/>
      <c r="AW2" s="33"/>
      <c r="AX2" s="35" t="b">
        <v>1</v>
      </c>
      <c r="AY2" s="36">
        <f>IF(MOD(H2,4)=0,H2/4,ROUNDUP(H2/4,0))</f>
        <v>232944000</v>
      </c>
      <c r="AZ2" s="37"/>
      <c r="BA2" s="38"/>
      <c r="BB2" s="37"/>
      <c r="BC2" s="38"/>
      <c r="BD2" s="37"/>
      <c r="BE2" s="38"/>
      <c r="BF2" s="37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5" t="b">
        <v>1</v>
      </c>
      <c r="BU2" s="36">
        <f>IF(MOD(H2,4)=0,H2/4,ROUNDDOWN(H2/4,0))</f>
        <v>232944000</v>
      </c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5" t="b">
        <v>1</v>
      </c>
      <c r="CK2" s="36">
        <f>IF(MOD(H2,4)=0,H2/4,ROUNDUP(H2/4,0))</f>
        <v>232944000</v>
      </c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</row>
    <row r="3" spans="1:101" ht="32.25" customHeight="1" x14ac:dyDescent="0.25">
      <c r="A3" s="12">
        <f t="shared" si="0"/>
        <v>2</v>
      </c>
      <c r="B3" s="13" t="s">
        <v>94</v>
      </c>
      <c r="C3" s="13" t="s">
        <v>95</v>
      </c>
      <c r="D3" s="14" t="s">
        <v>105</v>
      </c>
      <c r="E3" s="15" t="s">
        <v>106</v>
      </c>
      <c r="F3" s="15" t="s">
        <v>107</v>
      </c>
      <c r="G3" s="16">
        <v>226</v>
      </c>
      <c r="H3" s="17">
        <v>381488000</v>
      </c>
      <c r="I3" s="18"/>
      <c r="J3" s="18"/>
      <c r="K3" s="18"/>
      <c r="L3" s="18" t="s">
        <v>99</v>
      </c>
      <c r="M3" s="19">
        <v>17065</v>
      </c>
      <c r="N3" s="20" t="s">
        <v>100</v>
      </c>
      <c r="O3" s="13" t="b">
        <v>1</v>
      </c>
      <c r="P3" s="20" t="b">
        <v>1</v>
      </c>
      <c r="Q3" s="20" t="b">
        <v>1</v>
      </c>
      <c r="R3" s="13" t="b">
        <v>1</v>
      </c>
      <c r="S3" s="13" t="b">
        <v>1</v>
      </c>
      <c r="T3" s="13" t="b">
        <v>1</v>
      </c>
      <c r="U3" s="13" t="b">
        <v>1</v>
      </c>
      <c r="V3" s="13" t="b">
        <v>1</v>
      </c>
      <c r="W3" s="13" t="b">
        <v>1</v>
      </c>
      <c r="X3" s="13" t="b">
        <v>1</v>
      </c>
      <c r="Y3" s="21" t="s">
        <v>101</v>
      </c>
      <c r="Z3" s="21" t="s">
        <v>108</v>
      </c>
      <c r="AA3" s="21" t="s">
        <v>109</v>
      </c>
      <c r="AB3" s="22"/>
      <c r="AC3" s="23"/>
      <c r="AD3" s="24"/>
      <c r="AE3" s="13" t="b">
        <v>1</v>
      </c>
      <c r="AF3" s="25">
        <v>45904</v>
      </c>
      <c r="AG3" s="26" t="s">
        <v>104</v>
      </c>
      <c r="AH3" s="39" t="b">
        <v>1</v>
      </c>
      <c r="AI3" s="28">
        <v>45973</v>
      </c>
      <c r="AJ3" s="29" t="s">
        <v>104</v>
      </c>
      <c r="AK3" s="39" t="b">
        <v>1</v>
      </c>
      <c r="AL3" s="40">
        <v>46001</v>
      </c>
      <c r="AM3" s="29" t="s">
        <v>110</v>
      </c>
      <c r="AN3" s="29"/>
      <c r="AO3" s="31"/>
      <c r="AP3" s="12"/>
      <c r="AQ3" s="16"/>
      <c r="AR3" s="12"/>
      <c r="AS3" s="33"/>
      <c r="AT3" s="32"/>
      <c r="AU3" s="33"/>
      <c r="AV3" s="34"/>
      <c r="AW3" s="33"/>
      <c r="AX3" s="37"/>
      <c r="AY3" s="38"/>
      <c r="AZ3" s="37"/>
      <c r="BA3" s="38"/>
      <c r="BB3" s="35" t="b">
        <v>1</v>
      </c>
      <c r="BC3" s="36">
        <f>IF(MOD(H3,4)=0,H3/4,ROUNDUP(H3/4,0))</f>
        <v>95372000</v>
      </c>
      <c r="BD3" s="41"/>
      <c r="BE3" s="36"/>
      <c r="BF3" s="41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41"/>
      <c r="BU3" s="41"/>
      <c r="BV3" s="41"/>
      <c r="BW3" s="41"/>
      <c r="BX3" s="42" t="b">
        <v>1</v>
      </c>
      <c r="BY3" s="41">
        <f>IF(MOD(H3,4)=0,H3/4,ROUNDDOWN(H3/4,0))</f>
        <v>95372000</v>
      </c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35" t="b">
        <v>1</v>
      </c>
      <c r="CQ3" s="41">
        <f>IF(MOD(H3,4)=0,H3/4,ROUNDUP(H3/4,0))</f>
        <v>95372000</v>
      </c>
      <c r="CR3" s="41"/>
      <c r="CS3" s="41"/>
      <c r="CT3" s="41"/>
      <c r="CU3" s="41"/>
      <c r="CV3" s="41"/>
      <c r="CW3" s="41"/>
    </row>
    <row r="4" spans="1:101" ht="32.25" customHeight="1" x14ac:dyDescent="0.25">
      <c r="A4" s="12">
        <f t="shared" si="0"/>
        <v>3</v>
      </c>
      <c r="B4" s="13" t="s">
        <v>94</v>
      </c>
      <c r="C4" s="13" t="s">
        <v>95</v>
      </c>
      <c r="D4" s="14" t="s">
        <v>111</v>
      </c>
      <c r="E4" s="15" t="s">
        <v>112</v>
      </c>
      <c r="F4" s="15" t="s">
        <v>113</v>
      </c>
      <c r="G4" s="16">
        <v>21</v>
      </c>
      <c r="H4" s="17">
        <v>35448000</v>
      </c>
      <c r="I4" s="18"/>
      <c r="J4" s="18"/>
      <c r="K4" s="18"/>
      <c r="L4" s="18" t="s">
        <v>99</v>
      </c>
      <c r="M4" s="19">
        <v>17066</v>
      </c>
      <c r="N4" s="20" t="s">
        <v>100</v>
      </c>
      <c r="O4" s="13" t="b">
        <v>1</v>
      </c>
      <c r="P4" s="20" t="b">
        <v>1</v>
      </c>
      <c r="Q4" s="20" t="b">
        <v>1</v>
      </c>
      <c r="R4" s="13" t="b">
        <v>1</v>
      </c>
      <c r="S4" s="13" t="b">
        <v>1</v>
      </c>
      <c r="T4" s="13" t="b">
        <v>1</v>
      </c>
      <c r="U4" s="13" t="b">
        <v>1</v>
      </c>
      <c r="V4" s="13" t="b">
        <v>1</v>
      </c>
      <c r="W4" s="13" t="b">
        <v>1</v>
      </c>
      <c r="X4" s="13" t="b">
        <v>1</v>
      </c>
      <c r="Y4" s="21" t="s">
        <v>101</v>
      </c>
      <c r="Z4" s="21" t="s">
        <v>114</v>
      </c>
      <c r="AA4" s="21" t="s">
        <v>115</v>
      </c>
      <c r="AB4" s="22"/>
      <c r="AC4" s="23"/>
      <c r="AD4" s="43"/>
      <c r="AE4" s="13" t="b">
        <v>1</v>
      </c>
      <c r="AF4" s="25">
        <v>45875</v>
      </c>
      <c r="AG4" s="44"/>
      <c r="AH4" s="27" t="b">
        <v>1</v>
      </c>
      <c r="AI4" s="25">
        <v>45915</v>
      </c>
      <c r="AJ4" s="45" t="s">
        <v>104</v>
      </c>
      <c r="AK4" s="27" t="b">
        <v>1</v>
      </c>
      <c r="AL4" s="46">
        <v>45975</v>
      </c>
      <c r="AM4" s="45" t="s">
        <v>104</v>
      </c>
      <c r="AN4" s="45"/>
      <c r="AO4" s="31"/>
      <c r="AP4" s="12"/>
      <c r="AQ4" s="16"/>
      <c r="AR4" s="12"/>
      <c r="AS4" s="33"/>
      <c r="AT4" s="32"/>
      <c r="AU4" s="33"/>
      <c r="AV4" s="34"/>
      <c r="AW4" s="33"/>
      <c r="AX4" s="35" t="b">
        <v>1</v>
      </c>
      <c r="AY4" s="36">
        <f t="shared" ref="AY4:AY12" si="1">IF(MOD(H4,4)=0,H4/4,ROUNDUP(H4/4,0))</f>
        <v>8862000</v>
      </c>
      <c r="AZ4" s="37"/>
      <c r="BA4" s="38"/>
      <c r="BB4" s="37"/>
      <c r="BC4" s="38"/>
      <c r="BD4" s="37"/>
      <c r="BE4" s="38"/>
      <c r="BF4" s="37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5" t="b">
        <v>1</v>
      </c>
      <c r="BU4" s="36">
        <f t="shared" ref="BU4:BU5" si="2">IF(MOD(H4,4)=0,H4/4,ROUNDDOWN(H4/4,0))</f>
        <v>8862000</v>
      </c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5" t="b">
        <v>1</v>
      </c>
      <c r="CK4" s="36">
        <f t="shared" ref="CK4:CK5" si="3">IF(MOD(H4,4)=0,H4/4,ROUNDUP(H4/4,0))</f>
        <v>8862000</v>
      </c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</row>
    <row r="5" spans="1:101" ht="32.25" customHeight="1" x14ac:dyDescent="0.25">
      <c r="A5" s="12">
        <f t="shared" si="0"/>
        <v>4</v>
      </c>
      <c r="B5" s="13" t="s">
        <v>94</v>
      </c>
      <c r="C5" s="13" t="s">
        <v>95</v>
      </c>
      <c r="D5" s="14" t="s">
        <v>116</v>
      </c>
      <c r="E5" s="15" t="s">
        <v>117</v>
      </c>
      <c r="F5" s="15" t="s">
        <v>118</v>
      </c>
      <c r="G5" s="16">
        <v>109</v>
      </c>
      <c r="H5" s="17">
        <v>183992000</v>
      </c>
      <c r="I5" s="18"/>
      <c r="J5" s="18"/>
      <c r="K5" s="18"/>
      <c r="L5" s="18" t="s">
        <v>99</v>
      </c>
      <c r="M5" s="19">
        <v>17067</v>
      </c>
      <c r="N5" s="20" t="s">
        <v>100</v>
      </c>
      <c r="O5" s="13" t="b">
        <v>1</v>
      </c>
      <c r="P5" s="20" t="b">
        <v>1</v>
      </c>
      <c r="Q5" s="20" t="b">
        <v>1</v>
      </c>
      <c r="R5" s="13" t="b">
        <v>1</v>
      </c>
      <c r="S5" s="13" t="b">
        <v>1</v>
      </c>
      <c r="T5" s="13" t="b">
        <v>1</v>
      </c>
      <c r="U5" s="13" t="b">
        <v>1</v>
      </c>
      <c r="V5" s="13" t="b">
        <v>1</v>
      </c>
      <c r="W5" s="13" t="b">
        <v>1</v>
      </c>
      <c r="X5" s="13" t="b">
        <v>1</v>
      </c>
      <c r="Y5" s="21" t="s">
        <v>101</v>
      </c>
      <c r="Z5" s="21" t="s">
        <v>119</v>
      </c>
      <c r="AA5" s="21" t="s">
        <v>120</v>
      </c>
      <c r="AB5" s="22"/>
      <c r="AC5" s="23"/>
      <c r="AD5" s="24"/>
      <c r="AE5" s="13" t="b">
        <v>1</v>
      </c>
      <c r="AF5" s="25">
        <v>45875</v>
      </c>
      <c r="AG5" s="44"/>
      <c r="AH5" s="27" t="b">
        <v>1</v>
      </c>
      <c r="AI5" s="25">
        <v>45915</v>
      </c>
      <c r="AJ5" s="45" t="s">
        <v>121</v>
      </c>
      <c r="AK5" s="27" t="b">
        <v>1</v>
      </c>
      <c r="AL5" s="46">
        <v>45973</v>
      </c>
      <c r="AM5" s="45" t="s">
        <v>104</v>
      </c>
      <c r="AN5" s="45"/>
      <c r="AO5" s="31"/>
      <c r="AP5" s="12"/>
      <c r="AQ5" s="16"/>
      <c r="AR5" s="12"/>
      <c r="AS5" s="33"/>
      <c r="AT5" s="32"/>
      <c r="AU5" s="33"/>
      <c r="AV5" s="34"/>
      <c r="AW5" s="33"/>
      <c r="AX5" s="35" t="b">
        <v>1</v>
      </c>
      <c r="AY5" s="36">
        <f t="shared" si="1"/>
        <v>45998000</v>
      </c>
      <c r="AZ5" s="37"/>
      <c r="BA5" s="38"/>
      <c r="BB5" s="37"/>
      <c r="BC5" s="38"/>
      <c r="BD5" s="37"/>
      <c r="BE5" s="38"/>
      <c r="BF5" s="37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5" t="b">
        <v>1</v>
      </c>
      <c r="BU5" s="36">
        <f t="shared" si="2"/>
        <v>45998000</v>
      </c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5" t="b">
        <v>1</v>
      </c>
      <c r="CK5" s="36">
        <f t="shared" si="3"/>
        <v>45998000</v>
      </c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</row>
    <row r="6" spans="1:101" ht="32.25" customHeight="1" x14ac:dyDescent="0.25">
      <c r="A6" s="12">
        <f t="shared" si="0"/>
        <v>5</v>
      </c>
      <c r="B6" s="13" t="s">
        <v>94</v>
      </c>
      <c r="C6" s="13" t="s">
        <v>95</v>
      </c>
      <c r="D6" s="14" t="s">
        <v>122</v>
      </c>
      <c r="E6" s="15" t="s">
        <v>123</v>
      </c>
      <c r="F6" s="15" t="s">
        <v>124</v>
      </c>
      <c r="G6" s="16">
        <v>36</v>
      </c>
      <c r="H6" s="17">
        <v>60768000</v>
      </c>
      <c r="I6" s="18"/>
      <c r="J6" s="18"/>
      <c r="K6" s="18"/>
      <c r="L6" s="18" t="s">
        <v>99</v>
      </c>
      <c r="M6" s="19">
        <v>17068</v>
      </c>
      <c r="N6" s="20" t="s">
        <v>100</v>
      </c>
      <c r="O6" s="13" t="b">
        <v>1</v>
      </c>
      <c r="P6" s="20" t="b">
        <v>1</v>
      </c>
      <c r="Q6" s="20" t="b">
        <v>1</v>
      </c>
      <c r="R6" s="13" t="b">
        <v>1</v>
      </c>
      <c r="S6" s="13" t="b">
        <v>1</v>
      </c>
      <c r="T6" s="13" t="b">
        <v>1</v>
      </c>
      <c r="U6" s="13" t="b">
        <v>1</v>
      </c>
      <c r="V6" s="13" t="b">
        <v>1</v>
      </c>
      <c r="W6" s="13" t="b">
        <v>1</v>
      </c>
      <c r="X6" s="13" t="b">
        <v>1</v>
      </c>
      <c r="Y6" s="21" t="s">
        <v>101</v>
      </c>
      <c r="Z6" s="21" t="s">
        <v>125</v>
      </c>
      <c r="AA6" s="21" t="s">
        <v>126</v>
      </c>
      <c r="AB6" s="22"/>
      <c r="AC6" s="23"/>
      <c r="AD6" s="24"/>
      <c r="AE6" s="13" t="b">
        <v>1</v>
      </c>
      <c r="AF6" s="25">
        <v>45875</v>
      </c>
      <c r="AG6" s="26"/>
      <c r="AH6" s="39" t="b">
        <v>1</v>
      </c>
      <c r="AI6" s="28">
        <v>45973</v>
      </c>
      <c r="AJ6" s="29" t="s">
        <v>127</v>
      </c>
      <c r="AK6" s="39" t="b">
        <v>1</v>
      </c>
      <c r="AL6" s="40">
        <v>46001</v>
      </c>
      <c r="AM6" s="29" t="s">
        <v>128</v>
      </c>
      <c r="AN6" s="29"/>
      <c r="AO6" s="31"/>
      <c r="AP6" s="12"/>
      <c r="AQ6" s="16"/>
      <c r="AR6" s="12"/>
      <c r="AS6" s="33"/>
      <c r="AT6" s="32"/>
      <c r="AU6" s="33"/>
      <c r="AV6" s="34"/>
      <c r="AW6" s="33"/>
      <c r="AX6" s="35" t="b">
        <v>1</v>
      </c>
      <c r="AY6" s="36">
        <f t="shared" si="1"/>
        <v>15192000</v>
      </c>
      <c r="AZ6" s="37"/>
      <c r="BA6" s="38"/>
      <c r="BB6" s="37"/>
      <c r="BC6" s="38"/>
      <c r="BD6" s="37"/>
      <c r="BE6" s="38"/>
      <c r="BF6" s="37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7"/>
      <c r="BU6" s="37"/>
      <c r="BV6" s="37"/>
      <c r="BW6" s="37"/>
      <c r="BX6" s="42" t="b">
        <v>1</v>
      </c>
      <c r="BY6" s="41">
        <f>IF(MOD(H6,4)=0,H6/4,ROUNDDOWN(H6/4,0))</f>
        <v>15192000</v>
      </c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35" t="b">
        <v>1</v>
      </c>
      <c r="CQ6" s="41">
        <f>IF(MOD(H6,4)=0,H6/4,ROUNDUP(H6/4,0))</f>
        <v>15192000</v>
      </c>
      <c r="CR6" s="41"/>
      <c r="CS6" s="41"/>
      <c r="CT6" s="41"/>
      <c r="CU6" s="41"/>
      <c r="CV6" s="41"/>
      <c r="CW6" s="41"/>
    </row>
    <row r="7" spans="1:101" ht="33" x14ac:dyDescent="0.25">
      <c r="A7" s="12">
        <f t="shared" si="0"/>
        <v>6</v>
      </c>
      <c r="B7" s="13" t="s">
        <v>94</v>
      </c>
      <c r="C7" s="13" t="s">
        <v>95</v>
      </c>
      <c r="D7" s="14" t="s">
        <v>129</v>
      </c>
      <c r="E7" s="15" t="s">
        <v>130</v>
      </c>
      <c r="F7" s="15" t="s">
        <v>131</v>
      </c>
      <c r="G7" s="16">
        <v>165</v>
      </c>
      <c r="H7" s="17">
        <v>278520000</v>
      </c>
      <c r="I7" s="18"/>
      <c r="J7" s="18"/>
      <c r="K7" s="18"/>
      <c r="L7" s="18" t="s">
        <v>99</v>
      </c>
      <c r="M7" s="19">
        <v>17069</v>
      </c>
      <c r="N7" s="20" t="s">
        <v>100</v>
      </c>
      <c r="O7" s="13" t="b">
        <v>1</v>
      </c>
      <c r="P7" s="20" t="b">
        <v>1</v>
      </c>
      <c r="Q7" s="20" t="b">
        <v>1</v>
      </c>
      <c r="R7" s="13" t="b">
        <v>1</v>
      </c>
      <c r="S7" s="13" t="b">
        <v>1</v>
      </c>
      <c r="T7" s="13" t="b">
        <v>1</v>
      </c>
      <c r="U7" s="13" t="b">
        <v>1</v>
      </c>
      <c r="V7" s="13" t="b">
        <v>1</v>
      </c>
      <c r="W7" s="13" t="b">
        <v>1</v>
      </c>
      <c r="X7" s="13" t="b">
        <v>1</v>
      </c>
      <c r="Y7" s="21" t="s">
        <v>101</v>
      </c>
      <c r="Z7" s="21" t="s">
        <v>132</v>
      </c>
      <c r="AA7" s="21" t="s">
        <v>133</v>
      </c>
      <c r="AB7" s="22"/>
      <c r="AC7" s="23"/>
      <c r="AD7" s="24"/>
      <c r="AE7" s="13" t="b">
        <v>1</v>
      </c>
      <c r="AF7" s="25">
        <v>45875</v>
      </c>
      <c r="AG7" s="44"/>
      <c r="AH7" s="27" t="b">
        <v>1</v>
      </c>
      <c r="AI7" s="25">
        <v>45915</v>
      </c>
      <c r="AJ7" s="45"/>
      <c r="AK7" s="27" t="b">
        <v>1</v>
      </c>
      <c r="AL7" s="46">
        <v>45973</v>
      </c>
      <c r="AM7" s="45" t="s">
        <v>104</v>
      </c>
      <c r="AN7" s="45"/>
      <c r="AO7" s="31"/>
      <c r="AP7" s="12"/>
      <c r="AQ7" s="16"/>
      <c r="AR7" s="12"/>
      <c r="AS7" s="33"/>
      <c r="AT7" s="32"/>
      <c r="AU7" s="33"/>
      <c r="AV7" s="34"/>
      <c r="AW7" s="33"/>
      <c r="AX7" s="35" t="b">
        <v>1</v>
      </c>
      <c r="AY7" s="36">
        <f t="shared" si="1"/>
        <v>69630000</v>
      </c>
      <c r="AZ7" s="37"/>
      <c r="BA7" s="38"/>
      <c r="BB7" s="37"/>
      <c r="BC7" s="38"/>
      <c r="BD7" s="37"/>
      <c r="BE7" s="38"/>
      <c r="BF7" s="37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5" t="b">
        <v>1</v>
      </c>
      <c r="BU7" s="36">
        <f>IF(MOD(H7,4)=0,H7/4,ROUNDDOWN(H7/4,0))</f>
        <v>69630000</v>
      </c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5" t="b">
        <v>1</v>
      </c>
      <c r="CK7" s="36">
        <f>IF(MOD(H7,4)=0,H7/4,ROUNDUP(H7/4,0))</f>
        <v>69630000</v>
      </c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</row>
    <row r="8" spans="1:101" ht="32.25" customHeight="1" x14ac:dyDescent="0.25">
      <c r="A8" s="12">
        <f t="shared" si="0"/>
        <v>7</v>
      </c>
      <c r="B8" s="13" t="s">
        <v>134</v>
      </c>
      <c r="C8" s="13" t="s">
        <v>95</v>
      </c>
      <c r="D8" s="14" t="s">
        <v>135</v>
      </c>
      <c r="E8" s="15" t="s">
        <v>136</v>
      </c>
      <c r="F8" s="15" t="s">
        <v>137</v>
      </c>
      <c r="G8" s="16">
        <v>456</v>
      </c>
      <c r="H8" s="17">
        <v>745788000</v>
      </c>
      <c r="I8" s="18"/>
      <c r="J8" s="18"/>
      <c r="K8" s="18"/>
      <c r="L8" s="18" t="s">
        <v>99</v>
      </c>
      <c r="M8" s="19">
        <v>17086</v>
      </c>
      <c r="N8" s="20" t="s">
        <v>100</v>
      </c>
      <c r="O8" s="13" t="b">
        <v>1</v>
      </c>
      <c r="P8" s="20" t="b">
        <v>1</v>
      </c>
      <c r="Q8" s="20" t="b">
        <v>1</v>
      </c>
      <c r="R8" s="13" t="b">
        <v>1</v>
      </c>
      <c r="S8" s="13" t="b">
        <v>1</v>
      </c>
      <c r="T8" s="13" t="b">
        <v>1</v>
      </c>
      <c r="U8" s="13" t="b">
        <v>1</v>
      </c>
      <c r="V8" s="13" t="b">
        <v>1</v>
      </c>
      <c r="W8" s="13" t="b">
        <v>1</v>
      </c>
      <c r="X8" s="13" t="b">
        <v>1</v>
      </c>
      <c r="Y8" s="21" t="s">
        <v>101</v>
      </c>
      <c r="Z8" s="21" t="s">
        <v>138</v>
      </c>
      <c r="AA8" s="21" t="s">
        <v>139</v>
      </c>
      <c r="AB8" s="22"/>
      <c r="AC8" s="23"/>
      <c r="AD8" s="13"/>
      <c r="AE8" s="47" t="b">
        <v>1</v>
      </c>
      <c r="AF8" s="48">
        <v>45880</v>
      </c>
      <c r="AG8" s="26"/>
      <c r="AH8" s="27" t="b">
        <v>1</v>
      </c>
      <c r="AI8" s="28">
        <v>45945</v>
      </c>
      <c r="AJ8" s="49" t="s">
        <v>140</v>
      </c>
      <c r="AK8" s="39" t="b">
        <v>1</v>
      </c>
      <c r="AL8" s="40">
        <v>46008</v>
      </c>
      <c r="AM8" s="29" t="s">
        <v>104</v>
      </c>
      <c r="AN8" s="29"/>
      <c r="AO8" s="13"/>
      <c r="AP8" s="12"/>
      <c r="AQ8" s="16"/>
      <c r="AR8" s="32"/>
      <c r="AS8" s="33"/>
      <c r="AT8" s="32"/>
      <c r="AU8" s="33"/>
      <c r="AV8" s="34"/>
      <c r="AW8" s="33"/>
      <c r="AX8" s="35" t="b">
        <v>1</v>
      </c>
      <c r="AY8" s="36">
        <f t="shared" si="1"/>
        <v>186447000</v>
      </c>
      <c r="AZ8" s="37"/>
      <c r="BA8" s="38"/>
      <c r="BB8" s="37"/>
      <c r="BC8" s="38"/>
      <c r="BD8" s="37"/>
      <c r="BE8" s="38"/>
      <c r="BF8" s="37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7"/>
      <c r="BU8" s="37"/>
      <c r="BV8" s="35" t="b">
        <v>1</v>
      </c>
      <c r="BW8" s="41">
        <f>IF(MOD(H8,4)=0,H8/4,ROUNDDOWN(H8/4,0))</f>
        <v>186447000</v>
      </c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12" t="b">
        <v>1</v>
      </c>
      <c r="CS8" s="36">
        <f>IF(MOD(H8,4)=0,H8/4,ROUNDUP(H8/4,0))</f>
        <v>186447000</v>
      </c>
      <c r="CT8" s="36"/>
      <c r="CU8" s="36"/>
      <c r="CV8" s="36"/>
      <c r="CW8" s="36"/>
    </row>
    <row r="9" spans="1:101" ht="32.25" customHeight="1" x14ac:dyDescent="0.25">
      <c r="A9" s="12">
        <f t="shared" si="0"/>
        <v>8</v>
      </c>
      <c r="B9" s="13" t="s">
        <v>94</v>
      </c>
      <c r="C9" s="13" t="s">
        <v>95</v>
      </c>
      <c r="D9" s="14" t="s">
        <v>141</v>
      </c>
      <c r="E9" s="15" t="s">
        <v>142</v>
      </c>
      <c r="F9" s="15" t="s">
        <v>143</v>
      </c>
      <c r="G9" s="16">
        <v>117</v>
      </c>
      <c r="H9" s="17">
        <v>197496000</v>
      </c>
      <c r="I9" s="18"/>
      <c r="J9" s="18"/>
      <c r="K9" s="18"/>
      <c r="L9" s="18" t="s">
        <v>99</v>
      </c>
      <c r="M9" s="19">
        <v>17070</v>
      </c>
      <c r="N9" s="20" t="s">
        <v>100</v>
      </c>
      <c r="O9" s="13" t="b">
        <v>1</v>
      </c>
      <c r="P9" s="20" t="b">
        <v>1</v>
      </c>
      <c r="Q9" s="20" t="b">
        <v>1</v>
      </c>
      <c r="R9" s="13" t="b">
        <v>1</v>
      </c>
      <c r="S9" s="13" t="b">
        <v>1</v>
      </c>
      <c r="T9" s="13" t="b">
        <v>1</v>
      </c>
      <c r="U9" s="13" t="b">
        <v>1</v>
      </c>
      <c r="V9" s="13" t="b">
        <v>1</v>
      </c>
      <c r="W9" s="13" t="b">
        <v>1</v>
      </c>
      <c r="X9" s="13" t="b">
        <v>1</v>
      </c>
      <c r="Y9" s="21" t="s">
        <v>101</v>
      </c>
      <c r="Z9" s="21" t="s">
        <v>144</v>
      </c>
      <c r="AA9" s="21" t="s">
        <v>133</v>
      </c>
      <c r="AB9" s="22"/>
      <c r="AC9" s="23"/>
      <c r="AD9" s="24"/>
      <c r="AE9" s="47" t="b">
        <v>1</v>
      </c>
      <c r="AF9" s="25">
        <v>45875</v>
      </c>
      <c r="AG9" s="44"/>
      <c r="AH9" s="27" t="b">
        <v>1</v>
      </c>
      <c r="AI9" s="48">
        <v>45915</v>
      </c>
      <c r="AJ9" s="45" t="s">
        <v>104</v>
      </c>
      <c r="AK9" s="27" t="b">
        <v>1</v>
      </c>
      <c r="AL9" s="46">
        <v>45973</v>
      </c>
      <c r="AM9" s="45" t="s">
        <v>145</v>
      </c>
      <c r="AN9" s="45"/>
      <c r="AO9" s="50"/>
      <c r="AP9" s="12"/>
      <c r="AQ9" s="16"/>
      <c r="AR9" s="12"/>
      <c r="AS9" s="33"/>
      <c r="AT9" s="32"/>
      <c r="AU9" s="33"/>
      <c r="AV9" s="34"/>
      <c r="AW9" s="33"/>
      <c r="AX9" s="35" t="b">
        <v>1</v>
      </c>
      <c r="AY9" s="36">
        <f t="shared" si="1"/>
        <v>49374000</v>
      </c>
      <c r="AZ9" s="37"/>
      <c r="BA9" s="38"/>
      <c r="BB9" s="37"/>
      <c r="BC9" s="38"/>
      <c r="BD9" s="37"/>
      <c r="BE9" s="38"/>
      <c r="BF9" s="37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5" t="b">
        <v>1</v>
      </c>
      <c r="BU9" s="36">
        <f t="shared" ref="BU9:BU10" si="4">IF(MOD(H9,4)=0,H9/4,ROUNDDOWN(H9/4,0))</f>
        <v>49374000</v>
      </c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5" t="b">
        <v>1</v>
      </c>
      <c r="CK9" s="36">
        <f t="shared" ref="CK9:CK10" si="5">IF(MOD(H9,4)=0,H9/4,ROUNDUP(H9/4,0))</f>
        <v>49374000</v>
      </c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</row>
    <row r="10" spans="1:101" ht="32.25" customHeight="1" x14ac:dyDescent="0.25">
      <c r="A10" s="12">
        <f t="shared" si="0"/>
        <v>9</v>
      </c>
      <c r="B10" s="13" t="s">
        <v>94</v>
      </c>
      <c r="C10" s="13" t="s">
        <v>95</v>
      </c>
      <c r="D10" s="14" t="s">
        <v>146</v>
      </c>
      <c r="E10" s="15" t="s">
        <v>147</v>
      </c>
      <c r="F10" s="15" t="s">
        <v>148</v>
      </c>
      <c r="G10" s="16">
        <v>33</v>
      </c>
      <c r="H10" s="17">
        <v>55704000</v>
      </c>
      <c r="I10" s="18"/>
      <c r="J10" s="18"/>
      <c r="K10" s="18"/>
      <c r="L10" s="18" t="s">
        <v>99</v>
      </c>
      <c r="M10" s="19">
        <v>17071</v>
      </c>
      <c r="N10" s="20" t="s">
        <v>100</v>
      </c>
      <c r="O10" s="13" t="b">
        <v>1</v>
      </c>
      <c r="P10" s="20" t="b">
        <v>1</v>
      </c>
      <c r="Q10" s="20" t="b">
        <v>1</v>
      </c>
      <c r="R10" s="13" t="b">
        <v>0</v>
      </c>
      <c r="S10" s="13" t="b">
        <v>1</v>
      </c>
      <c r="T10" s="13" t="b">
        <v>1</v>
      </c>
      <c r="U10" s="13" t="b">
        <v>1</v>
      </c>
      <c r="V10" s="13" t="b">
        <v>1</v>
      </c>
      <c r="W10" s="13" t="b">
        <v>1</v>
      </c>
      <c r="X10" s="13" t="b">
        <v>1</v>
      </c>
      <c r="Y10" s="21" t="s">
        <v>101</v>
      </c>
      <c r="Z10" s="21" t="s">
        <v>149</v>
      </c>
      <c r="AA10" s="21" t="s">
        <v>150</v>
      </c>
      <c r="AB10" s="22"/>
      <c r="AC10" s="23"/>
      <c r="AD10" s="24"/>
      <c r="AE10" s="13" t="b">
        <v>1</v>
      </c>
      <c r="AF10" s="25">
        <v>45875</v>
      </c>
      <c r="AG10" s="44"/>
      <c r="AH10" s="27" t="b">
        <v>1</v>
      </c>
      <c r="AI10" s="25">
        <v>45915</v>
      </c>
      <c r="AJ10" s="45" t="s">
        <v>104</v>
      </c>
      <c r="AK10" s="27" t="b">
        <v>1</v>
      </c>
      <c r="AL10" s="46">
        <v>45973</v>
      </c>
      <c r="AM10" s="45" t="s">
        <v>104</v>
      </c>
      <c r="AN10" s="45"/>
      <c r="AO10" s="31"/>
      <c r="AP10" s="12"/>
      <c r="AQ10" s="16"/>
      <c r="AR10" s="12"/>
      <c r="AS10" s="33"/>
      <c r="AT10" s="32"/>
      <c r="AU10" s="33"/>
      <c r="AV10" s="34"/>
      <c r="AW10" s="33"/>
      <c r="AX10" s="35" t="b">
        <v>1</v>
      </c>
      <c r="AY10" s="36">
        <f t="shared" si="1"/>
        <v>13926000</v>
      </c>
      <c r="AZ10" s="37"/>
      <c r="BA10" s="38"/>
      <c r="BB10" s="37"/>
      <c r="BC10" s="38"/>
      <c r="BD10" s="37"/>
      <c r="BE10" s="38"/>
      <c r="BF10" s="37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5" t="b">
        <v>1</v>
      </c>
      <c r="BU10" s="36">
        <f t="shared" si="4"/>
        <v>13926000</v>
      </c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5" t="b">
        <v>1</v>
      </c>
      <c r="CK10" s="36">
        <f t="shared" si="5"/>
        <v>13926000</v>
      </c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</row>
    <row r="11" spans="1:101" ht="32.25" customHeight="1" x14ac:dyDescent="0.25">
      <c r="A11" s="12">
        <f t="shared" si="0"/>
        <v>10</v>
      </c>
      <c r="B11" s="13" t="s">
        <v>151</v>
      </c>
      <c r="C11" s="13" t="s">
        <v>95</v>
      </c>
      <c r="D11" s="14" t="s">
        <v>152</v>
      </c>
      <c r="E11" s="15" t="s">
        <v>153</v>
      </c>
      <c r="F11" s="15" t="s">
        <v>154</v>
      </c>
      <c r="G11" s="16">
        <v>81</v>
      </c>
      <c r="H11" s="17">
        <v>160825500</v>
      </c>
      <c r="I11" s="18"/>
      <c r="J11" s="18"/>
      <c r="K11" s="18"/>
      <c r="L11" s="18" t="s">
        <v>99</v>
      </c>
      <c r="M11" s="19">
        <v>17072</v>
      </c>
      <c r="N11" s="20" t="s">
        <v>100</v>
      </c>
      <c r="O11" s="13" t="b">
        <v>1</v>
      </c>
      <c r="P11" s="20" t="b">
        <v>1</v>
      </c>
      <c r="Q11" s="20" t="b">
        <v>1</v>
      </c>
      <c r="R11" s="13" t="b">
        <v>1</v>
      </c>
      <c r="S11" s="13" t="b">
        <v>1</v>
      </c>
      <c r="T11" s="13" t="b">
        <v>1</v>
      </c>
      <c r="U11" s="13" t="b">
        <v>1</v>
      </c>
      <c r="V11" s="13" t="b">
        <v>1</v>
      </c>
      <c r="W11" s="13" t="b">
        <v>1</v>
      </c>
      <c r="X11" s="13" t="b">
        <v>1</v>
      </c>
      <c r="Y11" s="21" t="s">
        <v>101</v>
      </c>
      <c r="Z11" s="21" t="s">
        <v>155</v>
      </c>
      <c r="AA11" s="21" t="s">
        <v>156</v>
      </c>
      <c r="AB11" s="22"/>
      <c r="AC11" s="23"/>
      <c r="AD11" s="24"/>
      <c r="AE11" s="47" t="b">
        <v>1</v>
      </c>
      <c r="AF11" s="25">
        <v>45875</v>
      </c>
      <c r="AG11" s="26" t="s">
        <v>157</v>
      </c>
      <c r="AH11" s="27" t="b">
        <v>1</v>
      </c>
      <c r="AI11" s="28">
        <v>45943</v>
      </c>
      <c r="AJ11" s="49" t="s">
        <v>158</v>
      </c>
      <c r="AK11" s="39" t="b">
        <v>1</v>
      </c>
      <c r="AL11" s="40">
        <v>45996</v>
      </c>
      <c r="AM11" s="26" t="s">
        <v>157</v>
      </c>
      <c r="AN11" s="29"/>
      <c r="AO11" s="31"/>
      <c r="AP11" s="12"/>
      <c r="AQ11" s="16"/>
      <c r="AR11" s="32"/>
      <c r="AS11" s="33"/>
      <c r="AT11" s="32"/>
      <c r="AU11" s="33"/>
      <c r="AV11" s="34"/>
      <c r="AW11" s="33"/>
      <c r="AX11" s="35" t="b">
        <v>1</v>
      </c>
      <c r="AY11" s="36">
        <f t="shared" si="1"/>
        <v>40206375</v>
      </c>
      <c r="AZ11" s="37"/>
      <c r="BA11" s="38"/>
      <c r="BB11" s="37"/>
      <c r="BC11" s="38"/>
      <c r="BD11" s="37"/>
      <c r="BE11" s="38"/>
      <c r="BF11" s="37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7"/>
      <c r="BU11" s="37"/>
      <c r="BV11" s="35" t="b">
        <v>1</v>
      </c>
      <c r="BW11" s="41">
        <f>IF(MOD(H11,4)=0,H11/4,ROUNDDOWN(H11/4,0))</f>
        <v>40206375</v>
      </c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35" t="b">
        <v>1</v>
      </c>
      <c r="CQ11" s="41">
        <f>IF(MOD(H11,4)=0,H11/4,ROUNDUP(H11/4,0))</f>
        <v>40206375</v>
      </c>
      <c r="CR11" s="41"/>
      <c r="CS11" s="41"/>
      <c r="CT11" s="41"/>
      <c r="CU11" s="41"/>
      <c r="CV11" s="41"/>
      <c r="CW11" s="41"/>
    </row>
    <row r="12" spans="1:101" ht="32.25" customHeight="1" x14ac:dyDescent="0.25">
      <c r="A12" s="12">
        <f t="shared" si="0"/>
        <v>11</v>
      </c>
      <c r="B12" s="13" t="s">
        <v>151</v>
      </c>
      <c r="C12" s="13" t="s">
        <v>95</v>
      </c>
      <c r="D12" s="14" t="s">
        <v>159</v>
      </c>
      <c r="E12" s="15" t="s">
        <v>160</v>
      </c>
      <c r="F12" s="15" t="s">
        <v>161</v>
      </c>
      <c r="G12" s="16">
        <v>130</v>
      </c>
      <c r="H12" s="17">
        <v>258115000</v>
      </c>
      <c r="I12" s="18"/>
      <c r="J12" s="18"/>
      <c r="K12" s="18"/>
      <c r="L12" s="18" t="s">
        <v>99</v>
      </c>
      <c r="M12" s="19">
        <v>17073</v>
      </c>
      <c r="N12" s="20" t="s">
        <v>100</v>
      </c>
      <c r="O12" s="13" t="b">
        <v>1</v>
      </c>
      <c r="P12" s="20" t="b">
        <v>1</v>
      </c>
      <c r="Q12" s="20" t="b">
        <v>1</v>
      </c>
      <c r="R12" s="13" t="b">
        <v>1</v>
      </c>
      <c r="S12" s="13" t="b">
        <v>1</v>
      </c>
      <c r="T12" s="13" t="b">
        <v>1</v>
      </c>
      <c r="U12" s="13" t="b">
        <v>1</v>
      </c>
      <c r="V12" s="13" t="b">
        <v>1</v>
      </c>
      <c r="W12" s="13" t="b">
        <v>1</v>
      </c>
      <c r="X12" s="13" t="b">
        <v>1</v>
      </c>
      <c r="Y12" s="21" t="s">
        <v>101</v>
      </c>
      <c r="Z12" s="21" t="s">
        <v>162</v>
      </c>
      <c r="AA12" s="21" t="s">
        <v>163</v>
      </c>
      <c r="AB12" s="22"/>
      <c r="AC12" s="23"/>
      <c r="AD12" s="24"/>
      <c r="AE12" s="13" t="b">
        <v>1</v>
      </c>
      <c r="AF12" s="25">
        <v>45882</v>
      </c>
      <c r="AG12" s="26"/>
      <c r="AH12" s="27" t="b">
        <v>1</v>
      </c>
      <c r="AI12" s="48">
        <v>45915</v>
      </c>
      <c r="AJ12" s="29" t="s">
        <v>164</v>
      </c>
      <c r="AK12" s="27" t="b">
        <v>1</v>
      </c>
      <c r="AL12" s="40">
        <v>45993</v>
      </c>
      <c r="AM12" s="29" t="s">
        <v>104</v>
      </c>
      <c r="AN12" s="29"/>
      <c r="AO12" s="31"/>
      <c r="AP12" s="12"/>
      <c r="AQ12" s="16"/>
      <c r="AR12" s="12"/>
      <c r="AS12" s="33"/>
      <c r="AT12" s="32"/>
      <c r="AU12" s="33"/>
      <c r="AV12" s="34"/>
      <c r="AW12" s="33"/>
      <c r="AX12" s="35" t="b">
        <v>1</v>
      </c>
      <c r="AY12" s="36">
        <f t="shared" si="1"/>
        <v>64528750</v>
      </c>
      <c r="AZ12" s="37"/>
      <c r="BA12" s="38"/>
      <c r="BB12" s="37"/>
      <c r="BC12" s="38"/>
      <c r="BD12" s="37"/>
      <c r="BE12" s="38"/>
      <c r="BF12" s="37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5" t="b">
        <v>1</v>
      </c>
      <c r="BU12" s="36">
        <f t="shared" ref="BU12:BU14" si="6">IF(MOD(H12,4)=0,H12/4,ROUNDDOWN(H12/4,0))</f>
        <v>64528750</v>
      </c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5" t="b">
        <v>1</v>
      </c>
      <c r="CO12" s="36">
        <f>IF(MOD(H12,4)=0,H12/4,ROUNDUP(H12/4,0))</f>
        <v>64528750</v>
      </c>
      <c r="CP12" s="36"/>
      <c r="CQ12" s="36"/>
      <c r="CR12" s="36"/>
      <c r="CS12" s="36"/>
      <c r="CT12" s="36"/>
      <c r="CU12" s="36"/>
      <c r="CV12" s="36"/>
      <c r="CW12" s="36"/>
    </row>
    <row r="13" spans="1:101" ht="32.25" customHeight="1" x14ac:dyDescent="0.25">
      <c r="A13" s="12">
        <f t="shared" si="0"/>
        <v>12</v>
      </c>
      <c r="B13" s="13" t="s">
        <v>151</v>
      </c>
      <c r="C13" s="13" t="s">
        <v>95</v>
      </c>
      <c r="D13" s="14" t="s">
        <v>165</v>
      </c>
      <c r="E13" s="15" t="s">
        <v>166</v>
      </c>
      <c r="F13" s="15" t="s">
        <v>167</v>
      </c>
      <c r="G13" s="16">
        <v>84</v>
      </c>
      <c r="H13" s="17">
        <v>166782000</v>
      </c>
      <c r="I13" s="18"/>
      <c r="J13" s="18"/>
      <c r="K13" s="18"/>
      <c r="L13" s="18" t="s">
        <v>99</v>
      </c>
      <c r="M13" s="19">
        <v>17074</v>
      </c>
      <c r="N13" s="20" t="s">
        <v>100</v>
      </c>
      <c r="O13" s="13" t="b">
        <v>1</v>
      </c>
      <c r="P13" s="20" t="b">
        <v>1</v>
      </c>
      <c r="Q13" s="20" t="b">
        <v>1</v>
      </c>
      <c r="R13" s="13" t="b">
        <v>1</v>
      </c>
      <c r="S13" s="13" t="b">
        <v>1</v>
      </c>
      <c r="T13" s="13" t="b">
        <v>1</v>
      </c>
      <c r="U13" s="13" t="b">
        <v>1</v>
      </c>
      <c r="V13" s="13" t="b">
        <v>1</v>
      </c>
      <c r="W13" s="13" t="b">
        <v>1</v>
      </c>
      <c r="X13" s="13" t="b">
        <v>0</v>
      </c>
      <c r="Y13" s="21" t="s">
        <v>101</v>
      </c>
      <c r="Z13" s="21" t="s">
        <v>168</v>
      </c>
      <c r="AA13" s="21" t="s">
        <v>166</v>
      </c>
      <c r="AB13" s="22"/>
      <c r="AC13" s="23"/>
      <c r="AD13" s="24"/>
      <c r="AE13" s="13" t="b">
        <v>1</v>
      </c>
      <c r="AF13" s="25">
        <v>45897</v>
      </c>
      <c r="AG13" s="26" t="s">
        <v>104</v>
      </c>
      <c r="AH13" s="27" t="b">
        <v>1</v>
      </c>
      <c r="AI13" s="40">
        <v>45922</v>
      </c>
      <c r="AJ13" s="29" t="s">
        <v>104</v>
      </c>
      <c r="AK13" s="27" t="b">
        <v>1</v>
      </c>
      <c r="AL13" s="28">
        <v>45979</v>
      </c>
      <c r="AM13" s="29" t="s">
        <v>104</v>
      </c>
      <c r="AN13" s="29"/>
      <c r="AO13" s="50"/>
      <c r="AP13" s="12"/>
      <c r="AQ13" s="16"/>
      <c r="AR13" s="32"/>
      <c r="AS13" s="33"/>
      <c r="AT13" s="32"/>
      <c r="AU13" s="33"/>
      <c r="AV13" s="34"/>
      <c r="AW13" s="33"/>
      <c r="AX13" s="37"/>
      <c r="AY13" s="38"/>
      <c r="AZ13" s="35" t="b">
        <v>1</v>
      </c>
      <c r="BA13" s="36">
        <f>IF(MOD(H13,4)=0,H13/4,ROUNDUP(H13/4,0))</f>
        <v>41695500</v>
      </c>
      <c r="BB13" s="41"/>
      <c r="BC13" s="36"/>
      <c r="BD13" s="41"/>
      <c r="BE13" s="36"/>
      <c r="BF13" s="41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5" t="b">
        <v>1</v>
      </c>
      <c r="BU13" s="36">
        <f t="shared" si="6"/>
        <v>41695500</v>
      </c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5" t="b">
        <v>1</v>
      </c>
      <c r="CK13" s="36">
        <f t="shared" ref="CK13:CK14" si="7">IF(MOD(H13,4)=0,H13/4,ROUNDUP(H13/4,0))</f>
        <v>41695500</v>
      </c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</row>
    <row r="14" spans="1:101" ht="32.25" customHeight="1" x14ac:dyDescent="0.25">
      <c r="A14" s="12">
        <f t="shared" si="0"/>
        <v>13</v>
      </c>
      <c r="B14" s="13" t="s">
        <v>134</v>
      </c>
      <c r="C14" s="13" t="s">
        <v>95</v>
      </c>
      <c r="D14" s="14" t="s">
        <v>169</v>
      </c>
      <c r="E14" s="15" t="s">
        <v>170</v>
      </c>
      <c r="F14" s="15" t="s">
        <v>171</v>
      </c>
      <c r="G14" s="16">
        <v>24</v>
      </c>
      <c r="H14" s="17">
        <v>39252000</v>
      </c>
      <c r="I14" s="18"/>
      <c r="J14" s="18"/>
      <c r="K14" s="18"/>
      <c r="L14" s="18" t="s">
        <v>99</v>
      </c>
      <c r="M14" s="19">
        <v>17075</v>
      </c>
      <c r="N14" s="20" t="s">
        <v>100</v>
      </c>
      <c r="O14" s="13" t="b">
        <v>1</v>
      </c>
      <c r="P14" s="20" t="b">
        <v>1</v>
      </c>
      <c r="Q14" s="20" t="b">
        <v>1</v>
      </c>
      <c r="R14" s="13" t="b">
        <v>1</v>
      </c>
      <c r="S14" s="13" t="b">
        <v>1</v>
      </c>
      <c r="T14" s="13" t="b">
        <v>1</v>
      </c>
      <c r="U14" s="13" t="b">
        <v>1</v>
      </c>
      <c r="V14" s="13" t="b">
        <v>1</v>
      </c>
      <c r="W14" s="13" t="b">
        <v>1</v>
      </c>
      <c r="X14" s="13" t="b">
        <v>1</v>
      </c>
      <c r="Y14" s="21" t="s">
        <v>101</v>
      </c>
      <c r="Z14" s="51" t="s">
        <v>172</v>
      </c>
      <c r="AA14" s="21" t="s">
        <v>173</v>
      </c>
      <c r="AB14" s="22"/>
      <c r="AC14" s="23"/>
      <c r="AD14" s="13" t="s">
        <v>1980</v>
      </c>
      <c r="AE14" s="13" t="b">
        <v>1</v>
      </c>
      <c r="AF14" s="48">
        <v>45876</v>
      </c>
      <c r="AG14" s="26"/>
      <c r="AH14" s="27" t="b">
        <v>1</v>
      </c>
      <c r="AI14" s="28">
        <v>45931</v>
      </c>
      <c r="AJ14" s="29"/>
      <c r="AK14" s="27" t="b">
        <v>1</v>
      </c>
      <c r="AL14" s="40">
        <v>45967</v>
      </c>
      <c r="AM14" s="29" t="s">
        <v>104</v>
      </c>
      <c r="AN14" s="29"/>
      <c r="AO14" s="13"/>
      <c r="AP14" s="12"/>
      <c r="AQ14" s="16"/>
      <c r="AR14" s="32"/>
      <c r="AS14" s="33"/>
      <c r="AT14" s="32"/>
      <c r="AU14" s="33"/>
      <c r="AV14" s="34"/>
      <c r="AW14" s="33"/>
      <c r="AX14" s="35" t="b">
        <v>1</v>
      </c>
      <c r="AY14" s="36">
        <f>IF(MOD(H14,4)=0,H14/4,ROUNDUP(H14/4,0))</f>
        <v>9813000</v>
      </c>
      <c r="AZ14" s="37"/>
      <c r="BA14" s="38"/>
      <c r="BB14" s="37"/>
      <c r="BC14" s="38"/>
      <c r="BD14" s="37"/>
      <c r="BE14" s="38"/>
      <c r="BF14" s="37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5" t="b">
        <v>1</v>
      </c>
      <c r="BU14" s="36">
        <f t="shared" si="6"/>
        <v>9813000</v>
      </c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5" t="b">
        <v>1</v>
      </c>
      <c r="CK14" s="36">
        <f t="shared" si="7"/>
        <v>9813000</v>
      </c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</row>
    <row r="15" spans="1:101" ht="32.25" customHeight="1" x14ac:dyDescent="0.25">
      <c r="A15" s="12">
        <f t="shared" si="0"/>
        <v>14</v>
      </c>
      <c r="B15" s="13" t="s">
        <v>134</v>
      </c>
      <c r="C15" s="13" t="s">
        <v>95</v>
      </c>
      <c r="D15" s="14" t="s">
        <v>174</v>
      </c>
      <c r="E15" s="15" t="s">
        <v>175</v>
      </c>
      <c r="F15" s="15" t="s">
        <v>176</v>
      </c>
      <c r="G15" s="16">
        <v>56</v>
      </c>
      <c r="H15" s="17">
        <v>91588000</v>
      </c>
      <c r="I15" s="18"/>
      <c r="J15" s="18"/>
      <c r="K15" s="18"/>
      <c r="L15" s="18" t="s">
        <v>99</v>
      </c>
      <c r="M15" s="19">
        <v>17076</v>
      </c>
      <c r="N15" s="20" t="s">
        <v>100</v>
      </c>
      <c r="O15" s="13" t="b">
        <v>1</v>
      </c>
      <c r="P15" s="20" t="b">
        <v>1</v>
      </c>
      <c r="Q15" s="20" t="b">
        <v>0</v>
      </c>
      <c r="R15" s="13" t="b">
        <v>1</v>
      </c>
      <c r="S15" s="13" t="b">
        <v>1</v>
      </c>
      <c r="T15" s="13" t="b">
        <v>1</v>
      </c>
      <c r="U15" s="13" t="b">
        <v>1</v>
      </c>
      <c r="V15" s="13" t="b">
        <v>1</v>
      </c>
      <c r="W15" s="13" t="b">
        <v>0</v>
      </c>
      <c r="X15" s="13" t="b">
        <v>1</v>
      </c>
      <c r="Y15" s="21" t="s">
        <v>101</v>
      </c>
      <c r="Z15" s="21" t="s">
        <v>177</v>
      </c>
      <c r="AA15" s="21" t="s">
        <v>178</v>
      </c>
      <c r="AB15" s="22"/>
      <c r="AC15" s="23"/>
      <c r="AD15" s="21"/>
      <c r="AE15" s="13" t="b">
        <v>0</v>
      </c>
      <c r="AF15" s="52"/>
      <c r="AG15" s="26"/>
      <c r="AH15" s="39" t="b">
        <v>0</v>
      </c>
      <c r="AI15" s="28"/>
      <c r="AJ15" s="29"/>
      <c r="AK15" s="39" t="b">
        <v>0</v>
      </c>
      <c r="AL15" s="29"/>
      <c r="AM15" s="29"/>
      <c r="AN15" s="29"/>
      <c r="AO15" s="13"/>
      <c r="AP15" s="12"/>
      <c r="AQ15" s="16"/>
      <c r="AR15" s="32"/>
      <c r="AS15" s="33"/>
      <c r="AT15" s="32"/>
      <c r="AU15" s="33"/>
      <c r="AV15" s="34"/>
      <c r="AW15" s="33"/>
      <c r="AX15" s="37"/>
      <c r="AY15" s="38"/>
      <c r="AZ15" s="37"/>
      <c r="BA15" s="38"/>
      <c r="BB15" s="37"/>
      <c r="BC15" s="38"/>
      <c r="BD15" s="37"/>
      <c r="BE15" s="38"/>
      <c r="BF15" s="37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</row>
    <row r="16" spans="1:101" ht="32.25" customHeight="1" x14ac:dyDescent="0.25">
      <c r="A16" s="12">
        <f t="shared" si="0"/>
        <v>15</v>
      </c>
      <c r="B16" s="13" t="s">
        <v>134</v>
      </c>
      <c r="C16" s="13" t="s">
        <v>95</v>
      </c>
      <c r="D16" s="14" t="s">
        <v>179</v>
      </c>
      <c r="E16" s="15" t="s">
        <v>180</v>
      </c>
      <c r="F16" s="15" t="s">
        <v>181</v>
      </c>
      <c r="G16" s="16">
        <v>222</v>
      </c>
      <c r="H16" s="17">
        <v>363081000</v>
      </c>
      <c r="I16" s="18"/>
      <c r="J16" s="18"/>
      <c r="K16" s="18"/>
      <c r="L16" s="18" t="s">
        <v>99</v>
      </c>
      <c r="M16" s="19">
        <v>17077</v>
      </c>
      <c r="N16" s="20" t="s">
        <v>100</v>
      </c>
      <c r="O16" s="13" t="b">
        <v>1</v>
      </c>
      <c r="P16" s="20" t="b">
        <v>1</v>
      </c>
      <c r="Q16" s="20" t="b">
        <v>1</v>
      </c>
      <c r="R16" s="13" t="b">
        <v>1</v>
      </c>
      <c r="S16" s="13" t="b">
        <v>1</v>
      </c>
      <c r="T16" s="13" t="b">
        <v>1</v>
      </c>
      <c r="U16" s="13" t="b">
        <v>1</v>
      </c>
      <c r="V16" s="13" t="b">
        <v>1</v>
      </c>
      <c r="W16" s="13" t="b">
        <v>1</v>
      </c>
      <c r="X16" s="13" t="b">
        <v>1</v>
      </c>
      <c r="Y16" s="21" t="s">
        <v>182</v>
      </c>
      <c r="Z16" s="21" t="s">
        <v>183</v>
      </c>
      <c r="AA16" s="21" t="s">
        <v>184</v>
      </c>
      <c r="AB16" s="22"/>
      <c r="AC16" s="23"/>
      <c r="AD16" s="13"/>
      <c r="AE16" s="47" t="b">
        <v>1</v>
      </c>
      <c r="AF16" s="48">
        <v>45876</v>
      </c>
      <c r="AG16" s="26" t="s">
        <v>185</v>
      </c>
      <c r="AH16" s="27" t="b">
        <v>1</v>
      </c>
      <c r="AI16" s="28">
        <v>45931</v>
      </c>
      <c r="AJ16" s="29"/>
      <c r="AK16" s="27" t="b">
        <v>1</v>
      </c>
      <c r="AL16" s="40">
        <v>45967</v>
      </c>
      <c r="AM16" s="29" t="s">
        <v>104</v>
      </c>
      <c r="AN16" s="29"/>
      <c r="AO16" s="13"/>
      <c r="AP16" s="12"/>
      <c r="AQ16" s="16"/>
      <c r="AR16" s="32"/>
      <c r="AS16" s="33"/>
      <c r="AT16" s="32"/>
      <c r="AU16" s="33"/>
      <c r="AV16" s="34"/>
      <c r="AW16" s="33"/>
      <c r="AX16" s="35" t="b">
        <v>1</v>
      </c>
      <c r="AY16" s="36">
        <f t="shared" ref="AY16:AY17" si="8">IF(MOD(H16,4)=0,H16/4,ROUNDUP(H16/4,0))</f>
        <v>90770250</v>
      </c>
      <c r="AZ16" s="37"/>
      <c r="BA16" s="38"/>
      <c r="BB16" s="37"/>
      <c r="BC16" s="38"/>
      <c r="BD16" s="37"/>
      <c r="BE16" s="38"/>
      <c r="BF16" s="37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5" t="b">
        <v>1</v>
      </c>
      <c r="BU16" s="36">
        <f t="shared" ref="BU16:BU24" si="9">IF(MOD(H16,4)=0,H16/4,ROUNDDOWN(H16/4,0))</f>
        <v>90770250</v>
      </c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5" t="b">
        <v>1</v>
      </c>
      <c r="CK16" s="36">
        <f t="shared" ref="CK16:CK24" si="10">IF(MOD(H16,4)=0,H16/4,ROUNDUP(H16/4,0))</f>
        <v>90770250</v>
      </c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</row>
    <row r="17" spans="1:101" ht="32.25" customHeight="1" x14ac:dyDescent="0.25">
      <c r="A17" s="12">
        <f t="shared" si="0"/>
        <v>16</v>
      </c>
      <c r="B17" s="13" t="s">
        <v>134</v>
      </c>
      <c r="C17" s="13" t="s">
        <v>95</v>
      </c>
      <c r="D17" s="14" t="s">
        <v>186</v>
      </c>
      <c r="E17" s="15" t="s">
        <v>187</v>
      </c>
      <c r="F17" s="15" t="s">
        <v>188</v>
      </c>
      <c r="G17" s="16">
        <v>23</v>
      </c>
      <c r="H17" s="17">
        <v>37616500</v>
      </c>
      <c r="I17" s="18"/>
      <c r="J17" s="18"/>
      <c r="K17" s="18"/>
      <c r="L17" s="18" t="s">
        <v>99</v>
      </c>
      <c r="M17" s="19">
        <v>17078</v>
      </c>
      <c r="N17" s="20" t="s">
        <v>100</v>
      </c>
      <c r="O17" s="13" t="b">
        <v>1</v>
      </c>
      <c r="P17" s="20" t="b">
        <v>1</v>
      </c>
      <c r="Q17" s="20" t="b">
        <v>0</v>
      </c>
      <c r="R17" s="13" t="b">
        <v>0</v>
      </c>
      <c r="S17" s="13" t="b">
        <v>0</v>
      </c>
      <c r="T17" s="13" t="b">
        <v>1</v>
      </c>
      <c r="U17" s="13" t="b">
        <v>1</v>
      </c>
      <c r="V17" s="13" t="b">
        <v>1</v>
      </c>
      <c r="W17" s="13" t="b">
        <v>1</v>
      </c>
      <c r="X17" s="13" t="b">
        <v>1</v>
      </c>
      <c r="Y17" s="21" t="s">
        <v>101</v>
      </c>
      <c r="Z17" s="51" t="s">
        <v>189</v>
      </c>
      <c r="AA17" s="21" t="s">
        <v>190</v>
      </c>
      <c r="AB17" s="22"/>
      <c r="AC17" s="23"/>
      <c r="AD17" s="13" t="s">
        <v>1980</v>
      </c>
      <c r="AE17" s="13" t="b">
        <v>1</v>
      </c>
      <c r="AF17" s="48">
        <v>45876</v>
      </c>
      <c r="AG17" s="49" t="s">
        <v>104</v>
      </c>
      <c r="AH17" s="27" t="b">
        <v>1</v>
      </c>
      <c r="AI17" s="28">
        <v>45931</v>
      </c>
      <c r="AJ17" s="29"/>
      <c r="AK17" s="53" t="b">
        <v>1</v>
      </c>
      <c r="AL17" s="40">
        <v>45967</v>
      </c>
      <c r="AM17" s="29" t="s">
        <v>104</v>
      </c>
      <c r="AN17" s="29"/>
      <c r="AO17" s="13"/>
      <c r="AP17" s="12"/>
      <c r="AQ17" s="16"/>
      <c r="AR17" s="32"/>
      <c r="AS17" s="33"/>
      <c r="AT17" s="32"/>
      <c r="AU17" s="33"/>
      <c r="AV17" s="34"/>
      <c r="AW17" s="33"/>
      <c r="AX17" s="35" t="b">
        <v>1</v>
      </c>
      <c r="AY17" s="36">
        <f t="shared" si="8"/>
        <v>9404125</v>
      </c>
      <c r="AZ17" s="37"/>
      <c r="BA17" s="38"/>
      <c r="BB17" s="37"/>
      <c r="BC17" s="38"/>
      <c r="BD17" s="37"/>
      <c r="BE17" s="38"/>
      <c r="BF17" s="37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5" t="b">
        <v>1</v>
      </c>
      <c r="BU17" s="36">
        <f t="shared" si="9"/>
        <v>9404125</v>
      </c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5" t="b">
        <v>1</v>
      </c>
      <c r="CK17" s="36">
        <f t="shared" si="10"/>
        <v>9404125</v>
      </c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</row>
    <row r="18" spans="1:101" ht="32.25" customHeight="1" x14ac:dyDescent="0.25">
      <c r="A18" s="12">
        <f t="shared" si="0"/>
        <v>17</v>
      </c>
      <c r="B18" s="13" t="s">
        <v>134</v>
      </c>
      <c r="C18" s="13" t="s">
        <v>95</v>
      </c>
      <c r="D18" s="14" t="s">
        <v>191</v>
      </c>
      <c r="E18" s="15" t="s">
        <v>192</v>
      </c>
      <c r="F18" s="15" t="s">
        <v>193</v>
      </c>
      <c r="G18" s="16">
        <v>99</v>
      </c>
      <c r="H18" s="17">
        <v>161914500</v>
      </c>
      <c r="I18" s="18"/>
      <c r="J18" s="18"/>
      <c r="K18" s="18"/>
      <c r="L18" s="18" t="s">
        <v>99</v>
      </c>
      <c r="M18" s="19">
        <v>17079</v>
      </c>
      <c r="N18" s="20" t="s">
        <v>100</v>
      </c>
      <c r="O18" s="13" t="b">
        <v>1</v>
      </c>
      <c r="P18" s="20" t="b">
        <v>1</v>
      </c>
      <c r="Q18" s="20" t="b">
        <v>1</v>
      </c>
      <c r="R18" s="13" t="b">
        <v>1</v>
      </c>
      <c r="S18" s="13" t="b">
        <v>1</v>
      </c>
      <c r="T18" s="13" t="b">
        <v>1</v>
      </c>
      <c r="U18" s="13" t="b">
        <v>1</v>
      </c>
      <c r="V18" s="13" t="b">
        <v>1</v>
      </c>
      <c r="W18" s="13" t="b">
        <v>1</v>
      </c>
      <c r="X18" s="13" t="b">
        <v>1</v>
      </c>
      <c r="Y18" s="21" t="s">
        <v>101</v>
      </c>
      <c r="Z18" s="21" t="s">
        <v>194</v>
      </c>
      <c r="AA18" s="21" t="s">
        <v>192</v>
      </c>
      <c r="AB18" s="22"/>
      <c r="AC18" s="23"/>
      <c r="AD18" s="13"/>
      <c r="AE18" s="13" t="b">
        <v>1</v>
      </c>
      <c r="AF18" s="48">
        <v>45894</v>
      </c>
      <c r="AG18" s="49" t="s">
        <v>104</v>
      </c>
      <c r="AH18" s="27" t="b">
        <v>1</v>
      </c>
      <c r="AI18" s="28">
        <v>45931</v>
      </c>
      <c r="AJ18" s="29"/>
      <c r="AK18" s="27" t="b">
        <v>1</v>
      </c>
      <c r="AL18" s="40">
        <v>45967</v>
      </c>
      <c r="AM18" s="29" t="s">
        <v>104</v>
      </c>
      <c r="AN18" s="29"/>
      <c r="AO18" s="13"/>
      <c r="AP18" s="12"/>
      <c r="AQ18" s="16"/>
      <c r="AR18" s="32"/>
      <c r="AS18" s="33"/>
      <c r="AT18" s="32"/>
      <c r="AU18" s="33"/>
      <c r="AV18" s="34"/>
      <c r="AW18" s="33"/>
      <c r="AX18" s="37"/>
      <c r="AY18" s="38"/>
      <c r="AZ18" s="35" t="b">
        <v>1</v>
      </c>
      <c r="BA18" s="36">
        <f>IF(MOD(H18,4)=0,H18/4,ROUNDUP(H18/4,0))</f>
        <v>40478625</v>
      </c>
      <c r="BB18" s="41"/>
      <c r="BC18" s="36"/>
      <c r="BD18" s="41"/>
      <c r="BE18" s="36"/>
      <c r="BF18" s="41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5" t="b">
        <v>1</v>
      </c>
      <c r="BU18" s="36">
        <f t="shared" si="9"/>
        <v>40478625</v>
      </c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5" t="b">
        <v>1</v>
      </c>
      <c r="CK18" s="36">
        <f t="shared" si="10"/>
        <v>40478625</v>
      </c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</row>
    <row r="19" spans="1:101" ht="32.25" customHeight="1" x14ac:dyDescent="0.25">
      <c r="A19" s="12">
        <f t="shared" si="0"/>
        <v>18</v>
      </c>
      <c r="B19" s="13" t="s">
        <v>134</v>
      </c>
      <c r="C19" s="13" t="s">
        <v>95</v>
      </c>
      <c r="D19" s="14" t="s">
        <v>195</v>
      </c>
      <c r="E19" s="15" t="s">
        <v>196</v>
      </c>
      <c r="F19" s="15" t="s">
        <v>197</v>
      </c>
      <c r="G19" s="16">
        <v>374</v>
      </c>
      <c r="H19" s="17">
        <v>611677000</v>
      </c>
      <c r="I19" s="18"/>
      <c r="J19" s="18"/>
      <c r="K19" s="18"/>
      <c r="L19" s="18" t="s">
        <v>99</v>
      </c>
      <c r="M19" s="19">
        <v>17080</v>
      </c>
      <c r="N19" s="20" t="s">
        <v>100</v>
      </c>
      <c r="O19" s="13" t="b">
        <v>1</v>
      </c>
      <c r="P19" s="20" t="b">
        <v>1</v>
      </c>
      <c r="Q19" s="20" t="b">
        <v>1</v>
      </c>
      <c r="R19" s="13" t="b">
        <v>1</v>
      </c>
      <c r="S19" s="13" t="b">
        <v>1</v>
      </c>
      <c r="T19" s="13" t="b">
        <v>1</v>
      </c>
      <c r="U19" s="13" t="b">
        <v>1</v>
      </c>
      <c r="V19" s="13" t="b">
        <v>1</v>
      </c>
      <c r="W19" s="13" t="b">
        <v>1</v>
      </c>
      <c r="X19" s="13" t="b">
        <v>1</v>
      </c>
      <c r="Y19" s="21" t="s">
        <v>101</v>
      </c>
      <c r="Z19" s="21" t="s">
        <v>198</v>
      </c>
      <c r="AA19" s="21" t="s">
        <v>199</v>
      </c>
      <c r="AB19" s="22"/>
      <c r="AC19" s="23"/>
      <c r="AD19" s="13"/>
      <c r="AE19" s="13" t="b">
        <v>1</v>
      </c>
      <c r="AF19" s="48">
        <v>45876</v>
      </c>
      <c r="AG19" s="26"/>
      <c r="AH19" s="27" t="b">
        <v>1</v>
      </c>
      <c r="AI19" s="28">
        <v>45931</v>
      </c>
      <c r="AJ19" s="29"/>
      <c r="AK19" s="27" t="b">
        <v>1</v>
      </c>
      <c r="AL19" s="40">
        <v>45967</v>
      </c>
      <c r="AM19" s="29" t="s">
        <v>104</v>
      </c>
      <c r="AN19" s="29"/>
      <c r="AO19" s="13"/>
      <c r="AP19" s="12"/>
      <c r="AQ19" s="16"/>
      <c r="AR19" s="32"/>
      <c r="AS19" s="33"/>
      <c r="AT19" s="32"/>
      <c r="AU19" s="33"/>
      <c r="AV19" s="34"/>
      <c r="AW19" s="33"/>
      <c r="AX19" s="35" t="b">
        <v>1</v>
      </c>
      <c r="AY19" s="36">
        <f>IF(MOD(H19,4)=0,H19/4,ROUNDUP(H19/4,0))</f>
        <v>152919250</v>
      </c>
      <c r="AZ19" s="37"/>
      <c r="BA19" s="38"/>
      <c r="BB19" s="37"/>
      <c r="BC19" s="38"/>
      <c r="BD19" s="37"/>
      <c r="BE19" s="38"/>
      <c r="BF19" s="37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5" t="b">
        <v>1</v>
      </c>
      <c r="BU19" s="36">
        <f t="shared" si="9"/>
        <v>152919250</v>
      </c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5" t="b">
        <v>1</v>
      </c>
      <c r="CK19" s="36">
        <f t="shared" si="10"/>
        <v>152919250</v>
      </c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</row>
    <row r="20" spans="1:101" ht="32.25" customHeight="1" x14ac:dyDescent="0.25">
      <c r="A20" s="12">
        <f t="shared" si="0"/>
        <v>19</v>
      </c>
      <c r="B20" s="13" t="s">
        <v>134</v>
      </c>
      <c r="C20" s="13" t="s">
        <v>95</v>
      </c>
      <c r="D20" s="14" t="s">
        <v>200</v>
      </c>
      <c r="E20" s="15" t="s">
        <v>201</v>
      </c>
      <c r="F20" s="15" t="s">
        <v>202</v>
      </c>
      <c r="G20" s="16">
        <v>174</v>
      </c>
      <c r="H20" s="17">
        <v>284577000</v>
      </c>
      <c r="I20" s="18"/>
      <c r="J20" s="18"/>
      <c r="K20" s="18"/>
      <c r="L20" s="18" t="s">
        <v>99</v>
      </c>
      <c r="M20" s="19">
        <v>17081</v>
      </c>
      <c r="N20" s="20" t="s">
        <v>100</v>
      </c>
      <c r="O20" s="13" t="b">
        <v>1</v>
      </c>
      <c r="P20" s="20" t="b">
        <v>1</v>
      </c>
      <c r="Q20" s="20" t="b">
        <v>1</v>
      </c>
      <c r="R20" s="13" t="b">
        <v>1</v>
      </c>
      <c r="S20" s="13" t="b">
        <v>1</v>
      </c>
      <c r="T20" s="13" t="b">
        <v>1</v>
      </c>
      <c r="U20" s="13" t="b">
        <v>1</v>
      </c>
      <c r="V20" s="13" t="b">
        <v>1</v>
      </c>
      <c r="W20" s="13" t="b">
        <v>1</v>
      </c>
      <c r="X20" s="13" t="b">
        <v>1</v>
      </c>
      <c r="Y20" s="21" t="s">
        <v>101</v>
      </c>
      <c r="Z20" s="21" t="s">
        <v>203</v>
      </c>
      <c r="AA20" s="21" t="s">
        <v>201</v>
      </c>
      <c r="AB20" s="22"/>
      <c r="AC20" s="23"/>
      <c r="AD20" s="13"/>
      <c r="AE20" s="13" t="b">
        <v>1</v>
      </c>
      <c r="AF20" s="48">
        <v>45894</v>
      </c>
      <c r="AG20" s="49" t="s">
        <v>104</v>
      </c>
      <c r="AH20" s="27" t="b">
        <v>1</v>
      </c>
      <c r="AI20" s="28">
        <v>45931</v>
      </c>
      <c r="AJ20" s="26"/>
      <c r="AK20" s="27" t="b">
        <v>1</v>
      </c>
      <c r="AL20" s="40">
        <v>45967</v>
      </c>
      <c r="AM20" s="29" t="s">
        <v>104</v>
      </c>
      <c r="AN20" s="29"/>
      <c r="AO20" s="13"/>
      <c r="AP20" s="12"/>
      <c r="AQ20" s="16"/>
      <c r="AR20" s="32"/>
      <c r="AS20" s="33"/>
      <c r="AT20" s="32"/>
      <c r="AU20" s="33"/>
      <c r="AV20" s="34"/>
      <c r="AW20" s="33"/>
      <c r="AX20" s="37"/>
      <c r="AY20" s="38"/>
      <c r="AZ20" s="35" t="b">
        <v>1</v>
      </c>
      <c r="BA20" s="36">
        <f>IF(MOD(H20,4)=0,H20/4,ROUNDUP(H20/4,0))</f>
        <v>71144250</v>
      </c>
      <c r="BB20" s="41"/>
      <c r="BC20" s="36"/>
      <c r="BD20" s="41"/>
      <c r="BE20" s="36"/>
      <c r="BF20" s="41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5" t="b">
        <v>1</v>
      </c>
      <c r="BU20" s="36">
        <f t="shared" si="9"/>
        <v>71144250</v>
      </c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5" t="b">
        <v>1</v>
      </c>
      <c r="CK20" s="36">
        <f t="shared" si="10"/>
        <v>71144250</v>
      </c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</row>
    <row r="21" spans="1:101" ht="32.25" customHeight="1" x14ac:dyDescent="0.25">
      <c r="A21" s="12">
        <f t="shared" si="0"/>
        <v>20</v>
      </c>
      <c r="B21" s="13" t="s">
        <v>134</v>
      </c>
      <c r="C21" s="13" t="s">
        <v>95</v>
      </c>
      <c r="D21" s="14" t="s">
        <v>204</v>
      </c>
      <c r="E21" s="15" t="s">
        <v>205</v>
      </c>
      <c r="F21" s="15" t="s">
        <v>206</v>
      </c>
      <c r="G21" s="16">
        <v>145</v>
      </c>
      <c r="H21" s="17">
        <v>237147500</v>
      </c>
      <c r="I21" s="18"/>
      <c r="J21" s="18"/>
      <c r="K21" s="18"/>
      <c r="L21" s="18" t="s">
        <v>99</v>
      </c>
      <c r="M21" s="19">
        <v>17082</v>
      </c>
      <c r="N21" s="20" t="s">
        <v>100</v>
      </c>
      <c r="O21" s="13" t="b">
        <v>1</v>
      </c>
      <c r="P21" s="20" t="b">
        <v>1</v>
      </c>
      <c r="Q21" s="20" t="b">
        <v>1</v>
      </c>
      <c r="R21" s="13" t="b">
        <v>1</v>
      </c>
      <c r="S21" s="13" t="b">
        <v>1</v>
      </c>
      <c r="T21" s="13" t="b">
        <v>1</v>
      </c>
      <c r="U21" s="13" t="b">
        <v>1</v>
      </c>
      <c r="V21" s="13" t="b">
        <v>1</v>
      </c>
      <c r="W21" s="13" t="b">
        <v>1</v>
      </c>
      <c r="X21" s="13" t="b">
        <v>1</v>
      </c>
      <c r="Y21" s="21" t="s">
        <v>101</v>
      </c>
      <c r="Z21" s="21" t="s">
        <v>207</v>
      </c>
      <c r="AA21" s="21" t="s">
        <v>208</v>
      </c>
      <c r="AB21" s="22"/>
      <c r="AC21" s="23"/>
      <c r="AD21" s="13"/>
      <c r="AE21" s="13" t="b">
        <v>1</v>
      </c>
      <c r="AF21" s="48">
        <v>45876</v>
      </c>
      <c r="AG21" s="26"/>
      <c r="AH21" s="27" t="b">
        <v>1</v>
      </c>
      <c r="AI21" s="28">
        <v>45931</v>
      </c>
      <c r="AJ21" s="29"/>
      <c r="AK21" s="27" t="b">
        <v>1</v>
      </c>
      <c r="AL21" s="40">
        <v>45967</v>
      </c>
      <c r="AM21" s="29" t="s">
        <v>104</v>
      </c>
      <c r="AN21" s="29"/>
      <c r="AO21" s="13"/>
      <c r="AP21" s="12"/>
      <c r="AQ21" s="16"/>
      <c r="AR21" s="32"/>
      <c r="AS21" s="33"/>
      <c r="AT21" s="32"/>
      <c r="AU21" s="33"/>
      <c r="AV21" s="34"/>
      <c r="AW21" s="33"/>
      <c r="AX21" s="35" t="b">
        <v>1</v>
      </c>
      <c r="AY21" s="36">
        <f t="shared" ref="AY21:AY24" si="11">IF(MOD(H21,4)=0,H21/4,ROUNDUP(H21/4,0))</f>
        <v>59286875</v>
      </c>
      <c r="AZ21" s="37"/>
      <c r="BA21" s="38"/>
      <c r="BB21" s="37"/>
      <c r="BC21" s="38"/>
      <c r="BD21" s="37"/>
      <c r="BE21" s="38"/>
      <c r="BF21" s="37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5" t="b">
        <v>1</v>
      </c>
      <c r="BU21" s="36">
        <f t="shared" si="9"/>
        <v>59286875</v>
      </c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5" t="b">
        <v>1</v>
      </c>
      <c r="CK21" s="36">
        <f t="shared" si="10"/>
        <v>59286875</v>
      </c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</row>
    <row r="22" spans="1:101" ht="32.25" customHeight="1" x14ac:dyDescent="0.25">
      <c r="A22" s="12">
        <f t="shared" si="0"/>
        <v>21</v>
      </c>
      <c r="B22" s="13" t="s">
        <v>134</v>
      </c>
      <c r="C22" s="13" t="s">
        <v>95</v>
      </c>
      <c r="D22" s="14" t="s">
        <v>209</v>
      </c>
      <c r="E22" s="15" t="s">
        <v>210</v>
      </c>
      <c r="F22" s="15" t="s">
        <v>211</v>
      </c>
      <c r="G22" s="16">
        <v>129</v>
      </c>
      <c r="H22" s="17">
        <v>210979500</v>
      </c>
      <c r="I22" s="18"/>
      <c r="J22" s="18"/>
      <c r="K22" s="18"/>
      <c r="L22" s="18" t="s">
        <v>99</v>
      </c>
      <c r="M22" s="19">
        <v>17083</v>
      </c>
      <c r="N22" s="20" t="s">
        <v>100</v>
      </c>
      <c r="O22" s="13" t="b">
        <v>1</v>
      </c>
      <c r="P22" s="20" t="b">
        <v>1</v>
      </c>
      <c r="Q22" s="20" t="b">
        <v>1</v>
      </c>
      <c r="R22" s="13" t="b">
        <v>1</v>
      </c>
      <c r="S22" s="13" t="b">
        <v>1</v>
      </c>
      <c r="T22" s="13" t="b">
        <v>1</v>
      </c>
      <c r="U22" s="13" t="b">
        <v>1</v>
      </c>
      <c r="V22" s="13" t="b">
        <v>1</v>
      </c>
      <c r="W22" s="13" t="b">
        <v>1</v>
      </c>
      <c r="X22" s="13" t="b">
        <v>1</v>
      </c>
      <c r="Y22" s="21" t="s">
        <v>101</v>
      </c>
      <c r="Z22" s="21" t="s">
        <v>212</v>
      </c>
      <c r="AA22" s="21" t="s">
        <v>210</v>
      </c>
      <c r="AB22" s="22"/>
      <c r="AC22" s="23"/>
      <c r="AD22" s="13"/>
      <c r="AE22" s="13" t="b">
        <v>1</v>
      </c>
      <c r="AF22" s="48">
        <v>45876</v>
      </c>
      <c r="AG22" s="49" t="s">
        <v>104</v>
      </c>
      <c r="AH22" s="27" t="b">
        <v>1</v>
      </c>
      <c r="AI22" s="28">
        <v>45931</v>
      </c>
      <c r="AJ22" s="29"/>
      <c r="AK22" s="27" t="b">
        <v>1</v>
      </c>
      <c r="AL22" s="40">
        <v>45967</v>
      </c>
      <c r="AM22" s="29" t="s">
        <v>104</v>
      </c>
      <c r="AN22" s="29"/>
      <c r="AO22" s="13"/>
      <c r="AP22" s="12"/>
      <c r="AQ22" s="16"/>
      <c r="AR22" s="32"/>
      <c r="AS22" s="33"/>
      <c r="AT22" s="32"/>
      <c r="AU22" s="33"/>
      <c r="AV22" s="34"/>
      <c r="AW22" s="33"/>
      <c r="AX22" s="35" t="b">
        <v>1</v>
      </c>
      <c r="AY22" s="36">
        <f t="shared" si="11"/>
        <v>52744875</v>
      </c>
      <c r="AZ22" s="37"/>
      <c r="BA22" s="38"/>
      <c r="BB22" s="37"/>
      <c r="BC22" s="38"/>
      <c r="BD22" s="37"/>
      <c r="BE22" s="38"/>
      <c r="BF22" s="37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5" t="b">
        <v>1</v>
      </c>
      <c r="BU22" s="36">
        <f t="shared" si="9"/>
        <v>52744875</v>
      </c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5" t="b">
        <v>1</v>
      </c>
      <c r="CK22" s="36">
        <f t="shared" si="10"/>
        <v>52744875</v>
      </c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</row>
    <row r="23" spans="1:101" ht="32.25" customHeight="1" x14ac:dyDescent="0.25">
      <c r="A23" s="12">
        <f t="shared" si="0"/>
        <v>22</v>
      </c>
      <c r="B23" s="13" t="s">
        <v>134</v>
      </c>
      <c r="C23" s="13" t="s">
        <v>95</v>
      </c>
      <c r="D23" s="14" t="s">
        <v>213</v>
      </c>
      <c r="E23" s="15" t="s">
        <v>214</v>
      </c>
      <c r="F23" s="15" t="s">
        <v>215</v>
      </c>
      <c r="G23" s="16">
        <v>91</v>
      </c>
      <c r="H23" s="17">
        <v>148830500</v>
      </c>
      <c r="I23" s="18"/>
      <c r="J23" s="18"/>
      <c r="K23" s="18"/>
      <c r="L23" s="18" t="s">
        <v>99</v>
      </c>
      <c r="M23" s="19">
        <v>17084</v>
      </c>
      <c r="N23" s="20" t="s">
        <v>100</v>
      </c>
      <c r="O23" s="13" t="b">
        <v>1</v>
      </c>
      <c r="P23" s="20" t="b">
        <v>1</v>
      </c>
      <c r="Q23" s="20" t="b">
        <v>1</v>
      </c>
      <c r="R23" s="13" t="b">
        <v>1</v>
      </c>
      <c r="S23" s="13" t="b">
        <v>1</v>
      </c>
      <c r="T23" s="13" t="b">
        <v>1</v>
      </c>
      <c r="U23" s="13" t="b">
        <v>1</v>
      </c>
      <c r="V23" s="13" t="b">
        <v>1</v>
      </c>
      <c r="W23" s="13" t="b">
        <v>1</v>
      </c>
      <c r="X23" s="13" t="b">
        <v>1</v>
      </c>
      <c r="Y23" s="21" t="s">
        <v>101</v>
      </c>
      <c r="Z23" s="21" t="s">
        <v>216</v>
      </c>
      <c r="AA23" s="21" t="s">
        <v>217</v>
      </c>
      <c r="AB23" s="22"/>
      <c r="AC23" s="23"/>
      <c r="AD23" s="13"/>
      <c r="AE23" s="13" t="b">
        <v>1</v>
      </c>
      <c r="AF23" s="48">
        <v>45876</v>
      </c>
      <c r="AG23" s="26"/>
      <c r="AH23" s="27" t="b">
        <v>1</v>
      </c>
      <c r="AI23" s="28">
        <v>45931</v>
      </c>
      <c r="AJ23" s="29"/>
      <c r="AK23" s="27" t="b">
        <v>1</v>
      </c>
      <c r="AL23" s="40">
        <v>45967</v>
      </c>
      <c r="AM23" s="29" t="s">
        <v>104</v>
      </c>
      <c r="AN23" s="29"/>
      <c r="AO23" s="13"/>
      <c r="AP23" s="12"/>
      <c r="AQ23" s="16"/>
      <c r="AR23" s="32"/>
      <c r="AS23" s="33"/>
      <c r="AT23" s="32"/>
      <c r="AU23" s="33"/>
      <c r="AV23" s="34"/>
      <c r="AW23" s="33"/>
      <c r="AX23" s="35" t="b">
        <v>1</v>
      </c>
      <c r="AY23" s="36">
        <f t="shared" si="11"/>
        <v>37207625</v>
      </c>
      <c r="AZ23" s="37"/>
      <c r="BA23" s="38"/>
      <c r="BB23" s="37"/>
      <c r="BC23" s="38"/>
      <c r="BD23" s="37"/>
      <c r="BE23" s="38"/>
      <c r="BF23" s="37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5" t="b">
        <v>1</v>
      </c>
      <c r="BU23" s="36">
        <f t="shared" si="9"/>
        <v>37207625</v>
      </c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5" t="b">
        <v>1</v>
      </c>
      <c r="CK23" s="36">
        <f t="shared" si="10"/>
        <v>37207625</v>
      </c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</row>
    <row r="24" spans="1:101" ht="32.25" customHeight="1" x14ac:dyDescent="0.25">
      <c r="A24" s="12">
        <f t="shared" si="0"/>
        <v>23</v>
      </c>
      <c r="B24" s="13" t="s">
        <v>134</v>
      </c>
      <c r="C24" s="13" t="s">
        <v>95</v>
      </c>
      <c r="D24" s="14" t="s">
        <v>218</v>
      </c>
      <c r="E24" s="15" t="s">
        <v>219</v>
      </c>
      <c r="F24" s="15" t="s">
        <v>220</v>
      </c>
      <c r="G24" s="16">
        <v>67</v>
      </c>
      <c r="H24" s="17">
        <v>109578500</v>
      </c>
      <c r="I24" s="18"/>
      <c r="J24" s="18"/>
      <c r="K24" s="18"/>
      <c r="L24" s="18" t="s">
        <v>99</v>
      </c>
      <c r="M24" s="19">
        <v>17085</v>
      </c>
      <c r="N24" s="20" t="s">
        <v>100</v>
      </c>
      <c r="O24" s="13" t="b">
        <v>1</v>
      </c>
      <c r="P24" s="20" t="b">
        <v>1</v>
      </c>
      <c r="Q24" s="20" t="b">
        <v>1</v>
      </c>
      <c r="R24" s="13" t="b">
        <v>1</v>
      </c>
      <c r="S24" s="13" t="b">
        <v>1</v>
      </c>
      <c r="T24" s="13" t="b">
        <v>1</v>
      </c>
      <c r="U24" s="13" t="b">
        <v>1</v>
      </c>
      <c r="V24" s="13" t="b">
        <v>1</v>
      </c>
      <c r="W24" s="13" t="b">
        <v>1</v>
      </c>
      <c r="X24" s="13" t="b">
        <v>1</v>
      </c>
      <c r="Y24" s="21" t="s">
        <v>101</v>
      </c>
      <c r="Z24" s="21" t="s">
        <v>221</v>
      </c>
      <c r="AA24" s="21" t="s">
        <v>222</v>
      </c>
      <c r="AB24" s="22"/>
      <c r="AC24" s="23"/>
      <c r="AD24" s="13"/>
      <c r="AE24" s="13" t="b">
        <v>1</v>
      </c>
      <c r="AF24" s="48">
        <v>45876</v>
      </c>
      <c r="AG24" s="26"/>
      <c r="AH24" s="27" t="b">
        <v>1</v>
      </c>
      <c r="AI24" s="28">
        <v>45931</v>
      </c>
      <c r="AJ24" s="29"/>
      <c r="AK24" s="27" t="b">
        <v>1</v>
      </c>
      <c r="AL24" s="40">
        <v>45967</v>
      </c>
      <c r="AM24" s="29" t="s">
        <v>104</v>
      </c>
      <c r="AN24" s="29"/>
      <c r="AO24" s="13"/>
      <c r="AP24" s="12"/>
      <c r="AQ24" s="16"/>
      <c r="AR24" s="32"/>
      <c r="AS24" s="33"/>
      <c r="AT24" s="32"/>
      <c r="AU24" s="33"/>
      <c r="AV24" s="34"/>
      <c r="AW24" s="33"/>
      <c r="AX24" s="35" t="b">
        <v>1</v>
      </c>
      <c r="AY24" s="36">
        <f t="shared" si="11"/>
        <v>27394625</v>
      </c>
      <c r="AZ24" s="37"/>
      <c r="BA24" s="38"/>
      <c r="BB24" s="37"/>
      <c r="BC24" s="38"/>
      <c r="BD24" s="37"/>
      <c r="BE24" s="38"/>
      <c r="BF24" s="37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5" t="b">
        <v>1</v>
      </c>
      <c r="BU24" s="36">
        <f t="shared" si="9"/>
        <v>27394625</v>
      </c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5" t="b">
        <v>1</v>
      </c>
      <c r="CK24" s="36">
        <f t="shared" si="10"/>
        <v>27394625</v>
      </c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</row>
    <row r="25" spans="1:101" ht="32.25" customHeight="1" x14ac:dyDescent="0.25">
      <c r="A25" s="12">
        <f t="shared" si="0"/>
        <v>24</v>
      </c>
      <c r="B25" s="13" t="s">
        <v>134</v>
      </c>
      <c r="C25" s="13" t="s">
        <v>95</v>
      </c>
      <c r="D25" s="14" t="s">
        <v>223</v>
      </c>
      <c r="E25" s="15" t="s">
        <v>224</v>
      </c>
      <c r="F25" s="15" t="s">
        <v>225</v>
      </c>
      <c r="G25" s="16">
        <v>173</v>
      </c>
      <c r="H25" s="17">
        <v>282941500</v>
      </c>
      <c r="I25" s="18"/>
      <c r="J25" s="18"/>
      <c r="K25" s="18"/>
      <c r="L25" s="18" t="s">
        <v>99</v>
      </c>
      <c r="M25" s="19">
        <v>17087</v>
      </c>
      <c r="N25" s="20" t="s">
        <v>100</v>
      </c>
      <c r="O25" s="13" t="b">
        <v>1</v>
      </c>
      <c r="P25" s="20" t="b">
        <v>1</v>
      </c>
      <c r="Q25" s="20" t="b">
        <v>1</v>
      </c>
      <c r="R25" s="13" t="b">
        <v>1</v>
      </c>
      <c r="S25" s="13" t="b">
        <v>1</v>
      </c>
      <c r="T25" s="13" t="b">
        <v>1</v>
      </c>
      <c r="U25" s="13" t="b">
        <v>1</v>
      </c>
      <c r="V25" s="13" t="b">
        <v>1</v>
      </c>
      <c r="W25" s="13" t="b">
        <v>1</v>
      </c>
      <c r="X25" s="13" t="b">
        <v>1</v>
      </c>
      <c r="Y25" s="21" t="s">
        <v>101</v>
      </c>
      <c r="Z25" s="21" t="s">
        <v>226</v>
      </c>
      <c r="AA25" s="21" t="s">
        <v>227</v>
      </c>
      <c r="AB25" s="22"/>
      <c r="AC25" s="23"/>
      <c r="AD25" s="13"/>
      <c r="AE25" s="47" t="b">
        <v>1</v>
      </c>
      <c r="AF25" s="48">
        <v>45904</v>
      </c>
      <c r="AG25" s="26" t="s">
        <v>228</v>
      </c>
      <c r="AH25" s="53" t="b">
        <v>1</v>
      </c>
      <c r="AI25" s="28">
        <v>45943</v>
      </c>
      <c r="AJ25" s="49" t="s">
        <v>229</v>
      </c>
      <c r="AK25" s="39" t="b">
        <v>1</v>
      </c>
      <c r="AL25" s="40">
        <v>45996</v>
      </c>
      <c r="AM25" s="29" t="s">
        <v>230</v>
      </c>
      <c r="AN25" s="29"/>
      <c r="AO25" s="13"/>
      <c r="AP25" s="12"/>
      <c r="AQ25" s="16"/>
      <c r="AR25" s="32"/>
      <c r="AS25" s="33"/>
      <c r="AT25" s="32"/>
      <c r="AU25" s="33"/>
      <c r="AV25" s="34"/>
      <c r="AW25" s="33"/>
      <c r="AX25" s="37"/>
      <c r="AY25" s="38"/>
      <c r="AZ25" s="37"/>
      <c r="BA25" s="38"/>
      <c r="BB25" s="35" t="b">
        <v>1</v>
      </c>
      <c r="BC25" s="36">
        <f>IF(MOD(H25,4)=0,H25/4,ROUNDUP(H25/4,0))</f>
        <v>70735375</v>
      </c>
      <c r="BD25" s="41"/>
      <c r="BE25" s="36"/>
      <c r="BF25" s="41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41"/>
      <c r="BU25" s="41"/>
      <c r="BV25" s="35" t="b">
        <v>1</v>
      </c>
      <c r="BW25" s="41">
        <f>IF(MOD(H25,4)=0,H25/4,ROUNDDOWN(H25/4,0))</f>
        <v>70735375</v>
      </c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35" t="b">
        <v>1</v>
      </c>
      <c r="CQ25" s="41">
        <f>IF(MOD(H25,4)=0,H25/4,ROUNDUP(H25/4,0))</f>
        <v>70735375</v>
      </c>
      <c r="CR25" s="41"/>
      <c r="CS25" s="41"/>
      <c r="CT25" s="41"/>
      <c r="CU25" s="41"/>
      <c r="CV25" s="41"/>
      <c r="CW25" s="41"/>
    </row>
    <row r="26" spans="1:101" ht="32.25" customHeight="1" x14ac:dyDescent="0.25">
      <c r="A26" s="12">
        <f t="shared" si="0"/>
        <v>25</v>
      </c>
      <c r="B26" s="13" t="s">
        <v>134</v>
      </c>
      <c r="C26" s="13" t="s">
        <v>95</v>
      </c>
      <c r="D26" s="14" t="s">
        <v>231</v>
      </c>
      <c r="E26" s="15" t="s">
        <v>232</v>
      </c>
      <c r="F26" s="15" t="s">
        <v>233</v>
      </c>
      <c r="G26" s="16">
        <v>56</v>
      </c>
      <c r="H26" s="17">
        <v>91588000</v>
      </c>
      <c r="I26" s="18"/>
      <c r="J26" s="18"/>
      <c r="K26" s="18"/>
      <c r="L26" s="18" t="s">
        <v>99</v>
      </c>
      <c r="M26" s="19">
        <v>17088</v>
      </c>
      <c r="N26" s="20" t="s">
        <v>100</v>
      </c>
      <c r="O26" s="13" t="b">
        <v>1</v>
      </c>
      <c r="P26" s="20" t="b">
        <v>1</v>
      </c>
      <c r="Q26" s="20" t="b">
        <v>1</v>
      </c>
      <c r="R26" s="13" t="b">
        <v>1</v>
      </c>
      <c r="S26" s="13" t="b">
        <v>1</v>
      </c>
      <c r="T26" s="13" t="b">
        <v>1</v>
      </c>
      <c r="U26" s="13" t="b">
        <v>1</v>
      </c>
      <c r="V26" s="13" t="b">
        <v>1</v>
      </c>
      <c r="W26" s="13" t="b">
        <v>1</v>
      </c>
      <c r="X26" s="13" t="b">
        <v>1</v>
      </c>
      <c r="Y26" s="21" t="s">
        <v>182</v>
      </c>
      <c r="Z26" s="21" t="s">
        <v>234</v>
      </c>
      <c r="AA26" s="21" t="s">
        <v>232</v>
      </c>
      <c r="AB26" s="22"/>
      <c r="AC26" s="23"/>
      <c r="AD26" s="13"/>
      <c r="AE26" s="13" t="b">
        <v>1</v>
      </c>
      <c r="AF26" s="48">
        <v>45876</v>
      </c>
      <c r="AG26" s="26"/>
      <c r="AH26" s="27" t="b">
        <v>1</v>
      </c>
      <c r="AI26" s="28">
        <v>45931</v>
      </c>
      <c r="AJ26" s="29"/>
      <c r="AK26" s="27" t="b">
        <v>1</v>
      </c>
      <c r="AL26" s="40">
        <v>45973</v>
      </c>
      <c r="AM26" s="29" t="s">
        <v>104</v>
      </c>
      <c r="AN26" s="29"/>
      <c r="AO26" s="13"/>
      <c r="AP26" s="12"/>
      <c r="AQ26" s="16"/>
      <c r="AR26" s="32"/>
      <c r="AS26" s="33"/>
      <c r="AT26" s="32"/>
      <c r="AU26" s="33"/>
      <c r="AV26" s="34"/>
      <c r="AW26" s="33"/>
      <c r="AX26" s="35" t="b">
        <v>1</v>
      </c>
      <c r="AY26" s="36">
        <f t="shared" ref="AY26:AY27" si="12">IF(MOD(H26,4)=0,H26/4,ROUNDUP(H26/4,0))</f>
        <v>22897000</v>
      </c>
      <c r="AZ26" s="37"/>
      <c r="BA26" s="38"/>
      <c r="BB26" s="37"/>
      <c r="BC26" s="38"/>
      <c r="BD26" s="37"/>
      <c r="BE26" s="38"/>
      <c r="BF26" s="37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5" t="b">
        <v>1</v>
      </c>
      <c r="BU26" s="36">
        <f t="shared" ref="BU26:BU31" si="13">IF(MOD(H26,4)=0,H26/4,ROUNDDOWN(H26/4,0))</f>
        <v>22897000</v>
      </c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5" t="b">
        <v>1</v>
      </c>
      <c r="CK26" s="36">
        <f t="shared" ref="CK26:CK31" si="14">IF(MOD(H26,4)=0,H26/4,ROUNDUP(H26/4,0))</f>
        <v>22897000</v>
      </c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</row>
    <row r="27" spans="1:101" ht="32.25" customHeight="1" x14ac:dyDescent="0.25">
      <c r="A27" s="12">
        <f t="shared" si="0"/>
        <v>26</v>
      </c>
      <c r="B27" s="13" t="s">
        <v>134</v>
      </c>
      <c r="C27" s="13" t="s">
        <v>95</v>
      </c>
      <c r="D27" s="14" t="s">
        <v>235</v>
      </c>
      <c r="E27" s="15" t="s">
        <v>236</v>
      </c>
      <c r="F27" s="15" t="s">
        <v>237</v>
      </c>
      <c r="G27" s="16">
        <v>220</v>
      </c>
      <c r="H27" s="17">
        <v>359810000</v>
      </c>
      <c r="I27" s="18"/>
      <c r="J27" s="18"/>
      <c r="K27" s="18"/>
      <c r="L27" s="18" t="s">
        <v>99</v>
      </c>
      <c r="M27" s="19">
        <v>17089</v>
      </c>
      <c r="N27" s="20" t="s">
        <v>100</v>
      </c>
      <c r="O27" s="13" t="b">
        <v>1</v>
      </c>
      <c r="P27" s="20" t="b">
        <v>1</v>
      </c>
      <c r="Q27" s="20" t="b">
        <v>1</v>
      </c>
      <c r="R27" s="13" t="b">
        <v>1</v>
      </c>
      <c r="S27" s="13" t="b">
        <v>1</v>
      </c>
      <c r="T27" s="13" t="b">
        <v>1</v>
      </c>
      <c r="U27" s="13" t="b">
        <v>1</v>
      </c>
      <c r="V27" s="13" t="b">
        <v>1</v>
      </c>
      <c r="W27" s="13" t="b">
        <v>1</v>
      </c>
      <c r="X27" s="13" t="b">
        <v>1</v>
      </c>
      <c r="Y27" s="21" t="s">
        <v>101</v>
      </c>
      <c r="Z27" s="21" t="s">
        <v>238</v>
      </c>
      <c r="AA27" s="21" t="s">
        <v>239</v>
      </c>
      <c r="AB27" s="22"/>
      <c r="AC27" s="23"/>
      <c r="AD27" s="13"/>
      <c r="AE27" s="13" t="b">
        <v>1</v>
      </c>
      <c r="AF27" s="48">
        <v>45876</v>
      </c>
      <c r="AG27" s="26"/>
      <c r="AH27" s="27" t="b">
        <v>1</v>
      </c>
      <c r="AI27" s="28">
        <v>45931</v>
      </c>
      <c r="AJ27" s="29"/>
      <c r="AK27" s="27" t="b">
        <v>1</v>
      </c>
      <c r="AL27" s="40">
        <v>45967</v>
      </c>
      <c r="AM27" s="29" t="s">
        <v>104</v>
      </c>
      <c r="AN27" s="29"/>
      <c r="AO27" s="13"/>
      <c r="AP27" s="12"/>
      <c r="AQ27" s="16"/>
      <c r="AR27" s="32"/>
      <c r="AS27" s="33"/>
      <c r="AT27" s="32"/>
      <c r="AU27" s="33"/>
      <c r="AV27" s="34"/>
      <c r="AW27" s="33"/>
      <c r="AX27" s="35" t="b">
        <v>1</v>
      </c>
      <c r="AY27" s="36">
        <f t="shared" si="12"/>
        <v>89952500</v>
      </c>
      <c r="AZ27" s="37"/>
      <c r="BA27" s="38"/>
      <c r="BB27" s="37"/>
      <c r="BC27" s="38"/>
      <c r="BD27" s="37"/>
      <c r="BE27" s="38"/>
      <c r="BF27" s="37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5" t="b">
        <v>1</v>
      </c>
      <c r="BU27" s="36">
        <f t="shared" si="13"/>
        <v>89952500</v>
      </c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5" t="b">
        <v>1</v>
      </c>
      <c r="CK27" s="36">
        <f t="shared" si="14"/>
        <v>89952500</v>
      </c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</row>
    <row r="28" spans="1:101" ht="32.25" customHeight="1" x14ac:dyDescent="0.25">
      <c r="A28" s="12">
        <f t="shared" si="0"/>
        <v>27</v>
      </c>
      <c r="B28" s="13" t="s">
        <v>134</v>
      </c>
      <c r="C28" s="13" t="s">
        <v>95</v>
      </c>
      <c r="D28" s="14" t="s">
        <v>240</v>
      </c>
      <c r="E28" s="15" t="s">
        <v>241</v>
      </c>
      <c r="F28" s="15" t="s">
        <v>242</v>
      </c>
      <c r="G28" s="16">
        <v>452</v>
      </c>
      <c r="H28" s="17">
        <v>739246000</v>
      </c>
      <c r="I28" s="18"/>
      <c r="J28" s="18"/>
      <c r="K28" s="18"/>
      <c r="L28" s="18" t="s">
        <v>99</v>
      </c>
      <c r="M28" s="19">
        <v>17090</v>
      </c>
      <c r="N28" s="20" t="s">
        <v>100</v>
      </c>
      <c r="O28" s="13" t="b">
        <v>1</v>
      </c>
      <c r="P28" s="20" t="b">
        <v>1</v>
      </c>
      <c r="Q28" s="20" t="b">
        <v>1</v>
      </c>
      <c r="R28" s="13" t="b">
        <v>1</v>
      </c>
      <c r="S28" s="13" t="b">
        <v>1</v>
      </c>
      <c r="T28" s="13" t="b">
        <v>1</v>
      </c>
      <c r="U28" s="13" t="b">
        <v>1</v>
      </c>
      <c r="V28" s="13" t="b">
        <v>1</v>
      </c>
      <c r="W28" s="13" t="b">
        <v>1</v>
      </c>
      <c r="X28" s="13" t="b">
        <v>1</v>
      </c>
      <c r="Y28" s="21" t="s">
        <v>182</v>
      </c>
      <c r="Z28" s="21" t="s">
        <v>243</v>
      </c>
      <c r="AA28" s="21" t="s">
        <v>244</v>
      </c>
      <c r="AB28" s="22"/>
      <c r="AC28" s="23"/>
      <c r="AD28" s="13"/>
      <c r="AE28" s="47" t="b">
        <v>1</v>
      </c>
      <c r="AF28" s="48">
        <v>45894</v>
      </c>
      <c r="AG28" s="26" t="s">
        <v>245</v>
      </c>
      <c r="AH28" s="27" t="b">
        <v>1</v>
      </c>
      <c r="AI28" s="28">
        <v>45931</v>
      </c>
      <c r="AJ28" s="29"/>
      <c r="AK28" s="27" t="b">
        <v>1</v>
      </c>
      <c r="AL28" s="40">
        <v>45973</v>
      </c>
      <c r="AM28" s="29" t="s">
        <v>104</v>
      </c>
      <c r="AN28" s="29"/>
      <c r="AO28" s="13"/>
      <c r="AP28" s="12"/>
      <c r="AQ28" s="16"/>
      <c r="AR28" s="32"/>
      <c r="AS28" s="33"/>
      <c r="AT28" s="32"/>
      <c r="AU28" s="33"/>
      <c r="AV28" s="34"/>
      <c r="AW28" s="33"/>
      <c r="AX28" s="37"/>
      <c r="AY28" s="38"/>
      <c r="AZ28" s="35" t="b">
        <v>1</v>
      </c>
      <c r="BA28" s="36">
        <f>IF(MOD(H28,4)=0,H28/4,ROUNDUP(H28/4,0))</f>
        <v>184811500</v>
      </c>
      <c r="BB28" s="41"/>
      <c r="BC28" s="36"/>
      <c r="BD28" s="41"/>
      <c r="BE28" s="36"/>
      <c r="BF28" s="41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5" t="b">
        <v>1</v>
      </c>
      <c r="BU28" s="36">
        <f t="shared" si="13"/>
        <v>184811500</v>
      </c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5" t="b">
        <v>1</v>
      </c>
      <c r="CK28" s="36">
        <f t="shared" si="14"/>
        <v>184811500</v>
      </c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</row>
    <row r="29" spans="1:101" ht="32.25" customHeight="1" x14ac:dyDescent="0.25">
      <c r="A29" s="12">
        <f t="shared" si="0"/>
        <v>28</v>
      </c>
      <c r="B29" s="13" t="s">
        <v>134</v>
      </c>
      <c r="C29" s="13" t="s">
        <v>95</v>
      </c>
      <c r="D29" s="14" t="s">
        <v>246</v>
      </c>
      <c r="E29" s="15" t="s">
        <v>247</v>
      </c>
      <c r="F29" s="15" t="s">
        <v>248</v>
      </c>
      <c r="G29" s="16">
        <v>117</v>
      </c>
      <c r="H29" s="17">
        <v>191353500</v>
      </c>
      <c r="I29" s="18"/>
      <c r="J29" s="18"/>
      <c r="K29" s="18"/>
      <c r="L29" s="18" t="s">
        <v>99</v>
      </c>
      <c r="M29" s="19">
        <v>17091</v>
      </c>
      <c r="N29" s="20" t="s">
        <v>100</v>
      </c>
      <c r="O29" s="13" t="b">
        <v>1</v>
      </c>
      <c r="P29" s="20" t="b">
        <v>1</v>
      </c>
      <c r="Q29" s="20" t="b">
        <v>1</v>
      </c>
      <c r="R29" s="13" t="b">
        <v>1</v>
      </c>
      <c r="S29" s="13" t="b">
        <v>1</v>
      </c>
      <c r="T29" s="13" t="b">
        <v>1</v>
      </c>
      <c r="U29" s="13" t="b">
        <v>0</v>
      </c>
      <c r="V29" s="13" t="b">
        <v>1</v>
      </c>
      <c r="W29" s="13" t="b">
        <v>1</v>
      </c>
      <c r="X29" s="13" t="b">
        <v>1</v>
      </c>
      <c r="Y29" s="21" t="s">
        <v>101</v>
      </c>
      <c r="Z29" s="21" t="s">
        <v>249</v>
      </c>
      <c r="AA29" s="21" t="s">
        <v>250</v>
      </c>
      <c r="AB29" s="22"/>
      <c r="AC29" s="23"/>
      <c r="AD29" s="13"/>
      <c r="AE29" s="13" t="b">
        <v>1</v>
      </c>
      <c r="AF29" s="48">
        <v>45876</v>
      </c>
      <c r="AG29" s="26"/>
      <c r="AH29" s="27" t="b">
        <v>1</v>
      </c>
      <c r="AI29" s="28">
        <v>45931</v>
      </c>
      <c r="AJ29" s="29"/>
      <c r="AK29" s="27" t="b">
        <v>1</v>
      </c>
      <c r="AL29" s="40">
        <v>45967</v>
      </c>
      <c r="AM29" s="29" t="s">
        <v>104</v>
      </c>
      <c r="AN29" s="29"/>
      <c r="AO29" s="13"/>
      <c r="AP29" s="12"/>
      <c r="AQ29" s="16"/>
      <c r="AR29" s="32"/>
      <c r="AS29" s="33"/>
      <c r="AT29" s="32"/>
      <c r="AU29" s="33"/>
      <c r="AV29" s="34"/>
      <c r="AW29" s="33"/>
      <c r="AX29" s="35" t="b">
        <v>1</v>
      </c>
      <c r="AY29" s="36">
        <f t="shared" ref="AY29:AY31" si="15">IF(MOD(H29,4)=0,H29/4,ROUNDUP(H29/4,0))</f>
        <v>47838375</v>
      </c>
      <c r="AZ29" s="37"/>
      <c r="BA29" s="38"/>
      <c r="BB29" s="37"/>
      <c r="BC29" s="38"/>
      <c r="BD29" s="37"/>
      <c r="BE29" s="38"/>
      <c r="BF29" s="37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5" t="b">
        <v>1</v>
      </c>
      <c r="BU29" s="36">
        <f t="shared" si="13"/>
        <v>47838375</v>
      </c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5" t="b">
        <v>1</v>
      </c>
      <c r="CK29" s="36">
        <f t="shared" si="14"/>
        <v>47838375</v>
      </c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</row>
    <row r="30" spans="1:101" ht="32.25" customHeight="1" x14ac:dyDescent="0.25">
      <c r="A30" s="12">
        <f t="shared" si="0"/>
        <v>29</v>
      </c>
      <c r="B30" s="13" t="s">
        <v>251</v>
      </c>
      <c r="C30" s="13" t="s">
        <v>95</v>
      </c>
      <c r="D30" s="14" t="s">
        <v>252</v>
      </c>
      <c r="E30" s="15" t="s">
        <v>253</v>
      </c>
      <c r="F30" s="15" t="s">
        <v>254</v>
      </c>
      <c r="G30" s="16">
        <v>8</v>
      </c>
      <c r="H30" s="17">
        <v>15662000</v>
      </c>
      <c r="I30" s="18"/>
      <c r="J30" s="18"/>
      <c r="K30" s="18"/>
      <c r="L30" s="18" t="s">
        <v>99</v>
      </c>
      <c r="M30" s="19">
        <v>17092</v>
      </c>
      <c r="N30" s="20" t="s">
        <v>100</v>
      </c>
      <c r="O30" s="13" t="b">
        <v>1</v>
      </c>
      <c r="P30" s="20" t="b">
        <v>1</v>
      </c>
      <c r="Q30" s="20" t="b">
        <v>1</v>
      </c>
      <c r="R30" s="13" t="b">
        <v>1</v>
      </c>
      <c r="S30" s="13" t="b">
        <v>1</v>
      </c>
      <c r="T30" s="13" t="b">
        <v>1</v>
      </c>
      <c r="U30" s="13" t="b">
        <v>1</v>
      </c>
      <c r="V30" s="13" t="b">
        <v>1</v>
      </c>
      <c r="W30" s="13" t="b">
        <v>1</v>
      </c>
      <c r="X30" s="13" t="b">
        <v>1</v>
      </c>
      <c r="Y30" s="21" t="s">
        <v>101</v>
      </c>
      <c r="Z30" s="21" t="s">
        <v>255</v>
      </c>
      <c r="AA30" s="21" t="s">
        <v>253</v>
      </c>
      <c r="AB30" s="22"/>
      <c r="AC30" s="23"/>
      <c r="AD30" s="13"/>
      <c r="AE30" s="13" t="b">
        <v>1</v>
      </c>
      <c r="AF30" s="48">
        <v>45870</v>
      </c>
      <c r="AG30" s="26"/>
      <c r="AH30" s="27" t="b">
        <v>1</v>
      </c>
      <c r="AI30" s="28">
        <v>45938</v>
      </c>
      <c r="AJ30" s="29" t="s">
        <v>104</v>
      </c>
      <c r="AK30" s="27" t="b">
        <v>1</v>
      </c>
      <c r="AL30" s="28">
        <v>45978</v>
      </c>
      <c r="AM30" s="29" t="s">
        <v>104</v>
      </c>
      <c r="AN30" s="29"/>
      <c r="AO30" s="13"/>
      <c r="AP30" s="12"/>
      <c r="AQ30" s="16"/>
      <c r="AR30" s="32"/>
      <c r="AS30" s="33"/>
      <c r="AT30" s="32"/>
      <c r="AU30" s="33"/>
      <c r="AV30" s="34"/>
      <c r="AW30" s="33"/>
      <c r="AX30" s="35" t="b">
        <v>1</v>
      </c>
      <c r="AY30" s="36">
        <f t="shared" si="15"/>
        <v>3915500</v>
      </c>
      <c r="AZ30" s="37"/>
      <c r="BA30" s="38"/>
      <c r="BB30" s="37"/>
      <c r="BC30" s="38"/>
      <c r="BD30" s="37"/>
      <c r="BE30" s="38"/>
      <c r="BF30" s="37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5" t="b">
        <v>1</v>
      </c>
      <c r="BU30" s="36">
        <f t="shared" si="13"/>
        <v>3915500</v>
      </c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5" t="b">
        <v>1</v>
      </c>
      <c r="CK30" s="36">
        <f t="shared" si="14"/>
        <v>3915500</v>
      </c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</row>
    <row r="31" spans="1:101" ht="32.25" customHeight="1" x14ac:dyDescent="0.25">
      <c r="A31" s="12">
        <f t="shared" si="0"/>
        <v>30</v>
      </c>
      <c r="B31" s="13" t="s">
        <v>251</v>
      </c>
      <c r="C31" s="13" t="s">
        <v>95</v>
      </c>
      <c r="D31" s="14" t="s">
        <v>256</v>
      </c>
      <c r="E31" s="15" t="s">
        <v>257</v>
      </c>
      <c r="F31" s="15" t="s">
        <v>258</v>
      </c>
      <c r="G31" s="16">
        <v>267</v>
      </c>
      <c r="H31" s="17">
        <v>522719250</v>
      </c>
      <c r="I31" s="18"/>
      <c r="J31" s="18"/>
      <c r="K31" s="18"/>
      <c r="L31" s="18" t="s">
        <v>99</v>
      </c>
      <c r="M31" s="19">
        <v>17093</v>
      </c>
      <c r="N31" s="20" t="s">
        <v>100</v>
      </c>
      <c r="O31" s="13" t="b">
        <v>1</v>
      </c>
      <c r="P31" s="20" t="b">
        <v>1</v>
      </c>
      <c r="Q31" s="20" t="b">
        <v>1</v>
      </c>
      <c r="R31" s="13" t="b">
        <v>1</v>
      </c>
      <c r="S31" s="13" t="b">
        <v>1</v>
      </c>
      <c r="T31" s="13" t="b">
        <v>1</v>
      </c>
      <c r="U31" s="13" t="b">
        <v>1</v>
      </c>
      <c r="V31" s="13" t="b">
        <v>1</v>
      </c>
      <c r="W31" s="13" t="b">
        <v>1</v>
      </c>
      <c r="X31" s="13" t="b">
        <v>1</v>
      </c>
      <c r="Y31" s="21" t="s">
        <v>101</v>
      </c>
      <c r="Z31" s="21" t="s">
        <v>259</v>
      </c>
      <c r="AA31" s="21" t="s">
        <v>260</v>
      </c>
      <c r="AB31" s="22"/>
      <c r="AC31" s="23"/>
      <c r="AD31" s="13"/>
      <c r="AE31" s="13" t="b">
        <v>1</v>
      </c>
      <c r="AF31" s="48">
        <v>45870</v>
      </c>
      <c r="AG31" s="26"/>
      <c r="AH31" s="27" t="b">
        <v>1</v>
      </c>
      <c r="AI31" s="28">
        <v>45938</v>
      </c>
      <c r="AJ31" s="29" t="s">
        <v>104</v>
      </c>
      <c r="AK31" s="27" t="b">
        <v>1</v>
      </c>
      <c r="AL31" s="28">
        <v>45978</v>
      </c>
      <c r="AM31" s="29" t="s">
        <v>104</v>
      </c>
      <c r="AN31" s="29"/>
      <c r="AO31" s="13"/>
      <c r="AP31" s="12"/>
      <c r="AQ31" s="16"/>
      <c r="AR31" s="32"/>
      <c r="AS31" s="33"/>
      <c r="AT31" s="32"/>
      <c r="AU31" s="33"/>
      <c r="AV31" s="34"/>
      <c r="AW31" s="33"/>
      <c r="AX31" s="35" t="b">
        <v>1</v>
      </c>
      <c r="AY31" s="36">
        <f t="shared" si="15"/>
        <v>130679813</v>
      </c>
      <c r="AZ31" s="37"/>
      <c r="BA31" s="38"/>
      <c r="BB31" s="37"/>
      <c r="BC31" s="38"/>
      <c r="BD31" s="37"/>
      <c r="BE31" s="38"/>
      <c r="BF31" s="37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5" t="b">
        <v>1</v>
      </c>
      <c r="BU31" s="36">
        <f t="shared" si="13"/>
        <v>130679812</v>
      </c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5" t="b">
        <v>1</v>
      </c>
      <c r="CK31" s="36">
        <f t="shared" si="14"/>
        <v>130679813</v>
      </c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</row>
    <row r="32" spans="1:101" ht="32.25" customHeight="1" x14ac:dyDescent="0.25">
      <c r="A32" s="12">
        <f t="shared" si="0"/>
        <v>31</v>
      </c>
      <c r="B32" s="13" t="s">
        <v>251</v>
      </c>
      <c r="C32" s="13" t="s">
        <v>95</v>
      </c>
      <c r="D32" s="14" t="s">
        <v>261</v>
      </c>
      <c r="E32" s="15" t="s">
        <v>262</v>
      </c>
      <c r="F32" s="15" t="s">
        <v>263</v>
      </c>
      <c r="G32" s="16">
        <v>30</v>
      </c>
      <c r="H32" s="17">
        <v>58732500</v>
      </c>
      <c r="I32" s="18"/>
      <c r="J32" s="18"/>
      <c r="K32" s="18"/>
      <c r="L32" s="18" t="s">
        <v>99</v>
      </c>
      <c r="M32" s="19">
        <v>17094</v>
      </c>
      <c r="N32" s="20" t="s">
        <v>100</v>
      </c>
      <c r="O32" s="13" t="b">
        <v>1</v>
      </c>
      <c r="P32" s="20" t="b">
        <v>1</v>
      </c>
      <c r="Q32" s="20" t="b">
        <v>1</v>
      </c>
      <c r="R32" s="13" t="b">
        <v>0</v>
      </c>
      <c r="S32" s="13" t="b">
        <v>0</v>
      </c>
      <c r="T32" s="13" t="b">
        <v>1</v>
      </c>
      <c r="U32" s="13" t="b">
        <v>1</v>
      </c>
      <c r="V32" s="13" t="b">
        <v>1</v>
      </c>
      <c r="W32" s="13" t="b">
        <v>1</v>
      </c>
      <c r="X32" s="13" t="b">
        <v>1</v>
      </c>
      <c r="Y32" s="21" t="s">
        <v>101</v>
      </c>
      <c r="Z32" s="21" t="s">
        <v>264</v>
      </c>
      <c r="AA32" s="21" t="s">
        <v>265</v>
      </c>
      <c r="AB32" s="22"/>
      <c r="AC32" s="13"/>
      <c r="AD32" s="13"/>
      <c r="AE32" s="47" t="b">
        <v>1</v>
      </c>
      <c r="AF32" s="48">
        <v>45916</v>
      </c>
      <c r="AG32" s="26" t="s">
        <v>266</v>
      </c>
      <c r="AH32" s="27" t="b">
        <v>1</v>
      </c>
      <c r="AI32" s="28">
        <v>45979</v>
      </c>
      <c r="AJ32" s="26" t="s">
        <v>266</v>
      </c>
      <c r="AK32" s="39" t="b">
        <v>1</v>
      </c>
      <c r="AL32" s="40">
        <v>46020</v>
      </c>
      <c r="AM32" s="29" t="s">
        <v>267</v>
      </c>
      <c r="AN32" s="29"/>
      <c r="AO32" s="13"/>
      <c r="AP32" s="12"/>
      <c r="AQ32" s="16"/>
      <c r="AR32" s="32"/>
      <c r="AS32" s="33"/>
      <c r="AT32" s="32"/>
      <c r="AU32" s="33"/>
      <c r="AV32" s="34"/>
      <c r="AW32" s="33"/>
      <c r="AX32" s="37"/>
      <c r="AY32" s="38"/>
      <c r="AZ32" s="37"/>
      <c r="BA32" s="38"/>
      <c r="BB32" s="35" t="b">
        <v>1</v>
      </c>
      <c r="BC32" s="36">
        <f>IF(MOD(H32,4)=0,H32/4,ROUNDUP(H32/4,0))</f>
        <v>14683125</v>
      </c>
      <c r="BD32" s="41"/>
      <c r="BE32" s="36"/>
      <c r="BF32" s="41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41"/>
      <c r="BU32" s="41"/>
      <c r="BV32" s="41"/>
      <c r="BW32" s="41"/>
      <c r="BX32" s="42" t="b">
        <v>1</v>
      </c>
      <c r="BY32" s="41">
        <f>IF(MOD(H32,4)=0,H32/4,ROUNDDOWN(H32/4,0))</f>
        <v>14683125</v>
      </c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37" t="b">
        <v>1</v>
      </c>
      <c r="CU32" s="38">
        <f>IF(MOD(H32,4)=0,H32/4,ROUNDUP(H32/4,0))</f>
        <v>14683125</v>
      </c>
      <c r="CV32" s="38"/>
      <c r="CW32" s="38"/>
    </row>
    <row r="33" spans="1:101" ht="32.25" customHeight="1" x14ac:dyDescent="0.25">
      <c r="A33" s="12">
        <f t="shared" si="0"/>
        <v>32</v>
      </c>
      <c r="B33" s="13" t="s">
        <v>251</v>
      </c>
      <c r="C33" s="13" t="s">
        <v>95</v>
      </c>
      <c r="D33" s="14" t="s">
        <v>268</v>
      </c>
      <c r="E33" s="15" t="s">
        <v>269</v>
      </c>
      <c r="F33" s="15" t="s">
        <v>270</v>
      </c>
      <c r="G33" s="16">
        <v>278</v>
      </c>
      <c r="H33" s="17">
        <v>544254500</v>
      </c>
      <c r="I33" s="18"/>
      <c r="J33" s="18"/>
      <c r="K33" s="18"/>
      <c r="L33" s="18" t="s">
        <v>99</v>
      </c>
      <c r="M33" s="19">
        <v>17095</v>
      </c>
      <c r="N33" s="20" t="s">
        <v>100</v>
      </c>
      <c r="O33" s="13" t="b">
        <v>1</v>
      </c>
      <c r="P33" s="20" t="b">
        <v>0</v>
      </c>
      <c r="Q33" s="20" t="b">
        <v>1</v>
      </c>
      <c r="R33" s="13" t="b">
        <v>0</v>
      </c>
      <c r="S33" s="13" t="b">
        <v>0</v>
      </c>
      <c r="T33" s="13" t="b">
        <v>0</v>
      </c>
      <c r="U33" s="13" t="b">
        <v>1</v>
      </c>
      <c r="V33" s="13" t="b">
        <v>1</v>
      </c>
      <c r="W33" s="13" t="b">
        <v>1</v>
      </c>
      <c r="X33" s="13" t="b">
        <v>0</v>
      </c>
      <c r="Y33" s="21" t="s">
        <v>101</v>
      </c>
      <c r="Z33" s="21" t="s">
        <v>271</v>
      </c>
      <c r="AA33" s="21" t="s">
        <v>272</v>
      </c>
      <c r="AB33" s="15"/>
      <c r="AC33" s="13"/>
      <c r="AD33" s="13"/>
      <c r="AE33" s="13" t="b">
        <v>0</v>
      </c>
      <c r="AF33" s="48"/>
      <c r="AG33" s="26"/>
      <c r="AH33" s="39" t="b">
        <v>0</v>
      </c>
      <c r="AI33" s="28"/>
      <c r="AJ33" s="29"/>
      <c r="AK33" s="39" t="b">
        <v>0</v>
      </c>
      <c r="AL33" s="29"/>
      <c r="AM33" s="29"/>
      <c r="AN33" s="29"/>
      <c r="AO33" s="13"/>
      <c r="AP33" s="32"/>
      <c r="AQ33" s="33"/>
      <c r="AR33" s="32"/>
      <c r="AS33" s="33"/>
      <c r="AT33" s="32"/>
      <c r="AU33" s="33"/>
      <c r="AV33" s="34"/>
      <c r="AW33" s="33"/>
      <c r="AX33" s="37"/>
      <c r="AY33" s="38"/>
      <c r="AZ33" s="37"/>
      <c r="BA33" s="38"/>
      <c r="BB33" s="37"/>
      <c r="BC33" s="38"/>
      <c r="BD33" s="37"/>
      <c r="BE33" s="38"/>
      <c r="BF33" s="37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</row>
    <row r="34" spans="1:101" ht="32.25" customHeight="1" x14ac:dyDescent="0.25">
      <c r="A34" s="12">
        <f t="shared" si="0"/>
        <v>33</v>
      </c>
      <c r="B34" s="13" t="s">
        <v>251</v>
      </c>
      <c r="C34" s="13" t="s">
        <v>95</v>
      </c>
      <c r="D34" s="14" t="s">
        <v>273</v>
      </c>
      <c r="E34" s="15" t="s">
        <v>274</v>
      </c>
      <c r="F34" s="15" t="s">
        <v>275</v>
      </c>
      <c r="G34" s="16">
        <v>8</v>
      </c>
      <c r="H34" s="17">
        <v>15662000</v>
      </c>
      <c r="I34" s="18"/>
      <c r="J34" s="18"/>
      <c r="K34" s="18"/>
      <c r="L34" s="18" t="s">
        <v>99</v>
      </c>
      <c r="M34" s="19">
        <v>17096</v>
      </c>
      <c r="N34" s="20" t="s">
        <v>100</v>
      </c>
      <c r="O34" s="13" t="b">
        <v>1</v>
      </c>
      <c r="P34" s="20" t="b">
        <v>0</v>
      </c>
      <c r="Q34" s="20" t="b">
        <v>0</v>
      </c>
      <c r="R34" s="13" t="b">
        <v>1</v>
      </c>
      <c r="S34" s="13" t="b">
        <v>1</v>
      </c>
      <c r="T34" s="13" t="b">
        <v>1</v>
      </c>
      <c r="U34" s="13" t="b">
        <v>1</v>
      </c>
      <c r="V34" s="13" t="b">
        <v>1</v>
      </c>
      <c r="W34" s="13" t="b">
        <v>1</v>
      </c>
      <c r="X34" s="13" t="b">
        <v>0</v>
      </c>
      <c r="Y34" s="21" t="s">
        <v>101</v>
      </c>
      <c r="Z34" s="21" t="s">
        <v>276</v>
      </c>
      <c r="AA34" s="21" t="s">
        <v>277</v>
      </c>
      <c r="AB34" s="15"/>
      <c r="AC34" s="13"/>
      <c r="AD34" s="13"/>
      <c r="AE34" s="13" t="b">
        <v>0</v>
      </c>
      <c r="AF34" s="48"/>
      <c r="AG34" s="26"/>
      <c r="AH34" s="39" t="b">
        <v>0</v>
      </c>
      <c r="AI34" s="28"/>
      <c r="AJ34" s="29"/>
      <c r="AK34" s="39" t="b">
        <v>0</v>
      </c>
      <c r="AL34" s="29"/>
      <c r="AM34" s="29"/>
      <c r="AN34" s="29"/>
      <c r="AO34" s="13"/>
      <c r="AP34" s="32"/>
      <c r="AQ34" s="33"/>
      <c r="AR34" s="32"/>
      <c r="AS34" s="33"/>
      <c r="AT34" s="32"/>
      <c r="AU34" s="33"/>
      <c r="AV34" s="34"/>
      <c r="AW34" s="33"/>
      <c r="AX34" s="37"/>
      <c r="AY34" s="38"/>
      <c r="AZ34" s="37"/>
      <c r="BA34" s="38"/>
      <c r="BB34" s="37"/>
      <c r="BC34" s="38"/>
      <c r="BD34" s="37"/>
      <c r="BE34" s="38"/>
      <c r="BF34" s="37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</row>
    <row r="35" spans="1:101" ht="32.25" customHeight="1" x14ac:dyDescent="0.25">
      <c r="A35" s="12">
        <f t="shared" si="0"/>
        <v>34</v>
      </c>
      <c r="B35" s="13" t="s">
        <v>251</v>
      </c>
      <c r="C35" s="13" t="s">
        <v>95</v>
      </c>
      <c r="D35" s="14" t="s">
        <v>278</v>
      </c>
      <c r="E35" s="15" t="s">
        <v>279</v>
      </c>
      <c r="F35" s="15" t="s">
        <v>280</v>
      </c>
      <c r="G35" s="16">
        <v>313</v>
      </c>
      <c r="H35" s="17">
        <v>612775750</v>
      </c>
      <c r="I35" s="18"/>
      <c r="J35" s="18"/>
      <c r="K35" s="18"/>
      <c r="L35" s="18" t="s">
        <v>99</v>
      </c>
      <c r="M35" s="19">
        <v>17097</v>
      </c>
      <c r="N35" s="20" t="s">
        <v>100</v>
      </c>
      <c r="O35" s="13" t="b">
        <v>1</v>
      </c>
      <c r="P35" s="20" t="b">
        <v>1</v>
      </c>
      <c r="Q35" s="20" t="b">
        <v>1</v>
      </c>
      <c r="R35" s="13" t="b">
        <v>1</v>
      </c>
      <c r="S35" s="13" t="b">
        <v>1</v>
      </c>
      <c r="T35" s="13" t="b">
        <v>1</v>
      </c>
      <c r="U35" s="13" t="b">
        <v>1</v>
      </c>
      <c r="V35" s="13" t="b">
        <v>1</v>
      </c>
      <c r="W35" s="13" t="b">
        <v>1</v>
      </c>
      <c r="X35" s="13" t="b">
        <v>1</v>
      </c>
      <c r="Y35" s="21" t="s">
        <v>101</v>
      </c>
      <c r="Z35" s="21" t="s">
        <v>281</v>
      </c>
      <c r="AA35" s="21" t="s">
        <v>282</v>
      </c>
      <c r="AB35" s="22"/>
      <c r="AC35" s="23"/>
      <c r="AD35" s="13"/>
      <c r="AE35" s="13" t="b">
        <v>1</v>
      </c>
      <c r="AF35" s="48">
        <v>45870</v>
      </c>
      <c r="AG35" s="26"/>
      <c r="AH35" s="27" t="b">
        <v>1</v>
      </c>
      <c r="AI35" s="28">
        <v>45946</v>
      </c>
      <c r="AJ35" s="49" t="s">
        <v>283</v>
      </c>
      <c r="AK35" s="39" t="b">
        <v>1</v>
      </c>
      <c r="AL35" s="40">
        <v>46002</v>
      </c>
      <c r="AM35" s="29" t="s">
        <v>104</v>
      </c>
      <c r="AN35" s="29"/>
      <c r="AO35" s="13"/>
      <c r="AP35" s="12"/>
      <c r="AQ35" s="16"/>
      <c r="AR35" s="32"/>
      <c r="AS35" s="33"/>
      <c r="AT35" s="32"/>
      <c r="AU35" s="33"/>
      <c r="AV35" s="34"/>
      <c r="AW35" s="33"/>
      <c r="AX35" s="35" t="b">
        <v>1</v>
      </c>
      <c r="AY35" s="36">
        <f t="shared" ref="AY35:AY38" si="16">IF(MOD(H35,4)=0,H35/4,ROUNDUP(H35/4,0))</f>
        <v>153193938</v>
      </c>
      <c r="AZ35" s="37"/>
      <c r="BA35" s="38"/>
      <c r="BB35" s="37"/>
      <c r="BC35" s="38"/>
      <c r="BD35" s="37"/>
      <c r="BE35" s="38"/>
      <c r="BF35" s="37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7"/>
      <c r="BU35" s="37"/>
      <c r="BV35" s="35" t="b">
        <v>1</v>
      </c>
      <c r="BW35" s="41">
        <f>IF(MOD(H35,4)=0,H35/4,ROUNDDOWN(H35/4,0))</f>
        <v>153193937</v>
      </c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12" t="b">
        <v>1</v>
      </c>
      <c r="CS35" s="36">
        <f>IF(MOD(H35,4)=0,H35/4,ROUNDUP(H35/4,0))</f>
        <v>153193938</v>
      </c>
      <c r="CT35" s="36"/>
      <c r="CU35" s="36"/>
      <c r="CV35" s="36"/>
      <c r="CW35" s="36"/>
    </row>
    <row r="36" spans="1:101" ht="32.25" customHeight="1" x14ac:dyDescent="0.25">
      <c r="A36" s="12">
        <f t="shared" si="0"/>
        <v>35</v>
      </c>
      <c r="B36" s="13" t="s">
        <v>251</v>
      </c>
      <c r="C36" s="13" t="s">
        <v>95</v>
      </c>
      <c r="D36" s="14" t="s">
        <v>284</v>
      </c>
      <c r="E36" s="15" t="s">
        <v>285</v>
      </c>
      <c r="F36" s="15" t="s">
        <v>286</v>
      </c>
      <c r="G36" s="16">
        <v>95</v>
      </c>
      <c r="H36" s="17">
        <v>185986250</v>
      </c>
      <c r="I36" s="18"/>
      <c r="J36" s="18"/>
      <c r="K36" s="18"/>
      <c r="L36" s="18" t="s">
        <v>99</v>
      </c>
      <c r="M36" s="19">
        <v>17098</v>
      </c>
      <c r="N36" s="20" t="s">
        <v>100</v>
      </c>
      <c r="O36" s="13" t="b">
        <v>1</v>
      </c>
      <c r="P36" s="20" t="b">
        <v>1</v>
      </c>
      <c r="Q36" s="20" t="b">
        <v>1</v>
      </c>
      <c r="R36" s="13" t="b">
        <v>1</v>
      </c>
      <c r="S36" s="13" t="b">
        <v>1</v>
      </c>
      <c r="T36" s="13" t="b">
        <v>1</v>
      </c>
      <c r="U36" s="13" t="b">
        <v>1</v>
      </c>
      <c r="V36" s="13" t="b">
        <v>1</v>
      </c>
      <c r="W36" s="13" t="b">
        <v>1</v>
      </c>
      <c r="X36" s="13" t="b">
        <v>1</v>
      </c>
      <c r="Y36" s="21" t="s">
        <v>101</v>
      </c>
      <c r="Z36" s="21" t="s">
        <v>287</v>
      </c>
      <c r="AA36" s="21" t="s">
        <v>288</v>
      </c>
      <c r="AB36" s="22"/>
      <c r="AC36" s="23"/>
      <c r="AD36" s="13"/>
      <c r="AE36" s="13" t="b">
        <v>1</v>
      </c>
      <c r="AF36" s="48">
        <v>45870</v>
      </c>
      <c r="AG36" s="26"/>
      <c r="AH36" s="27" t="b">
        <v>1</v>
      </c>
      <c r="AI36" s="28">
        <v>45938</v>
      </c>
      <c r="AJ36" s="29" t="s">
        <v>104</v>
      </c>
      <c r="AK36" s="27" t="b">
        <v>1</v>
      </c>
      <c r="AL36" s="28">
        <v>45978</v>
      </c>
      <c r="AM36" s="29" t="s">
        <v>104</v>
      </c>
      <c r="AN36" s="29"/>
      <c r="AO36" s="13"/>
      <c r="AP36" s="12"/>
      <c r="AQ36" s="16"/>
      <c r="AR36" s="32"/>
      <c r="AS36" s="33"/>
      <c r="AT36" s="32"/>
      <c r="AU36" s="33"/>
      <c r="AV36" s="34"/>
      <c r="AW36" s="33"/>
      <c r="AX36" s="35" t="b">
        <v>1</v>
      </c>
      <c r="AY36" s="36">
        <f t="shared" si="16"/>
        <v>46496563</v>
      </c>
      <c r="AZ36" s="37"/>
      <c r="BA36" s="38"/>
      <c r="BB36" s="37"/>
      <c r="BC36" s="38"/>
      <c r="BD36" s="37"/>
      <c r="BE36" s="38"/>
      <c r="BF36" s="37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5" t="b">
        <v>1</v>
      </c>
      <c r="BU36" s="36">
        <f t="shared" ref="BU36:BU38" si="17">IF(MOD(H36,4)=0,H36/4,ROUNDDOWN(H36/4,0))</f>
        <v>46496562</v>
      </c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5" t="b">
        <v>1</v>
      </c>
      <c r="CK36" s="36">
        <f t="shared" ref="CK36:CK38" si="18">IF(MOD(H36,4)=0,H36/4,ROUNDUP(H36/4,0))</f>
        <v>46496563</v>
      </c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</row>
    <row r="37" spans="1:101" ht="32.25" customHeight="1" x14ac:dyDescent="0.25">
      <c r="A37" s="12">
        <f t="shared" si="0"/>
        <v>36</v>
      </c>
      <c r="B37" s="13" t="s">
        <v>251</v>
      </c>
      <c r="C37" s="13" t="s">
        <v>95</v>
      </c>
      <c r="D37" s="14" t="s">
        <v>289</v>
      </c>
      <c r="E37" s="15" t="s">
        <v>290</v>
      </c>
      <c r="F37" s="15" t="s">
        <v>291</v>
      </c>
      <c r="G37" s="16">
        <v>421</v>
      </c>
      <c r="H37" s="17">
        <v>824212750</v>
      </c>
      <c r="I37" s="18"/>
      <c r="J37" s="18"/>
      <c r="K37" s="18"/>
      <c r="L37" s="18" t="s">
        <v>99</v>
      </c>
      <c r="M37" s="19">
        <v>17099</v>
      </c>
      <c r="N37" s="20" t="s">
        <v>100</v>
      </c>
      <c r="O37" s="13" t="b">
        <v>1</v>
      </c>
      <c r="P37" s="20" t="b">
        <v>1</v>
      </c>
      <c r="Q37" s="20" t="b">
        <v>1</v>
      </c>
      <c r="R37" s="13" t="b">
        <v>1</v>
      </c>
      <c r="S37" s="13" t="b">
        <v>1</v>
      </c>
      <c r="T37" s="13" t="b">
        <v>1</v>
      </c>
      <c r="U37" s="13" t="b">
        <v>1</v>
      </c>
      <c r="V37" s="13" t="b">
        <v>1</v>
      </c>
      <c r="W37" s="13" t="b">
        <v>1</v>
      </c>
      <c r="X37" s="13" t="b">
        <v>1</v>
      </c>
      <c r="Y37" s="21" t="s">
        <v>101</v>
      </c>
      <c r="Z37" s="21" t="s">
        <v>292</v>
      </c>
      <c r="AA37" s="21" t="s">
        <v>293</v>
      </c>
      <c r="AB37" s="22"/>
      <c r="AC37" s="23"/>
      <c r="AD37" s="13"/>
      <c r="AE37" s="13" t="b">
        <v>1</v>
      </c>
      <c r="AF37" s="48">
        <v>45870</v>
      </c>
      <c r="AG37" s="26"/>
      <c r="AH37" s="27" t="b">
        <v>1</v>
      </c>
      <c r="AI37" s="28">
        <v>45938</v>
      </c>
      <c r="AJ37" s="29" t="s">
        <v>104</v>
      </c>
      <c r="AK37" s="27" t="b">
        <v>1</v>
      </c>
      <c r="AL37" s="28">
        <v>45978</v>
      </c>
      <c r="AM37" s="29" t="s">
        <v>104</v>
      </c>
      <c r="AN37" s="29"/>
      <c r="AO37" s="13"/>
      <c r="AP37" s="12"/>
      <c r="AQ37" s="16"/>
      <c r="AR37" s="32"/>
      <c r="AS37" s="33"/>
      <c r="AT37" s="32"/>
      <c r="AU37" s="33"/>
      <c r="AV37" s="34"/>
      <c r="AW37" s="33"/>
      <c r="AX37" s="35" t="b">
        <v>1</v>
      </c>
      <c r="AY37" s="36">
        <f t="shared" si="16"/>
        <v>206053188</v>
      </c>
      <c r="AZ37" s="37"/>
      <c r="BA37" s="38"/>
      <c r="BB37" s="37"/>
      <c r="BC37" s="38"/>
      <c r="BD37" s="37"/>
      <c r="BE37" s="38"/>
      <c r="BF37" s="37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5" t="b">
        <v>1</v>
      </c>
      <c r="BU37" s="36">
        <f t="shared" si="17"/>
        <v>206053187</v>
      </c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5" t="b">
        <v>1</v>
      </c>
      <c r="CK37" s="36">
        <f t="shared" si="18"/>
        <v>206053188</v>
      </c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</row>
    <row r="38" spans="1:101" ht="32.25" customHeight="1" x14ac:dyDescent="0.25">
      <c r="A38" s="12">
        <f t="shared" si="0"/>
        <v>37</v>
      </c>
      <c r="B38" s="13" t="s">
        <v>251</v>
      </c>
      <c r="C38" s="13" t="s">
        <v>95</v>
      </c>
      <c r="D38" s="14" t="s">
        <v>294</v>
      </c>
      <c r="E38" s="15" t="s">
        <v>295</v>
      </c>
      <c r="F38" s="15" t="s">
        <v>296</v>
      </c>
      <c r="G38" s="16">
        <v>597</v>
      </c>
      <c r="H38" s="17">
        <v>1168776750</v>
      </c>
      <c r="I38" s="18"/>
      <c r="J38" s="18"/>
      <c r="K38" s="18"/>
      <c r="L38" s="18" t="s">
        <v>99</v>
      </c>
      <c r="M38" s="19">
        <v>17100</v>
      </c>
      <c r="N38" s="20" t="s">
        <v>100</v>
      </c>
      <c r="O38" s="13" t="b">
        <v>1</v>
      </c>
      <c r="P38" s="20" t="b">
        <v>1</v>
      </c>
      <c r="Q38" s="20" t="b">
        <v>1</v>
      </c>
      <c r="R38" s="13" t="b">
        <v>1</v>
      </c>
      <c r="S38" s="13" t="b">
        <v>1</v>
      </c>
      <c r="T38" s="13" t="b">
        <v>1</v>
      </c>
      <c r="U38" s="13" t="b">
        <v>1</v>
      </c>
      <c r="V38" s="13" t="b">
        <v>1</v>
      </c>
      <c r="W38" s="13" t="b">
        <v>1</v>
      </c>
      <c r="X38" s="13" t="b">
        <v>1</v>
      </c>
      <c r="Y38" s="21" t="s">
        <v>101</v>
      </c>
      <c r="Z38" s="21" t="s">
        <v>297</v>
      </c>
      <c r="AA38" s="21" t="s">
        <v>298</v>
      </c>
      <c r="AB38" s="22"/>
      <c r="AC38" s="23"/>
      <c r="AD38" s="13"/>
      <c r="AE38" s="13" t="b">
        <v>1</v>
      </c>
      <c r="AF38" s="48">
        <v>45870</v>
      </c>
      <c r="AG38" s="26"/>
      <c r="AH38" s="27" t="b">
        <v>1</v>
      </c>
      <c r="AI38" s="28">
        <v>45938</v>
      </c>
      <c r="AJ38" s="29" t="s">
        <v>104</v>
      </c>
      <c r="AK38" s="27" t="b">
        <v>1</v>
      </c>
      <c r="AL38" s="28">
        <v>45978</v>
      </c>
      <c r="AM38" s="29" t="s">
        <v>104</v>
      </c>
      <c r="AN38" s="29"/>
      <c r="AO38" s="13"/>
      <c r="AP38" s="12"/>
      <c r="AQ38" s="16"/>
      <c r="AR38" s="32"/>
      <c r="AS38" s="33"/>
      <c r="AT38" s="32"/>
      <c r="AU38" s="33"/>
      <c r="AV38" s="34"/>
      <c r="AW38" s="33"/>
      <c r="AX38" s="35" t="b">
        <v>1</v>
      </c>
      <c r="AY38" s="36">
        <f t="shared" si="16"/>
        <v>292194188</v>
      </c>
      <c r="AZ38" s="37"/>
      <c r="BA38" s="38"/>
      <c r="BB38" s="37"/>
      <c r="BC38" s="38"/>
      <c r="BD38" s="37"/>
      <c r="BE38" s="38"/>
      <c r="BF38" s="37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5" t="b">
        <v>1</v>
      </c>
      <c r="BU38" s="36">
        <f t="shared" si="17"/>
        <v>292194187</v>
      </c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5" t="b">
        <v>1</v>
      </c>
      <c r="CK38" s="36">
        <f t="shared" si="18"/>
        <v>292194188</v>
      </c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</row>
    <row r="39" spans="1:101" ht="32.25" customHeight="1" x14ac:dyDescent="0.25">
      <c r="A39" s="12">
        <f t="shared" si="0"/>
        <v>38</v>
      </c>
      <c r="B39" s="13" t="s">
        <v>251</v>
      </c>
      <c r="C39" s="13" t="s">
        <v>95</v>
      </c>
      <c r="D39" s="14" t="s">
        <v>299</v>
      </c>
      <c r="E39" s="15" t="s">
        <v>300</v>
      </c>
      <c r="F39" s="15" t="s">
        <v>301</v>
      </c>
      <c r="G39" s="16">
        <v>203</v>
      </c>
      <c r="H39" s="17">
        <v>397423250</v>
      </c>
      <c r="I39" s="18"/>
      <c r="J39" s="18"/>
      <c r="K39" s="18"/>
      <c r="L39" s="18" t="s">
        <v>99</v>
      </c>
      <c r="M39" s="19">
        <v>17101</v>
      </c>
      <c r="N39" s="20" t="s">
        <v>100</v>
      </c>
      <c r="O39" s="13" t="b">
        <v>1</v>
      </c>
      <c r="P39" s="20" t="b">
        <v>1</v>
      </c>
      <c r="Q39" s="20" t="b">
        <v>1</v>
      </c>
      <c r="R39" s="13" t="b">
        <v>1</v>
      </c>
      <c r="S39" s="13" t="b">
        <v>1</v>
      </c>
      <c r="T39" s="13" t="b">
        <v>1</v>
      </c>
      <c r="U39" s="13" t="b">
        <v>1</v>
      </c>
      <c r="V39" s="13" t="b">
        <v>1</v>
      </c>
      <c r="W39" s="13" t="b">
        <v>1</v>
      </c>
      <c r="X39" s="13" t="b">
        <v>1</v>
      </c>
      <c r="Y39" s="21" t="s">
        <v>101</v>
      </c>
      <c r="Z39" s="21" t="s">
        <v>302</v>
      </c>
      <c r="AA39" s="21" t="s">
        <v>303</v>
      </c>
      <c r="AB39" s="22"/>
      <c r="AC39" s="23"/>
      <c r="AD39" s="13"/>
      <c r="AE39" s="47" t="b">
        <v>1</v>
      </c>
      <c r="AF39" s="28">
        <v>45919</v>
      </c>
      <c r="AG39" s="26" t="s">
        <v>304</v>
      </c>
      <c r="AH39" s="27" t="b">
        <v>1</v>
      </c>
      <c r="AI39" s="28">
        <v>45953</v>
      </c>
      <c r="AJ39" s="49" t="s">
        <v>305</v>
      </c>
      <c r="AK39" s="39" t="b">
        <v>1</v>
      </c>
      <c r="AL39" s="40">
        <v>45996</v>
      </c>
      <c r="AM39" s="29" t="s">
        <v>104</v>
      </c>
      <c r="AN39" s="29"/>
      <c r="AO39" s="13"/>
      <c r="AP39" s="12"/>
      <c r="AQ39" s="16"/>
      <c r="AR39" s="32"/>
      <c r="AS39" s="33"/>
      <c r="AT39" s="32"/>
      <c r="AU39" s="33"/>
      <c r="AV39" s="34"/>
      <c r="AW39" s="33"/>
      <c r="AX39" s="37"/>
      <c r="AY39" s="38"/>
      <c r="AZ39" s="37"/>
      <c r="BA39" s="38"/>
      <c r="BB39" s="35" t="b">
        <v>1</v>
      </c>
      <c r="BC39" s="36">
        <f>IF(MOD(H39,4)=0,H39/4,ROUNDUP(H39/4,0))</f>
        <v>99355813</v>
      </c>
      <c r="BD39" s="41"/>
      <c r="BE39" s="36"/>
      <c r="BF39" s="41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41"/>
      <c r="BU39" s="41"/>
      <c r="BV39" s="35" t="b">
        <v>1</v>
      </c>
      <c r="BW39" s="41">
        <f>IF(MOD(H39,4)=0,H39/4,ROUNDDOWN(H39/4,0))</f>
        <v>99355812</v>
      </c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35" t="b">
        <v>1</v>
      </c>
      <c r="CQ39" s="41">
        <f>IF(MOD(H39,4)=0,H39/4,ROUNDUP(H39/4,0))</f>
        <v>99355813</v>
      </c>
      <c r="CR39" s="41"/>
      <c r="CS39" s="41"/>
      <c r="CT39" s="41"/>
      <c r="CU39" s="41"/>
      <c r="CV39" s="41"/>
      <c r="CW39" s="41"/>
    </row>
    <row r="40" spans="1:101" ht="32.25" customHeight="1" x14ac:dyDescent="0.25">
      <c r="A40" s="12">
        <f t="shared" si="0"/>
        <v>39</v>
      </c>
      <c r="B40" s="13" t="s">
        <v>251</v>
      </c>
      <c r="C40" s="13" t="s">
        <v>95</v>
      </c>
      <c r="D40" s="14" t="s">
        <v>306</v>
      </c>
      <c r="E40" s="15" t="s">
        <v>307</v>
      </c>
      <c r="F40" s="15" t="s">
        <v>308</v>
      </c>
      <c r="G40" s="16">
        <v>577</v>
      </c>
      <c r="H40" s="17">
        <v>1129621750</v>
      </c>
      <c r="I40" s="18"/>
      <c r="J40" s="18"/>
      <c r="K40" s="18"/>
      <c r="L40" s="18" t="s">
        <v>99</v>
      </c>
      <c r="M40" s="19">
        <v>17102</v>
      </c>
      <c r="N40" s="20" t="s">
        <v>100</v>
      </c>
      <c r="O40" s="13" t="b">
        <v>1</v>
      </c>
      <c r="P40" s="20" t="b">
        <v>1</v>
      </c>
      <c r="Q40" s="20" t="b">
        <v>1</v>
      </c>
      <c r="R40" s="13" t="b">
        <v>1</v>
      </c>
      <c r="S40" s="13" t="b">
        <v>1</v>
      </c>
      <c r="T40" s="13" t="b">
        <v>1</v>
      </c>
      <c r="U40" s="13" t="b">
        <v>1</v>
      </c>
      <c r="V40" s="13" t="b">
        <v>1</v>
      </c>
      <c r="W40" s="13" t="b">
        <v>1</v>
      </c>
      <c r="X40" s="13" t="b">
        <v>1</v>
      </c>
      <c r="Y40" s="21" t="s">
        <v>101</v>
      </c>
      <c r="Z40" s="21" t="s">
        <v>309</v>
      </c>
      <c r="AA40" s="21" t="s">
        <v>310</v>
      </c>
      <c r="AB40" s="22"/>
      <c r="AC40" s="23"/>
      <c r="AD40" s="13"/>
      <c r="AE40" s="13" t="b">
        <v>1</v>
      </c>
      <c r="AF40" s="48">
        <v>45876</v>
      </c>
      <c r="AG40" s="26"/>
      <c r="AH40" s="27" t="b">
        <v>1</v>
      </c>
      <c r="AI40" s="28">
        <v>45938</v>
      </c>
      <c r="AJ40" s="29" t="s">
        <v>104</v>
      </c>
      <c r="AK40" s="27" t="b">
        <v>1</v>
      </c>
      <c r="AL40" s="28">
        <v>45978</v>
      </c>
      <c r="AM40" s="29" t="s">
        <v>104</v>
      </c>
      <c r="AN40" s="29"/>
      <c r="AO40" s="13"/>
      <c r="AP40" s="12"/>
      <c r="AQ40" s="16"/>
      <c r="AR40" s="32"/>
      <c r="AS40" s="33"/>
      <c r="AT40" s="32"/>
      <c r="AU40" s="33"/>
      <c r="AV40" s="34"/>
      <c r="AW40" s="33"/>
      <c r="AX40" s="35" t="b">
        <v>1</v>
      </c>
      <c r="AY40" s="36">
        <f t="shared" ref="AY40:AY54" si="19">IF(MOD(H40,4)=0,H40/4,ROUNDUP(H40/4,0))</f>
        <v>282405438</v>
      </c>
      <c r="AZ40" s="37"/>
      <c r="BA40" s="38"/>
      <c r="BB40" s="37"/>
      <c r="BC40" s="38"/>
      <c r="BD40" s="37"/>
      <c r="BE40" s="38"/>
      <c r="BF40" s="37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5" t="b">
        <v>1</v>
      </c>
      <c r="BU40" s="36">
        <f t="shared" ref="BU40:BU54" si="20">IF(MOD(H40,4)=0,H40/4,ROUNDDOWN(H40/4,0))</f>
        <v>282405437</v>
      </c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5" t="b">
        <v>1</v>
      </c>
      <c r="CK40" s="36">
        <f t="shared" ref="CK40:CK54" si="21">IF(MOD(H40,4)=0,H40/4,ROUNDUP(H40/4,0))</f>
        <v>282405438</v>
      </c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</row>
    <row r="41" spans="1:101" ht="32.25" customHeight="1" x14ac:dyDescent="0.25">
      <c r="A41" s="12">
        <f t="shared" si="0"/>
        <v>40</v>
      </c>
      <c r="B41" s="13" t="s">
        <v>251</v>
      </c>
      <c r="C41" s="13" t="s">
        <v>95</v>
      </c>
      <c r="D41" s="14" t="s">
        <v>311</v>
      </c>
      <c r="E41" s="15" t="s">
        <v>312</v>
      </c>
      <c r="F41" s="15" t="s">
        <v>313</v>
      </c>
      <c r="G41" s="16">
        <v>58</v>
      </c>
      <c r="H41" s="17">
        <v>113549500</v>
      </c>
      <c r="I41" s="18"/>
      <c r="J41" s="18"/>
      <c r="K41" s="18"/>
      <c r="L41" s="18" t="s">
        <v>99</v>
      </c>
      <c r="M41" s="19">
        <v>17103</v>
      </c>
      <c r="N41" s="20" t="s">
        <v>100</v>
      </c>
      <c r="O41" s="13" t="b">
        <v>1</v>
      </c>
      <c r="P41" s="20" t="b">
        <v>1</v>
      </c>
      <c r="Q41" s="20" t="b">
        <v>1</v>
      </c>
      <c r="R41" s="13" t="b">
        <v>1</v>
      </c>
      <c r="S41" s="13" t="b">
        <v>1</v>
      </c>
      <c r="T41" s="13" t="b">
        <v>1</v>
      </c>
      <c r="U41" s="13" t="b">
        <v>1</v>
      </c>
      <c r="V41" s="13" t="b">
        <v>1</v>
      </c>
      <c r="W41" s="13" t="b">
        <v>1</v>
      </c>
      <c r="X41" s="13" t="b">
        <v>1</v>
      </c>
      <c r="Y41" s="21" t="s">
        <v>101</v>
      </c>
      <c r="Z41" s="21" t="s">
        <v>314</v>
      </c>
      <c r="AA41" s="21" t="s">
        <v>315</v>
      </c>
      <c r="AB41" s="22"/>
      <c r="AC41" s="23"/>
      <c r="AD41" s="13"/>
      <c r="AE41" s="13" t="b">
        <v>1</v>
      </c>
      <c r="AF41" s="48">
        <v>45870</v>
      </c>
      <c r="AG41" s="26"/>
      <c r="AH41" s="27" t="b">
        <v>1</v>
      </c>
      <c r="AI41" s="28">
        <v>45938</v>
      </c>
      <c r="AJ41" s="54" t="s">
        <v>104</v>
      </c>
      <c r="AK41" s="27" t="b">
        <v>1</v>
      </c>
      <c r="AL41" s="28">
        <v>45978</v>
      </c>
      <c r="AM41" s="29" t="s">
        <v>104</v>
      </c>
      <c r="AN41" s="29"/>
      <c r="AO41" s="13"/>
      <c r="AP41" s="12"/>
      <c r="AQ41" s="16"/>
      <c r="AR41" s="32"/>
      <c r="AS41" s="33"/>
      <c r="AT41" s="32"/>
      <c r="AU41" s="33"/>
      <c r="AV41" s="34"/>
      <c r="AW41" s="33"/>
      <c r="AX41" s="35" t="b">
        <v>1</v>
      </c>
      <c r="AY41" s="36">
        <f t="shared" si="19"/>
        <v>28387375</v>
      </c>
      <c r="AZ41" s="37"/>
      <c r="BA41" s="38"/>
      <c r="BB41" s="37"/>
      <c r="BC41" s="38"/>
      <c r="BD41" s="37"/>
      <c r="BE41" s="38"/>
      <c r="BF41" s="37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5" t="b">
        <v>1</v>
      </c>
      <c r="BU41" s="36">
        <f t="shared" si="20"/>
        <v>28387375</v>
      </c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5" t="b">
        <v>1</v>
      </c>
      <c r="CK41" s="36">
        <f t="shared" si="21"/>
        <v>28387375</v>
      </c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</row>
    <row r="42" spans="1:101" ht="32.25" customHeight="1" x14ac:dyDescent="0.25">
      <c r="A42" s="12">
        <f t="shared" si="0"/>
        <v>41</v>
      </c>
      <c r="B42" s="13" t="s">
        <v>251</v>
      </c>
      <c r="C42" s="13" t="s">
        <v>95</v>
      </c>
      <c r="D42" s="14" t="s">
        <v>316</v>
      </c>
      <c r="E42" s="15" t="s">
        <v>317</v>
      </c>
      <c r="F42" s="15" t="s">
        <v>318</v>
      </c>
      <c r="G42" s="16">
        <v>1596</v>
      </c>
      <c r="H42" s="17">
        <v>3124569000</v>
      </c>
      <c r="I42" s="18"/>
      <c r="J42" s="18"/>
      <c r="K42" s="18"/>
      <c r="L42" s="18" t="s">
        <v>99</v>
      </c>
      <c r="M42" s="19">
        <v>17104</v>
      </c>
      <c r="N42" s="20" t="s">
        <v>100</v>
      </c>
      <c r="O42" s="13" t="b">
        <v>1</v>
      </c>
      <c r="P42" s="20" t="b">
        <v>1</v>
      </c>
      <c r="Q42" s="20" t="b">
        <v>1</v>
      </c>
      <c r="R42" s="13" t="b">
        <v>1</v>
      </c>
      <c r="S42" s="13" t="b">
        <v>1</v>
      </c>
      <c r="T42" s="13" t="b">
        <v>1</v>
      </c>
      <c r="U42" s="13" t="b">
        <v>1</v>
      </c>
      <c r="V42" s="13" t="b">
        <v>1</v>
      </c>
      <c r="W42" s="13" t="b">
        <v>1</v>
      </c>
      <c r="X42" s="13" t="b">
        <v>1</v>
      </c>
      <c r="Y42" s="21" t="s">
        <v>101</v>
      </c>
      <c r="Z42" s="21" t="s">
        <v>319</v>
      </c>
      <c r="AA42" s="21" t="s">
        <v>320</v>
      </c>
      <c r="AB42" s="22"/>
      <c r="AC42" s="23"/>
      <c r="AD42" s="13"/>
      <c r="AE42" s="13" t="b">
        <v>1</v>
      </c>
      <c r="AF42" s="48">
        <v>45870</v>
      </c>
      <c r="AG42" s="26"/>
      <c r="AH42" s="27" t="b">
        <v>1</v>
      </c>
      <c r="AI42" s="28">
        <v>45938</v>
      </c>
      <c r="AJ42" s="29" t="s">
        <v>104</v>
      </c>
      <c r="AK42" s="27" t="b">
        <v>1</v>
      </c>
      <c r="AL42" s="28">
        <v>45978</v>
      </c>
      <c r="AM42" s="29" t="s">
        <v>104</v>
      </c>
      <c r="AN42" s="29"/>
      <c r="AO42" s="13"/>
      <c r="AP42" s="12"/>
      <c r="AQ42" s="16"/>
      <c r="AR42" s="32"/>
      <c r="AS42" s="33"/>
      <c r="AT42" s="32"/>
      <c r="AU42" s="33"/>
      <c r="AV42" s="34"/>
      <c r="AW42" s="33"/>
      <c r="AX42" s="35" t="b">
        <v>1</v>
      </c>
      <c r="AY42" s="36">
        <f t="shared" si="19"/>
        <v>781142250</v>
      </c>
      <c r="AZ42" s="37"/>
      <c r="BA42" s="38"/>
      <c r="BB42" s="37"/>
      <c r="BC42" s="38"/>
      <c r="BD42" s="37"/>
      <c r="BE42" s="38"/>
      <c r="BF42" s="37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5" t="b">
        <v>1</v>
      </c>
      <c r="BU42" s="36">
        <f t="shared" si="20"/>
        <v>781142250</v>
      </c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5" t="b">
        <v>1</v>
      </c>
      <c r="CK42" s="36">
        <f t="shared" si="21"/>
        <v>781142250</v>
      </c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</row>
    <row r="43" spans="1:101" ht="32.25" customHeight="1" x14ac:dyDescent="0.25">
      <c r="A43" s="12">
        <f t="shared" si="0"/>
        <v>42</v>
      </c>
      <c r="B43" s="13" t="s">
        <v>251</v>
      </c>
      <c r="C43" s="13" t="s">
        <v>95</v>
      </c>
      <c r="D43" s="14" t="s">
        <v>321</v>
      </c>
      <c r="E43" s="15" t="s">
        <v>322</v>
      </c>
      <c r="F43" s="15" t="s">
        <v>323</v>
      </c>
      <c r="G43" s="16">
        <v>419</v>
      </c>
      <c r="H43" s="17">
        <v>820297250</v>
      </c>
      <c r="I43" s="18"/>
      <c r="J43" s="18"/>
      <c r="K43" s="18"/>
      <c r="L43" s="18" t="s">
        <v>99</v>
      </c>
      <c r="M43" s="19">
        <v>17105</v>
      </c>
      <c r="N43" s="20" t="s">
        <v>100</v>
      </c>
      <c r="O43" s="13" t="b">
        <v>1</v>
      </c>
      <c r="P43" s="20" t="b">
        <v>1</v>
      </c>
      <c r="Q43" s="20" t="b">
        <v>1</v>
      </c>
      <c r="R43" s="13" t="b">
        <v>1</v>
      </c>
      <c r="S43" s="13" t="b">
        <v>1</v>
      </c>
      <c r="T43" s="13" t="b">
        <v>1</v>
      </c>
      <c r="U43" s="13" t="b">
        <v>1</v>
      </c>
      <c r="V43" s="13" t="b">
        <v>1</v>
      </c>
      <c r="W43" s="13" t="b">
        <v>1</v>
      </c>
      <c r="X43" s="13" t="b">
        <v>1</v>
      </c>
      <c r="Y43" s="21" t="s">
        <v>101</v>
      </c>
      <c r="Z43" s="21" t="s">
        <v>324</v>
      </c>
      <c r="AA43" s="21" t="s">
        <v>325</v>
      </c>
      <c r="AB43" s="22"/>
      <c r="AC43" s="23"/>
      <c r="AD43" s="13"/>
      <c r="AE43" s="13" t="b">
        <v>1</v>
      </c>
      <c r="AF43" s="48">
        <v>45870</v>
      </c>
      <c r="AG43" s="26"/>
      <c r="AH43" s="27" t="b">
        <v>1</v>
      </c>
      <c r="AI43" s="28">
        <v>45938</v>
      </c>
      <c r="AJ43" s="29" t="s">
        <v>104</v>
      </c>
      <c r="AK43" s="27" t="b">
        <v>1</v>
      </c>
      <c r="AL43" s="28">
        <v>45978</v>
      </c>
      <c r="AM43" s="29" t="s">
        <v>104</v>
      </c>
      <c r="AN43" s="29"/>
      <c r="AO43" s="13"/>
      <c r="AP43" s="12"/>
      <c r="AQ43" s="16"/>
      <c r="AR43" s="32"/>
      <c r="AS43" s="33"/>
      <c r="AT43" s="32"/>
      <c r="AU43" s="33"/>
      <c r="AV43" s="34"/>
      <c r="AW43" s="33"/>
      <c r="AX43" s="35" t="b">
        <v>1</v>
      </c>
      <c r="AY43" s="36">
        <f t="shared" si="19"/>
        <v>205074313</v>
      </c>
      <c r="AZ43" s="37"/>
      <c r="BA43" s="38"/>
      <c r="BB43" s="37"/>
      <c r="BC43" s="38"/>
      <c r="BD43" s="37"/>
      <c r="BE43" s="38"/>
      <c r="BF43" s="37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5" t="b">
        <v>1</v>
      </c>
      <c r="BU43" s="36">
        <f t="shared" si="20"/>
        <v>205074312</v>
      </c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5" t="b">
        <v>1</v>
      </c>
      <c r="CK43" s="36">
        <f t="shared" si="21"/>
        <v>205074313</v>
      </c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</row>
    <row r="44" spans="1:101" ht="32.25" customHeight="1" x14ac:dyDescent="0.25">
      <c r="A44" s="12">
        <f t="shared" si="0"/>
        <v>43</v>
      </c>
      <c r="B44" s="13" t="s">
        <v>251</v>
      </c>
      <c r="C44" s="13" t="s">
        <v>95</v>
      </c>
      <c r="D44" s="14" t="s">
        <v>326</v>
      </c>
      <c r="E44" s="15" t="s">
        <v>327</v>
      </c>
      <c r="F44" s="15" t="s">
        <v>328</v>
      </c>
      <c r="G44" s="16">
        <v>124</v>
      </c>
      <c r="H44" s="17">
        <v>242761000</v>
      </c>
      <c r="I44" s="18"/>
      <c r="J44" s="18"/>
      <c r="K44" s="18"/>
      <c r="L44" s="18" t="s">
        <v>99</v>
      </c>
      <c r="M44" s="19">
        <v>17106</v>
      </c>
      <c r="N44" s="20" t="s">
        <v>100</v>
      </c>
      <c r="O44" s="13" t="b">
        <v>1</v>
      </c>
      <c r="P44" s="20" t="b">
        <v>1</v>
      </c>
      <c r="Q44" s="20" t="b">
        <v>1</v>
      </c>
      <c r="R44" s="13" t="b">
        <v>1</v>
      </c>
      <c r="S44" s="13" t="b">
        <v>1</v>
      </c>
      <c r="T44" s="13" t="b">
        <v>1</v>
      </c>
      <c r="U44" s="13" t="b">
        <v>1</v>
      </c>
      <c r="V44" s="13" t="b">
        <v>1</v>
      </c>
      <c r="W44" s="13" t="b">
        <v>1</v>
      </c>
      <c r="X44" s="13" t="b">
        <v>1</v>
      </c>
      <c r="Y44" s="21" t="s">
        <v>101</v>
      </c>
      <c r="Z44" s="21" t="s">
        <v>329</v>
      </c>
      <c r="AA44" s="21" t="s">
        <v>330</v>
      </c>
      <c r="AB44" s="22"/>
      <c r="AC44" s="23"/>
      <c r="AD44" s="13"/>
      <c r="AE44" s="13" t="b">
        <v>1</v>
      </c>
      <c r="AF44" s="48">
        <v>45870</v>
      </c>
      <c r="AG44" s="26"/>
      <c r="AH44" s="27" t="b">
        <v>1</v>
      </c>
      <c r="AI44" s="28">
        <v>45938</v>
      </c>
      <c r="AJ44" s="29" t="s">
        <v>104</v>
      </c>
      <c r="AK44" s="27" t="b">
        <v>1</v>
      </c>
      <c r="AL44" s="28">
        <v>45978</v>
      </c>
      <c r="AM44" s="29" t="s">
        <v>104</v>
      </c>
      <c r="AN44" s="29"/>
      <c r="AO44" s="13"/>
      <c r="AP44" s="12"/>
      <c r="AQ44" s="16"/>
      <c r="AR44" s="12"/>
      <c r="AS44" s="33"/>
      <c r="AT44" s="32"/>
      <c r="AU44" s="33"/>
      <c r="AV44" s="34"/>
      <c r="AW44" s="33"/>
      <c r="AX44" s="35" t="b">
        <v>1</v>
      </c>
      <c r="AY44" s="36">
        <f t="shared" si="19"/>
        <v>60690250</v>
      </c>
      <c r="AZ44" s="37"/>
      <c r="BA44" s="38"/>
      <c r="BB44" s="37"/>
      <c r="BC44" s="38"/>
      <c r="BD44" s="37"/>
      <c r="BE44" s="38"/>
      <c r="BF44" s="37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5" t="b">
        <v>1</v>
      </c>
      <c r="BU44" s="36">
        <f t="shared" si="20"/>
        <v>60690250</v>
      </c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5" t="b">
        <v>1</v>
      </c>
      <c r="CK44" s="36">
        <f t="shared" si="21"/>
        <v>60690250</v>
      </c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</row>
    <row r="45" spans="1:101" ht="32.25" customHeight="1" x14ac:dyDescent="0.25">
      <c r="A45" s="12">
        <f t="shared" si="0"/>
        <v>44</v>
      </c>
      <c r="B45" s="13" t="s">
        <v>251</v>
      </c>
      <c r="C45" s="13" t="s">
        <v>95</v>
      </c>
      <c r="D45" s="14" t="s">
        <v>331</v>
      </c>
      <c r="E45" s="15" t="s">
        <v>332</v>
      </c>
      <c r="F45" s="15" t="s">
        <v>333</v>
      </c>
      <c r="G45" s="16">
        <v>34</v>
      </c>
      <c r="H45" s="17">
        <v>66563500</v>
      </c>
      <c r="I45" s="18"/>
      <c r="J45" s="18"/>
      <c r="K45" s="18"/>
      <c r="L45" s="18" t="s">
        <v>99</v>
      </c>
      <c r="M45" s="19">
        <v>17107</v>
      </c>
      <c r="N45" s="20" t="s">
        <v>100</v>
      </c>
      <c r="O45" s="13" t="b">
        <v>1</v>
      </c>
      <c r="P45" s="20" t="b">
        <v>1</v>
      </c>
      <c r="Q45" s="20" t="b">
        <v>1</v>
      </c>
      <c r="R45" s="13" t="b">
        <v>1</v>
      </c>
      <c r="S45" s="13" t="b">
        <v>1</v>
      </c>
      <c r="T45" s="13" t="b">
        <v>1</v>
      </c>
      <c r="U45" s="13" t="b">
        <v>1</v>
      </c>
      <c r="V45" s="13" t="b">
        <v>1</v>
      </c>
      <c r="W45" s="13" t="b">
        <v>1</v>
      </c>
      <c r="X45" s="13" t="b">
        <v>1</v>
      </c>
      <c r="Y45" s="21" t="s">
        <v>101</v>
      </c>
      <c r="Z45" s="21" t="s">
        <v>334</v>
      </c>
      <c r="AA45" s="21" t="s">
        <v>335</v>
      </c>
      <c r="AB45" s="22"/>
      <c r="AC45" s="23"/>
      <c r="AD45" s="13"/>
      <c r="AE45" s="13" t="b">
        <v>1</v>
      </c>
      <c r="AF45" s="48">
        <v>45870</v>
      </c>
      <c r="AG45" s="26"/>
      <c r="AH45" s="27" t="b">
        <v>1</v>
      </c>
      <c r="AI45" s="28">
        <v>45938</v>
      </c>
      <c r="AJ45" s="29" t="s">
        <v>104</v>
      </c>
      <c r="AK45" s="27" t="b">
        <v>1</v>
      </c>
      <c r="AL45" s="28">
        <v>45978</v>
      </c>
      <c r="AM45" s="29" t="s">
        <v>104</v>
      </c>
      <c r="AN45" s="29"/>
      <c r="AO45" s="13"/>
      <c r="AP45" s="12"/>
      <c r="AQ45" s="16"/>
      <c r="AR45" s="12"/>
      <c r="AS45" s="33"/>
      <c r="AT45" s="32"/>
      <c r="AU45" s="33"/>
      <c r="AV45" s="34"/>
      <c r="AW45" s="33"/>
      <c r="AX45" s="35" t="b">
        <v>1</v>
      </c>
      <c r="AY45" s="36">
        <f t="shared" si="19"/>
        <v>16640875</v>
      </c>
      <c r="AZ45" s="37"/>
      <c r="BA45" s="38"/>
      <c r="BB45" s="37"/>
      <c r="BC45" s="38"/>
      <c r="BD45" s="37"/>
      <c r="BE45" s="38"/>
      <c r="BF45" s="37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5" t="b">
        <v>1</v>
      </c>
      <c r="BU45" s="36">
        <f t="shared" si="20"/>
        <v>16640875</v>
      </c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5" t="b">
        <v>1</v>
      </c>
      <c r="CK45" s="36">
        <f t="shared" si="21"/>
        <v>16640875</v>
      </c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</row>
    <row r="46" spans="1:101" ht="32.25" customHeight="1" x14ac:dyDescent="0.25">
      <c r="A46" s="12">
        <f t="shared" si="0"/>
        <v>45</v>
      </c>
      <c r="B46" s="13" t="s">
        <v>251</v>
      </c>
      <c r="C46" s="13" t="s">
        <v>95</v>
      </c>
      <c r="D46" s="14" t="s">
        <v>336</v>
      </c>
      <c r="E46" s="15" t="s">
        <v>337</v>
      </c>
      <c r="F46" s="15" t="s">
        <v>338</v>
      </c>
      <c r="G46" s="16">
        <v>111</v>
      </c>
      <c r="H46" s="17">
        <v>217310250</v>
      </c>
      <c r="I46" s="18"/>
      <c r="J46" s="18"/>
      <c r="K46" s="18"/>
      <c r="L46" s="18" t="s">
        <v>99</v>
      </c>
      <c r="M46" s="19">
        <v>17108</v>
      </c>
      <c r="N46" s="20" t="s">
        <v>100</v>
      </c>
      <c r="O46" s="13" t="b">
        <v>1</v>
      </c>
      <c r="P46" s="20" t="b">
        <v>1</v>
      </c>
      <c r="Q46" s="20" t="b">
        <v>1</v>
      </c>
      <c r="R46" s="13" t="b">
        <v>1</v>
      </c>
      <c r="S46" s="13" t="b">
        <v>1</v>
      </c>
      <c r="T46" s="13" t="b">
        <v>1</v>
      </c>
      <c r="U46" s="13" t="b">
        <v>1</v>
      </c>
      <c r="V46" s="13" t="b">
        <v>1</v>
      </c>
      <c r="W46" s="13" t="b">
        <v>1</v>
      </c>
      <c r="X46" s="13" t="b">
        <v>1</v>
      </c>
      <c r="Y46" s="21" t="s">
        <v>101</v>
      </c>
      <c r="Z46" s="21" t="s">
        <v>339</v>
      </c>
      <c r="AA46" s="21" t="s">
        <v>340</v>
      </c>
      <c r="AB46" s="22"/>
      <c r="AC46" s="23"/>
      <c r="AD46" s="13"/>
      <c r="AE46" s="13" t="b">
        <v>1</v>
      </c>
      <c r="AF46" s="48">
        <v>45870</v>
      </c>
      <c r="AG46" s="26"/>
      <c r="AH46" s="27" t="b">
        <v>1</v>
      </c>
      <c r="AI46" s="28">
        <v>45938</v>
      </c>
      <c r="AJ46" s="29" t="s">
        <v>104</v>
      </c>
      <c r="AK46" s="27" t="b">
        <v>1</v>
      </c>
      <c r="AL46" s="28">
        <v>45978</v>
      </c>
      <c r="AM46" s="29" t="s">
        <v>104</v>
      </c>
      <c r="AN46" s="29"/>
      <c r="AO46" s="13"/>
      <c r="AP46" s="12"/>
      <c r="AQ46" s="16"/>
      <c r="AR46" s="32"/>
      <c r="AS46" s="33"/>
      <c r="AT46" s="32"/>
      <c r="AU46" s="33"/>
      <c r="AV46" s="34"/>
      <c r="AW46" s="33"/>
      <c r="AX46" s="35" t="b">
        <v>1</v>
      </c>
      <c r="AY46" s="36">
        <f t="shared" si="19"/>
        <v>54327563</v>
      </c>
      <c r="AZ46" s="37"/>
      <c r="BA46" s="38"/>
      <c r="BB46" s="37"/>
      <c r="BC46" s="38"/>
      <c r="BD46" s="37"/>
      <c r="BE46" s="38"/>
      <c r="BF46" s="37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5" t="b">
        <v>1</v>
      </c>
      <c r="BU46" s="36">
        <f t="shared" si="20"/>
        <v>54327562</v>
      </c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5" t="b">
        <v>1</v>
      </c>
      <c r="CK46" s="36">
        <f t="shared" si="21"/>
        <v>54327563</v>
      </c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</row>
    <row r="47" spans="1:101" ht="32.25" customHeight="1" x14ac:dyDescent="0.25">
      <c r="A47" s="12">
        <f t="shared" si="0"/>
        <v>46</v>
      </c>
      <c r="B47" s="13" t="s">
        <v>251</v>
      </c>
      <c r="C47" s="13" t="s">
        <v>95</v>
      </c>
      <c r="D47" s="14" t="s">
        <v>341</v>
      </c>
      <c r="E47" s="15" t="s">
        <v>342</v>
      </c>
      <c r="F47" s="15" t="s">
        <v>343</v>
      </c>
      <c r="G47" s="16">
        <v>879</v>
      </c>
      <c r="H47" s="17">
        <v>1720862250</v>
      </c>
      <c r="I47" s="18"/>
      <c r="J47" s="18"/>
      <c r="K47" s="18"/>
      <c r="L47" s="18" t="s">
        <v>99</v>
      </c>
      <c r="M47" s="19">
        <v>17109</v>
      </c>
      <c r="N47" s="20" t="s">
        <v>100</v>
      </c>
      <c r="O47" s="13" t="b">
        <v>1</v>
      </c>
      <c r="P47" s="20" t="b">
        <v>1</v>
      </c>
      <c r="Q47" s="20" t="b">
        <v>1</v>
      </c>
      <c r="R47" s="13" t="b">
        <v>1</v>
      </c>
      <c r="S47" s="13" t="b">
        <v>1</v>
      </c>
      <c r="T47" s="13" t="b">
        <v>1</v>
      </c>
      <c r="U47" s="13" t="b">
        <v>1</v>
      </c>
      <c r="V47" s="13" t="b">
        <v>1</v>
      </c>
      <c r="W47" s="13" t="b">
        <v>1</v>
      </c>
      <c r="X47" s="13" t="b">
        <v>0</v>
      </c>
      <c r="Y47" s="21" t="s">
        <v>101</v>
      </c>
      <c r="Z47" s="21" t="s">
        <v>344</v>
      </c>
      <c r="AA47" s="21" t="s">
        <v>345</v>
      </c>
      <c r="AB47" s="22"/>
      <c r="AC47" s="23"/>
      <c r="AD47" s="13"/>
      <c r="AE47" s="13" t="b">
        <v>1</v>
      </c>
      <c r="AF47" s="48">
        <v>45870</v>
      </c>
      <c r="AG47" s="26"/>
      <c r="AH47" s="27" t="b">
        <v>1</v>
      </c>
      <c r="AI47" s="28">
        <v>45938</v>
      </c>
      <c r="AJ47" s="29" t="s">
        <v>104</v>
      </c>
      <c r="AK47" s="27" t="b">
        <v>1</v>
      </c>
      <c r="AL47" s="40">
        <v>45980</v>
      </c>
      <c r="AM47" s="29" t="s">
        <v>104</v>
      </c>
      <c r="AN47" s="29"/>
      <c r="AO47" s="13"/>
      <c r="AP47" s="12"/>
      <c r="AQ47" s="16"/>
      <c r="AR47" s="32"/>
      <c r="AS47" s="33"/>
      <c r="AT47" s="32"/>
      <c r="AU47" s="33"/>
      <c r="AV47" s="34"/>
      <c r="AW47" s="33"/>
      <c r="AX47" s="35" t="b">
        <v>1</v>
      </c>
      <c r="AY47" s="36">
        <f t="shared" si="19"/>
        <v>430215563</v>
      </c>
      <c r="AZ47" s="37"/>
      <c r="BA47" s="38"/>
      <c r="BB47" s="37"/>
      <c r="BC47" s="38"/>
      <c r="BD47" s="37"/>
      <c r="BE47" s="38"/>
      <c r="BF47" s="37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5" t="b">
        <v>1</v>
      </c>
      <c r="BU47" s="36">
        <f t="shared" si="20"/>
        <v>430215562</v>
      </c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5" t="b">
        <v>1</v>
      </c>
      <c r="CK47" s="36">
        <f t="shared" si="21"/>
        <v>430215563</v>
      </c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</row>
    <row r="48" spans="1:101" ht="32.25" customHeight="1" x14ac:dyDescent="0.25">
      <c r="A48" s="12">
        <f t="shared" si="0"/>
        <v>47</v>
      </c>
      <c r="B48" s="13" t="s">
        <v>251</v>
      </c>
      <c r="C48" s="13" t="s">
        <v>95</v>
      </c>
      <c r="D48" s="14" t="s">
        <v>346</v>
      </c>
      <c r="E48" s="15" t="s">
        <v>347</v>
      </c>
      <c r="F48" s="15" t="s">
        <v>348</v>
      </c>
      <c r="G48" s="16">
        <v>508</v>
      </c>
      <c r="H48" s="17">
        <v>994537000</v>
      </c>
      <c r="I48" s="18"/>
      <c r="J48" s="18"/>
      <c r="K48" s="18"/>
      <c r="L48" s="18" t="s">
        <v>99</v>
      </c>
      <c r="M48" s="19">
        <v>17110</v>
      </c>
      <c r="N48" s="20" t="s">
        <v>100</v>
      </c>
      <c r="O48" s="13" t="b">
        <v>1</v>
      </c>
      <c r="P48" s="20" t="b">
        <v>1</v>
      </c>
      <c r="Q48" s="20" t="b">
        <v>1</v>
      </c>
      <c r="R48" s="13" t="b">
        <v>1</v>
      </c>
      <c r="S48" s="13" t="b">
        <v>1</v>
      </c>
      <c r="T48" s="13" t="b">
        <v>1</v>
      </c>
      <c r="U48" s="13" t="b">
        <v>1</v>
      </c>
      <c r="V48" s="13" t="b">
        <v>1</v>
      </c>
      <c r="W48" s="13" t="b">
        <v>1</v>
      </c>
      <c r="X48" s="13" t="b">
        <v>1</v>
      </c>
      <c r="Y48" s="21" t="s">
        <v>101</v>
      </c>
      <c r="Z48" s="21" t="s">
        <v>349</v>
      </c>
      <c r="AA48" s="21" t="s">
        <v>350</v>
      </c>
      <c r="AB48" s="22"/>
      <c r="AC48" s="23"/>
      <c r="AD48" s="13"/>
      <c r="AE48" s="13" t="b">
        <v>1</v>
      </c>
      <c r="AF48" s="48">
        <v>45876</v>
      </c>
      <c r="AG48" s="26"/>
      <c r="AH48" s="27" t="b">
        <v>1</v>
      </c>
      <c r="AI48" s="28">
        <v>45938</v>
      </c>
      <c r="AJ48" s="29" t="s">
        <v>104</v>
      </c>
      <c r="AK48" s="27" t="b">
        <v>1</v>
      </c>
      <c r="AL48" s="28">
        <v>45978</v>
      </c>
      <c r="AM48" s="29" t="s">
        <v>104</v>
      </c>
      <c r="AN48" s="29"/>
      <c r="AO48" s="13"/>
      <c r="AP48" s="12"/>
      <c r="AQ48" s="16"/>
      <c r="AR48" s="32"/>
      <c r="AS48" s="33"/>
      <c r="AT48" s="32"/>
      <c r="AU48" s="33"/>
      <c r="AV48" s="34"/>
      <c r="AW48" s="33"/>
      <c r="AX48" s="35" t="b">
        <v>1</v>
      </c>
      <c r="AY48" s="36">
        <f t="shared" si="19"/>
        <v>248634250</v>
      </c>
      <c r="AZ48" s="37"/>
      <c r="BA48" s="38"/>
      <c r="BB48" s="37"/>
      <c r="BC48" s="38"/>
      <c r="BD48" s="37"/>
      <c r="BE48" s="38"/>
      <c r="BF48" s="37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5" t="b">
        <v>1</v>
      </c>
      <c r="BU48" s="36">
        <f t="shared" si="20"/>
        <v>248634250</v>
      </c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5" t="b">
        <v>1</v>
      </c>
      <c r="CK48" s="36">
        <f t="shared" si="21"/>
        <v>248634250</v>
      </c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</row>
    <row r="49" spans="1:101" ht="32.25" customHeight="1" x14ac:dyDescent="0.25">
      <c r="A49" s="12">
        <f t="shared" si="0"/>
        <v>48</v>
      </c>
      <c r="B49" s="13" t="s">
        <v>251</v>
      </c>
      <c r="C49" s="13" t="s">
        <v>95</v>
      </c>
      <c r="D49" s="14" t="s">
        <v>351</v>
      </c>
      <c r="E49" s="15" t="s">
        <v>352</v>
      </c>
      <c r="F49" s="15" t="s">
        <v>353</v>
      </c>
      <c r="G49" s="16">
        <v>1000</v>
      </c>
      <c r="H49" s="17">
        <v>1957750000</v>
      </c>
      <c r="I49" s="18"/>
      <c r="J49" s="18"/>
      <c r="K49" s="18"/>
      <c r="L49" s="18" t="s">
        <v>99</v>
      </c>
      <c r="M49" s="19">
        <v>17111</v>
      </c>
      <c r="N49" s="20" t="s">
        <v>100</v>
      </c>
      <c r="O49" s="13" t="b">
        <v>1</v>
      </c>
      <c r="P49" s="20" t="b">
        <v>1</v>
      </c>
      <c r="Q49" s="20" t="b">
        <v>1</v>
      </c>
      <c r="R49" s="13" t="b">
        <v>1</v>
      </c>
      <c r="S49" s="13" t="b">
        <v>1</v>
      </c>
      <c r="T49" s="13" t="b">
        <v>1</v>
      </c>
      <c r="U49" s="13" t="b">
        <v>1</v>
      </c>
      <c r="V49" s="13" t="b">
        <v>1</v>
      </c>
      <c r="W49" s="13" t="b">
        <v>1</v>
      </c>
      <c r="X49" s="13" t="b">
        <v>1</v>
      </c>
      <c r="Y49" s="21" t="s">
        <v>101</v>
      </c>
      <c r="Z49" s="21" t="s">
        <v>354</v>
      </c>
      <c r="AA49" s="21" t="s">
        <v>355</v>
      </c>
      <c r="AB49" s="22"/>
      <c r="AC49" s="23"/>
      <c r="AD49" s="13"/>
      <c r="AE49" s="13" t="b">
        <v>1</v>
      </c>
      <c r="AF49" s="48">
        <v>45870</v>
      </c>
      <c r="AG49" s="26"/>
      <c r="AH49" s="27" t="b">
        <v>1</v>
      </c>
      <c r="AI49" s="28">
        <v>45938</v>
      </c>
      <c r="AJ49" s="29" t="s">
        <v>104</v>
      </c>
      <c r="AK49" s="27" t="b">
        <v>1</v>
      </c>
      <c r="AL49" s="28">
        <v>45978</v>
      </c>
      <c r="AM49" s="29" t="s">
        <v>104</v>
      </c>
      <c r="AN49" s="29"/>
      <c r="AO49" s="13"/>
      <c r="AP49" s="12"/>
      <c r="AQ49" s="16"/>
      <c r="AR49" s="32"/>
      <c r="AS49" s="33"/>
      <c r="AT49" s="32"/>
      <c r="AU49" s="33"/>
      <c r="AV49" s="34"/>
      <c r="AW49" s="33"/>
      <c r="AX49" s="35" t="b">
        <v>1</v>
      </c>
      <c r="AY49" s="36">
        <f t="shared" si="19"/>
        <v>489437500</v>
      </c>
      <c r="AZ49" s="37"/>
      <c r="BA49" s="38"/>
      <c r="BB49" s="37"/>
      <c r="BC49" s="38"/>
      <c r="BD49" s="37"/>
      <c r="BE49" s="38"/>
      <c r="BF49" s="37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5" t="b">
        <v>1</v>
      </c>
      <c r="BU49" s="36">
        <f t="shared" si="20"/>
        <v>489437500</v>
      </c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5" t="b">
        <v>1</v>
      </c>
      <c r="CK49" s="36">
        <f t="shared" si="21"/>
        <v>489437500</v>
      </c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</row>
    <row r="50" spans="1:101" ht="32.25" customHeight="1" x14ac:dyDescent="0.25">
      <c r="A50" s="12">
        <f t="shared" si="0"/>
        <v>49</v>
      </c>
      <c r="B50" s="13" t="s">
        <v>251</v>
      </c>
      <c r="C50" s="13" t="s">
        <v>95</v>
      </c>
      <c r="D50" s="14" t="s">
        <v>356</v>
      </c>
      <c r="E50" s="15" t="s">
        <v>357</v>
      </c>
      <c r="F50" s="15" t="s">
        <v>358</v>
      </c>
      <c r="G50" s="16">
        <v>280</v>
      </c>
      <c r="H50" s="17">
        <v>548170000</v>
      </c>
      <c r="I50" s="18"/>
      <c r="J50" s="18"/>
      <c r="K50" s="18"/>
      <c r="L50" s="18" t="s">
        <v>99</v>
      </c>
      <c r="M50" s="19">
        <v>17112</v>
      </c>
      <c r="N50" s="20" t="s">
        <v>100</v>
      </c>
      <c r="O50" s="13" t="b">
        <v>1</v>
      </c>
      <c r="P50" s="20" t="b">
        <v>1</v>
      </c>
      <c r="Q50" s="20" t="b">
        <v>1</v>
      </c>
      <c r="R50" s="13" t="b">
        <v>1</v>
      </c>
      <c r="S50" s="13" t="b">
        <v>1</v>
      </c>
      <c r="T50" s="13" t="b">
        <v>1</v>
      </c>
      <c r="U50" s="13" t="b">
        <v>1</v>
      </c>
      <c r="V50" s="13" t="b">
        <v>1</v>
      </c>
      <c r="W50" s="13" t="b">
        <v>1</v>
      </c>
      <c r="X50" s="13" t="b">
        <v>1</v>
      </c>
      <c r="Y50" s="21" t="s">
        <v>101</v>
      </c>
      <c r="Z50" s="21" t="s">
        <v>359</v>
      </c>
      <c r="AA50" s="21" t="s">
        <v>360</v>
      </c>
      <c r="AB50" s="22"/>
      <c r="AC50" s="23"/>
      <c r="AD50" s="13"/>
      <c r="AE50" s="13" t="b">
        <v>1</v>
      </c>
      <c r="AF50" s="48">
        <v>45870</v>
      </c>
      <c r="AG50" s="26"/>
      <c r="AH50" s="27" t="b">
        <v>1</v>
      </c>
      <c r="AI50" s="28">
        <v>45938</v>
      </c>
      <c r="AJ50" s="29" t="s">
        <v>104</v>
      </c>
      <c r="AK50" s="27" t="b">
        <v>1</v>
      </c>
      <c r="AL50" s="28">
        <v>45978</v>
      </c>
      <c r="AM50" s="29" t="s">
        <v>104</v>
      </c>
      <c r="AN50" s="29"/>
      <c r="AO50" s="13"/>
      <c r="AP50" s="12"/>
      <c r="AQ50" s="16"/>
      <c r="AR50" s="32"/>
      <c r="AS50" s="33"/>
      <c r="AT50" s="32"/>
      <c r="AU50" s="33"/>
      <c r="AV50" s="34"/>
      <c r="AW50" s="33"/>
      <c r="AX50" s="35" t="b">
        <v>1</v>
      </c>
      <c r="AY50" s="36">
        <f t="shared" si="19"/>
        <v>137042500</v>
      </c>
      <c r="AZ50" s="37"/>
      <c r="BA50" s="38"/>
      <c r="BB50" s="37"/>
      <c r="BC50" s="38"/>
      <c r="BD50" s="37"/>
      <c r="BE50" s="38"/>
      <c r="BF50" s="37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5" t="b">
        <v>1</v>
      </c>
      <c r="BU50" s="36">
        <f t="shared" si="20"/>
        <v>137042500</v>
      </c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5" t="b">
        <v>1</v>
      </c>
      <c r="CK50" s="36">
        <f t="shared" si="21"/>
        <v>137042500</v>
      </c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</row>
    <row r="51" spans="1:101" ht="32.25" customHeight="1" x14ac:dyDescent="0.25">
      <c r="A51" s="12">
        <f t="shared" si="0"/>
        <v>50</v>
      </c>
      <c r="B51" s="13" t="s">
        <v>251</v>
      </c>
      <c r="C51" s="13" t="s">
        <v>95</v>
      </c>
      <c r="D51" s="14" t="s">
        <v>361</v>
      </c>
      <c r="E51" s="15" t="s">
        <v>362</v>
      </c>
      <c r="F51" s="15" t="s">
        <v>363</v>
      </c>
      <c r="G51" s="16">
        <v>45</v>
      </c>
      <c r="H51" s="17">
        <v>88098750</v>
      </c>
      <c r="I51" s="18"/>
      <c r="J51" s="18"/>
      <c r="K51" s="18"/>
      <c r="L51" s="18" t="s">
        <v>99</v>
      </c>
      <c r="M51" s="19">
        <v>17113</v>
      </c>
      <c r="N51" s="20" t="s">
        <v>100</v>
      </c>
      <c r="O51" s="13" t="b">
        <v>1</v>
      </c>
      <c r="P51" s="20" t="b">
        <v>1</v>
      </c>
      <c r="Q51" s="20" t="b">
        <v>1</v>
      </c>
      <c r="R51" s="13" t="b">
        <v>1</v>
      </c>
      <c r="S51" s="13" t="b">
        <v>1</v>
      </c>
      <c r="T51" s="13" t="b">
        <v>1</v>
      </c>
      <c r="U51" s="13" t="b">
        <v>1</v>
      </c>
      <c r="V51" s="13" t="b">
        <v>1</v>
      </c>
      <c r="W51" s="13" t="b">
        <v>1</v>
      </c>
      <c r="X51" s="13" t="b">
        <v>0</v>
      </c>
      <c r="Y51" s="21" t="s">
        <v>101</v>
      </c>
      <c r="Z51" s="21" t="s">
        <v>364</v>
      </c>
      <c r="AA51" s="21" t="s">
        <v>365</v>
      </c>
      <c r="AB51" s="22"/>
      <c r="AC51" s="23"/>
      <c r="AD51" s="13"/>
      <c r="AE51" s="13" t="b">
        <v>1</v>
      </c>
      <c r="AF51" s="48">
        <v>45870</v>
      </c>
      <c r="AG51" s="26"/>
      <c r="AH51" s="27" t="b">
        <v>1</v>
      </c>
      <c r="AI51" s="28">
        <v>45938</v>
      </c>
      <c r="AJ51" s="29" t="s">
        <v>104</v>
      </c>
      <c r="AK51" s="27" t="b">
        <v>1</v>
      </c>
      <c r="AL51" s="28">
        <v>45978</v>
      </c>
      <c r="AM51" s="29" t="s">
        <v>104</v>
      </c>
      <c r="AN51" s="29"/>
      <c r="AO51" s="13"/>
      <c r="AP51" s="12"/>
      <c r="AQ51" s="16"/>
      <c r="AR51" s="12"/>
      <c r="AS51" s="33"/>
      <c r="AT51" s="32"/>
      <c r="AU51" s="33"/>
      <c r="AV51" s="34"/>
      <c r="AW51" s="33"/>
      <c r="AX51" s="35" t="b">
        <v>1</v>
      </c>
      <c r="AY51" s="36">
        <f t="shared" si="19"/>
        <v>22024688</v>
      </c>
      <c r="AZ51" s="37"/>
      <c r="BA51" s="38"/>
      <c r="BB51" s="37"/>
      <c r="BC51" s="38"/>
      <c r="BD51" s="37"/>
      <c r="BE51" s="38"/>
      <c r="BF51" s="37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5" t="b">
        <v>1</v>
      </c>
      <c r="BU51" s="36">
        <f t="shared" si="20"/>
        <v>22024687</v>
      </c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5" t="b">
        <v>1</v>
      </c>
      <c r="CK51" s="36">
        <f t="shared" si="21"/>
        <v>22024688</v>
      </c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</row>
    <row r="52" spans="1:101" ht="32.25" customHeight="1" x14ac:dyDescent="0.25">
      <c r="A52" s="12">
        <f t="shared" si="0"/>
        <v>51</v>
      </c>
      <c r="B52" s="13" t="s">
        <v>251</v>
      </c>
      <c r="C52" s="13" t="s">
        <v>95</v>
      </c>
      <c r="D52" s="14" t="s">
        <v>366</v>
      </c>
      <c r="E52" s="15" t="s">
        <v>367</v>
      </c>
      <c r="F52" s="15" t="s">
        <v>368</v>
      </c>
      <c r="G52" s="16">
        <v>712</v>
      </c>
      <c r="H52" s="17">
        <v>1393918000</v>
      </c>
      <c r="I52" s="18"/>
      <c r="J52" s="18"/>
      <c r="K52" s="18"/>
      <c r="L52" s="18" t="s">
        <v>99</v>
      </c>
      <c r="M52" s="19">
        <v>17114</v>
      </c>
      <c r="N52" s="20" t="s">
        <v>100</v>
      </c>
      <c r="O52" s="13" t="b">
        <v>1</v>
      </c>
      <c r="P52" s="20" t="b">
        <v>1</v>
      </c>
      <c r="Q52" s="20" t="b">
        <v>1</v>
      </c>
      <c r="R52" s="13" t="b">
        <v>1</v>
      </c>
      <c r="S52" s="13" t="b">
        <v>1</v>
      </c>
      <c r="T52" s="13" t="b">
        <v>1</v>
      </c>
      <c r="U52" s="13" t="b">
        <v>1</v>
      </c>
      <c r="V52" s="13" t="b">
        <v>1</v>
      </c>
      <c r="W52" s="13" t="b">
        <v>1</v>
      </c>
      <c r="X52" s="13" t="b">
        <v>1</v>
      </c>
      <c r="Y52" s="21" t="s">
        <v>101</v>
      </c>
      <c r="Z52" s="21" t="s">
        <v>369</v>
      </c>
      <c r="AA52" s="21" t="s">
        <v>370</v>
      </c>
      <c r="AB52" s="22"/>
      <c r="AC52" s="23"/>
      <c r="AD52" s="13"/>
      <c r="AE52" s="13" t="b">
        <v>1</v>
      </c>
      <c r="AF52" s="48">
        <v>45870</v>
      </c>
      <c r="AG52" s="26"/>
      <c r="AH52" s="27" t="b">
        <v>1</v>
      </c>
      <c r="AI52" s="28">
        <v>45938</v>
      </c>
      <c r="AJ52" s="29" t="s">
        <v>104</v>
      </c>
      <c r="AK52" s="27" t="b">
        <v>1</v>
      </c>
      <c r="AL52" s="28">
        <v>45978</v>
      </c>
      <c r="AM52" s="29" t="s">
        <v>104</v>
      </c>
      <c r="AN52" s="29"/>
      <c r="AO52" s="13"/>
      <c r="AP52" s="12"/>
      <c r="AQ52" s="16"/>
      <c r="AR52" s="12"/>
      <c r="AS52" s="33"/>
      <c r="AT52" s="32"/>
      <c r="AU52" s="33"/>
      <c r="AV52" s="34"/>
      <c r="AW52" s="33"/>
      <c r="AX52" s="35" t="b">
        <v>1</v>
      </c>
      <c r="AY52" s="36">
        <f t="shared" si="19"/>
        <v>348479500</v>
      </c>
      <c r="AZ52" s="37"/>
      <c r="BA52" s="38"/>
      <c r="BB52" s="37"/>
      <c r="BC52" s="38"/>
      <c r="BD52" s="37"/>
      <c r="BE52" s="38"/>
      <c r="BF52" s="37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5" t="b">
        <v>1</v>
      </c>
      <c r="BU52" s="36">
        <f t="shared" si="20"/>
        <v>348479500</v>
      </c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5" t="b">
        <v>1</v>
      </c>
      <c r="CK52" s="36">
        <f t="shared" si="21"/>
        <v>348479500</v>
      </c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</row>
    <row r="53" spans="1:101" ht="32.25" customHeight="1" x14ac:dyDescent="0.25">
      <c r="A53" s="12">
        <f t="shared" si="0"/>
        <v>52</v>
      </c>
      <c r="B53" s="13" t="s">
        <v>251</v>
      </c>
      <c r="C53" s="13" t="s">
        <v>95</v>
      </c>
      <c r="D53" s="14" t="s">
        <v>371</v>
      </c>
      <c r="E53" s="15" t="s">
        <v>372</v>
      </c>
      <c r="F53" s="15" t="s">
        <v>373</v>
      </c>
      <c r="G53" s="16">
        <v>73</v>
      </c>
      <c r="H53" s="17">
        <v>142915750</v>
      </c>
      <c r="I53" s="18"/>
      <c r="J53" s="18"/>
      <c r="K53" s="18"/>
      <c r="L53" s="18" t="s">
        <v>99</v>
      </c>
      <c r="M53" s="19">
        <v>17115</v>
      </c>
      <c r="N53" s="20" t="s">
        <v>100</v>
      </c>
      <c r="O53" s="13" t="b">
        <v>1</v>
      </c>
      <c r="P53" s="20" t="b">
        <v>1</v>
      </c>
      <c r="Q53" s="20" t="b">
        <v>1</v>
      </c>
      <c r="R53" s="13" t="b">
        <v>1</v>
      </c>
      <c r="S53" s="13" t="b">
        <v>1</v>
      </c>
      <c r="T53" s="13" t="b">
        <v>1</v>
      </c>
      <c r="U53" s="13" t="b">
        <v>1</v>
      </c>
      <c r="V53" s="13" t="b">
        <v>1</v>
      </c>
      <c r="W53" s="13" t="b">
        <v>1</v>
      </c>
      <c r="X53" s="13" t="b">
        <v>1</v>
      </c>
      <c r="Y53" s="21" t="s">
        <v>101</v>
      </c>
      <c r="Z53" s="21" t="s">
        <v>374</v>
      </c>
      <c r="AA53" s="21" t="s">
        <v>375</v>
      </c>
      <c r="AB53" s="22"/>
      <c r="AC53" s="23"/>
      <c r="AD53" s="13"/>
      <c r="AE53" s="13" t="b">
        <v>1</v>
      </c>
      <c r="AF53" s="48">
        <v>45870</v>
      </c>
      <c r="AG53" s="26"/>
      <c r="AH53" s="27" t="b">
        <v>1</v>
      </c>
      <c r="AI53" s="28">
        <v>45938</v>
      </c>
      <c r="AJ53" s="29" t="s">
        <v>104</v>
      </c>
      <c r="AK53" s="27" t="b">
        <v>1</v>
      </c>
      <c r="AL53" s="28">
        <v>45978</v>
      </c>
      <c r="AM53" s="29" t="s">
        <v>104</v>
      </c>
      <c r="AN53" s="29"/>
      <c r="AO53" s="13"/>
      <c r="AP53" s="12"/>
      <c r="AQ53" s="16"/>
      <c r="AR53" s="12"/>
      <c r="AS53" s="33"/>
      <c r="AT53" s="32"/>
      <c r="AU53" s="33"/>
      <c r="AV53" s="34"/>
      <c r="AW53" s="33"/>
      <c r="AX53" s="35" t="b">
        <v>1</v>
      </c>
      <c r="AY53" s="36">
        <f t="shared" si="19"/>
        <v>35728938</v>
      </c>
      <c r="AZ53" s="37"/>
      <c r="BA53" s="38"/>
      <c r="BB53" s="37"/>
      <c r="BC53" s="38"/>
      <c r="BD53" s="37"/>
      <c r="BE53" s="38"/>
      <c r="BF53" s="37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5" t="b">
        <v>1</v>
      </c>
      <c r="BU53" s="36">
        <f t="shared" si="20"/>
        <v>35728937</v>
      </c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5" t="b">
        <v>1</v>
      </c>
      <c r="CK53" s="36">
        <f t="shared" si="21"/>
        <v>35728938</v>
      </c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</row>
    <row r="54" spans="1:101" ht="32.25" customHeight="1" x14ac:dyDescent="0.25">
      <c r="A54" s="12">
        <f t="shared" si="0"/>
        <v>53</v>
      </c>
      <c r="B54" s="13" t="s">
        <v>251</v>
      </c>
      <c r="C54" s="13" t="s">
        <v>95</v>
      </c>
      <c r="D54" s="14" t="s">
        <v>376</v>
      </c>
      <c r="E54" s="15" t="s">
        <v>377</v>
      </c>
      <c r="F54" s="15" t="s">
        <v>378</v>
      </c>
      <c r="G54" s="16">
        <v>63</v>
      </c>
      <c r="H54" s="17">
        <v>123338250</v>
      </c>
      <c r="I54" s="18"/>
      <c r="J54" s="18"/>
      <c r="K54" s="18"/>
      <c r="L54" s="18" t="s">
        <v>99</v>
      </c>
      <c r="M54" s="19">
        <v>17116</v>
      </c>
      <c r="N54" s="20" t="s">
        <v>100</v>
      </c>
      <c r="O54" s="13" t="b">
        <v>1</v>
      </c>
      <c r="P54" s="20" t="b">
        <v>1</v>
      </c>
      <c r="Q54" s="20" t="b">
        <v>1</v>
      </c>
      <c r="R54" s="13" t="b">
        <v>1</v>
      </c>
      <c r="S54" s="13" t="b">
        <v>1</v>
      </c>
      <c r="T54" s="13" t="b">
        <v>1</v>
      </c>
      <c r="U54" s="13" t="b">
        <v>1</v>
      </c>
      <c r="V54" s="13" t="b">
        <v>1</v>
      </c>
      <c r="W54" s="13" t="b">
        <v>1</v>
      </c>
      <c r="X54" s="13" t="b">
        <v>0</v>
      </c>
      <c r="Y54" s="21" t="s">
        <v>101</v>
      </c>
      <c r="Z54" s="21" t="s">
        <v>379</v>
      </c>
      <c r="AA54" s="21" t="s">
        <v>380</v>
      </c>
      <c r="AB54" s="22"/>
      <c r="AC54" s="23"/>
      <c r="AD54" s="13"/>
      <c r="AE54" s="13" t="b">
        <v>1</v>
      </c>
      <c r="AF54" s="48">
        <v>45870</v>
      </c>
      <c r="AG54" s="26"/>
      <c r="AH54" s="27" t="b">
        <v>1</v>
      </c>
      <c r="AI54" s="28">
        <v>45938</v>
      </c>
      <c r="AJ54" s="29" t="s">
        <v>104</v>
      </c>
      <c r="AK54" s="27" t="b">
        <v>1</v>
      </c>
      <c r="AL54" s="28">
        <v>45978</v>
      </c>
      <c r="AM54" s="29" t="s">
        <v>104</v>
      </c>
      <c r="AN54" s="29"/>
      <c r="AO54" s="13"/>
      <c r="AP54" s="12"/>
      <c r="AQ54" s="16"/>
      <c r="AR54" s="12"/>
      <c r="AS54" s="33"/>
      <c r="AT54" s="32"/>
      <c r="AU54" s="33"/>
      <c r="AV54" s="34"/>
      <c r="AW54" s="33"/>
      <c r="AX54" s="35" t="b">
        <v>1</v>
      </c>
      <c r="AY54" s="36">
        <f t="shared" si="19"/>
        <v>30834563</v>
      </c>
      <c r="AZ54" s="37"/>
      <c r="BA54" s="38"/>
      <c r="BB54" s="37"/>
      <c r="BC54" s="38"/>
      <c r="BD54" s="37"/>
      <c r="BE54" s="38"/>
      <c r="BF54" s="37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5" t="b">
        <v>1</v>
      </c>
      <c r="BU54" s="36">
        <f t="shared" si="20"/>
        <v>30834562</v>
      </c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5" t="b">
        <v>1</v>
      </c>
      <c r="CK54" s="36">
        <f t="shared" si="21"/>
        <v>30834563</v>
      </c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</row>
    <row r="55" spans="1:101" ht="32.25" customHeight="1" x14ac:dyDescent="0.25">
      <c r="A55" s="12">
        <f t="shared" si="0"/>
        <v>54</v>
      </c>
      <c r="B55" s="13" t="s">
        <v>94</v>
      </c>
      <c r="C55" s="13" t="s">
        <v>381</v>
      </c>
      <c r="D55" s="14" t="s">
        <v>382</v>
      </c>
      <c r="E55" s="15" t="s">
        <v>383</v>
      </c>
      <c r="F55" s="15" t="s">
        <v>384</v>
      </c>
      <c r="G55" s="16">
        <v>1</v>
      </c>
      <c r="H55" s="17">
        <v>1688000</v>
      </c>
      <c r="I55" s="18"/>
      <c r="J55" s="18"/>
      <c r="K55" s="18"/>
      <c r="L55" s="18" t="s">
        <v>99</v>
      </c>
      <c r="M55" s="19">
        <v>17117</v>
      </c>
      <c r="N55" s="20" t="s">
        <v>100</v>
      </c>
      <c r="O55" s="13" t="b">
        <v>1</v>
      </c>
      <c r="P55" s="20" t="b">
        <v>0</v>
      </c>
      <c r="Q55" s="20" t="b">
        <v>1</v>
      </c>
      <c r="R55" s="13" t="b">
        <v>1</v>
      </c>
      <c r="S55" s="13" t="b">
        <v>1</v>
      </c>
      <c r="T55" s="13" t="b">
        <v>1</v>
      </c>
      <c r="U55" s="13" t="b">
        <v>1</v>
      </c>
      <c r="V55" s="13" t="b">
        <v>1</v>
      </c>
      <c r="W55" s="13" t="b">
        <v>1</v>
      </c>
      <c r="X55" s="13" t="b">
        <v>1</v>
      </c>
      <c r="Y55" s="21" t="s">
        <v>101</v>
      </c>
      <c r="Z55" s="21" t="s">
        <v>385</v>
      </c>
      <c r="AA55" s="21" t="s">
        <v>386</v>
      </c>
      <c r="AB55" s="22"/>
      <c r="AC55" s="23"/>
      <c r="AD55" s="13"/>
      <c r="AE55" s="47" t="b">
        <v>1</v>
      </c>
      <c r="AF55" s="48">
        <v>45950</v>
      </c>
      <c r="AG55" s="55" t="s">
        <v>387</v>
      </c>
      <c r="AH55" s="39" t="b">
        <v>1</v>
      </c>
      <c r="AI55" s="48">
        <v>45993</v>
      </c>
      <c r="AJ55" s="39" t="s">
        <v>388</v>
      </c>
      <c r="AK55" s="39" t="b">
        <v>1</v>
      </c>
      <c r="AL55" s="28">
        <v>45978</v>
      </c>
      <c r="AM55" s="39" t="s">
        <v>388</v>
      </c>
      <c r="AN55" s="39"/>
      <c r="AO55" s="13"/>
      <c r="AP55" s="12"/>
      <c r="AQ55" s="16"/>
      <c r="AR55" s="32"/>
      <c r="AS55" s="33"/>
      <c r="AT55" s="32"/>
      <c r="AU55" s="33"/>
      <c r="AV55" s="34"/>
      <c r="AW55" s="33"/>
      <c r="AX55" s="37"/>
      <c r="AY55" s="38"/>
      <c r="AZ55" s="37"/>
      <c r="BA55" s="38"/>
      <c r="BB55" s="37"/>
      <c r="BC55" s="38"/>
      <c r="BD55" s="37"/>
      <c r="BE55" s="38"/>
      <c r="BF55" s="37"/>
      <c r="BG55" s="38"/>
      <c r="BH55" s="42" t="b">
        <v>1</v>
      </c>
      <c r="BI55" s="38">
        <f>IF(MOD(H55,4)=0,H55/4,ROUNDUP(H55/4,0))</f>
        <v>422000</v>
      </c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7"/>
      <c r="BU55" s="37"/>
      <c r="BV55" s="37"/>
      <c r="BW55" s="37"/>
      <c r="BX55" s="37"/>
      <c r="BY55" s="37"/>
      <c r="BZ55" s="37"/>
      <c r="CA55" s="37"/>
      <c r="CB55" s="42" t="b">
        <v>1</v>
      </c>
      <c r="CC55" s="38">
        <f>IF(MOD(H55,4)=0,H55/4,ROUNDDOWN(H55/4,0))</f>
        <v>422000</v>
      </c>
      <c r="CD55" s="38"/>
      <c r="CE55" s="38"/>
      <c r="CF55" s="38"/>
      <c r="CG55" s="38"/>
      <c r="CH55" s="38"/>
      <c r="CI55" s="38"/>
      <c r="CJ55" s="37"/>
      <c r="CK55" s="37"/>
      <c r="CL55" s="37"/>
      <c r="CM55" s="37"/>
      <c r="CN55" s="37"/>
      <c r="CO55" s="37"/>
      <c r="CP55" s="37"/>
      <c r="CQ55" s="37"/>
      <c r="CR55" s="12" t="b">
        <v>1</v>
      </c>
      <c r="CS55" s="36">
        <f>IF(MOD(H55,4)=0,H55/4,ROUNDUP(H55/4,0))</f>
        <v>422000</v>
      </c>
      <c r="CT55" s="36"/>
      <c r="CU55" s="36"/>
      <c r="CV55" s="36"/>
      <c r="CW55" s="36"/>
    </row>
    <row r="56" spans="1:101" ht="32.25" customHeight="1" x14ac:dyDescent="0.25">
      <c r="A56" s="12">
        <f t="shared" si="0"/>
        <v>55</v>
      </c>
      <c r="B56" s="13" t="s">
        <v>94</v>
      </c>
      <c r="C56" s="13" t="s">
        <v>381</v>
      </c>
      <c r="D56" s="14" t="s">
        <v>389</v>
      </c>
      <c r="E56" s="15" t="s">
        <v>390</v>
      </c>
      <c r="F56" s="15" t="s">
        <v>391</v>
      </c>
      <c r="G56" s="16">
        <v>545</v>
      </c>
      <c r="H56" s="17">
        <v>919960000</v>
      </c>
      <c r="I56" s="18"/>
      <c r="J56" s="18"/>
      <c r="K56" s="18"/>
      <c r="L56" s="18" t="s">
        <v>99</v>
      </c>
      <c r="M56" s="19">
        <v>17118</v>
      </c>
      <c r="N56" s="20" t="s">
        <v>100</v>
      </c>
      <c r="O56" s="13" t="b">
        <v>1</v>
      </c>
      <c r="P56" s="20" t="b">
        <v>1</v>
      </c>
      <c r="Q56" s="20" t="b">
        <v>1</v>
      </c>
      <c r="R56" s="13" t="b">
        <v>1</v>
      </c>
      <c r="S56" s="13" t="b">
        <v>1</v>
      </c>
      <c r="T56" s="13" t="b">
        <v>1</v>
      </c>
      <c r="U56" s="13" t="b">
        <v>1</v>
      </c>
      <c r="V56" s="13" t="b">
        <v>1</v>
      </c>
      <c r="W56" s="13" t="b">
        <v>1</v>
      </c>
      <c r="X56" s="13" t="b">
        <v>0</v>
      </c>
      <c r="Y56" s="21" t="s">
        <v>101</v>
      </c>
      <c r="Z56" s="21" t="s">
        <v>392</v>
      </c>
      <c r="AA56" s="21" t="s">
        <v>393</v>
      </c>
      <c r="AB56" s="22"/>
      <c r="AC56" s="13"/>
      <c r="AD56" s="13"/>
      <c r="AE56" s="47" t="b">
        <v>1</v>
      </c>
      <c r="AF56" s="48">
        <v>45915</v>
      </c>
      <c r="AG56" s="55" t="s">
        <v>394</v>
      </c>
      <c r="AH56" s="27" t="b">
        <v>1</v>
      </c>
      <c r="AI56" s="48">
        <v>45936</v>
      </c>
      <c r="AJ56" s="39" t="s">
        <v>395</v>
      </c>
      <c r="AK56" s="27" t="b">
        <v>1</v>
      </c>
      <c r="AL56" s="30">
        <v>45992</v>
      </c>
      <c r="AM56" s="39"/>
      <c r="AN56" s="39"/>
      <c r="AO56" s="23">
        <v>45804</v>
      </c>
      <c r="AP56" s="12"/>
      <c r="AQ56" s="16"/>
      <c r="AR56" s="32"/>
      <c r="AS56" s="33"/>
      <c r="AT56" s="32"/>
      <c r="AU56" s="33"/>
      <c r="AV56" s="34"/>
      <c r="AW56" s="33"/>
      <c r="AX56" s="37"/>
      <c r="AY56" s="38"/>
      <c r="AZ56" s="37"/>
      <c r="BA56" s="38"/>
      <c r="BB56" s="35" t="b">
        <v>1</v>
      </c>
      <c r="BC56" s="36">
        <f t="shared" ref="BC56:BC57" si="22">IF(MOD(H56,4)=0,H56/4,ROUNDUP(H56/4,0))</f>
        <v>229990000</v>
      </c>
      <c r="BD56" s="41"/>
      <c r="BE56" s="36"/>
      <c r="BF56" s="41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5" t="b">
        <v>1</v>
      </c>
      <c r="BU56" s="36">
        <f>IF(MOD(H56,4)=0,H56/4,ROUNDDOWN(H56/4,0))</f>
        <v>229990000</v>
      </c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5" t="b">
        <v>1</v>
      </c>
      <c r="CO56" s="36">
        <f>IF(MOD(H56,4)=0,H56/4,ROUNDUP(H56/4,0))</f>
        <v>229990000</v>
      </c>
      <c r="CP56" s="36"/>
      <c r="CQ56" s="36"/>
      <c r="CR56" s="36"/>
      <c r="CS56" s="36"/>
      <c r="CT56" s="36"/>
      <c r="CU56" s="36"/>
      <c r="CV56" s="36"/>
      <c r="CW56" s="36"/>
    </row>
    <row r="57" spans="1:101" ht="32.25" customHeight="1" x14ac:dyDescent="0.25">
      <c r="A57" s="12">
        <f t="shared" si="0"/>
        <v>56</v>
      </c>
      <c r="B57" s="13" t="s">
        <v>94</v>
      </c>
      <c r="C57" s="13" t="s">
        <v>381</v>
      </c>
      <c r="D57" s="14" t="s">
        <v>396</v>
      </c>
      <c r="E57" s="15" t="s">
        <v>397</v>
      </c>
      <c r="F57" s="15" t="s">
        <v>398</v>
      </c>
      <c r="G57" s="16">
        <v>54</v>
      </c>
      <c r="H57" s="17">
        <v>91152000</v>
      </c>
      <c r="I57" s="18"/>
      <c r="J57" s="18"/>
      <c r="K57" s="18"/>
      <c r="L57" s="18" t="s">
        <v>99</v>
      </c>
      <c r="M57" s="19">
        <v>17119</v>
      </c>
      <c r="N57" s="20" t="s">
        <v>100</v>
      </c>
      <c r="O57" s="13" t="b">
        <v>1</v>
      </c>
      <c r="P57" s="20" t="b">
        <v>0</v>
      </c>
      <c r="Q57" s="20" t="b">
        <v>1</v>
      </c>
      <c r="R57" s="13" t="b">
        <v>1</v>
      </c>
      <c r="S57" s="13" t="b">
        <v>1</v>
      </c>
      <c r="T57" s="13" t="b">
        <v>1</v>
      </c>
      <c r="U57" s="13" t="b">
        <v>1</v>
      </c>
      <c r="V57" s="13" t="b">
        <v>1</v>
      </c>
      <c r="W57" s="13" t="b">
        <v>1</v>
      </c>
      <c r="X57" s="13" t="b">
        <v>1</v>
      </c>
      <c r="Y57" s="21" t="s">
        <v>399</v>
      </c>
      <c r="Z57" s="21" t="s">
        <v>400</v>
      </c>
      <c r="AA57" s="21" t="s">
        <v>401</v>
      </c>
      <c r="AB57" s="22"/>
      <c r="AC57" s="23"/>
      <c r="AD57" s="13"/>
      <c r="AE57" s="47" t="b">
        <v>1</v>
      </c>
      <c r="AF57" s="48">
        <v>45904</v>
      </c>
      <c r="AG57" s="55" t="s">
        <v>402</v>
      </c>
      <c r="AH57" s="27" t="b">
        <v>1</v>
      </c>
      <c r="AI57" s="48">
        <v>45959</v>
      </c>
      <c r="AJ57" s="39" t="s">
        <v>403</v>
      </c>
      <c r="AK57" s="27" t="b">
        <v>1</v>
      </c>
      <c r="AL57" s="30">
        <v>45982</v>
      </c>
      <c r="AM57" s="39"/>
      <c r="AN57" s="39"/>
      <c r="AO57" s="13"/>
      <c r="AP57" s="12"/>
      <c r="AQ57" s="16"/>
      <c r="AR57" s="32"/>
      <c r="AS57" s="33"/>
      <c r="AT57" s="32"/>
      <c r="AU57" s="33"/>
      <c r="AV57" s="34"/>
      <c r="AW57" s="33"/>
      <c r="AX57" s="37"/>
      <c r="AY57" s="38"/>
      <c r="AZ57" s="37"/>
      <c r="BA57" s="38"/>
      <c r="BB57" s="35" t="b">
        <v>1</v>
      </c>
      <c r="BC57" s="36">
        <f t="shared" si="22"/>
        <v>22788000</v>
      </c>
      <c r="BD57" s="41"/>
      <c r="BE57" s="36"/>
      <c r="BF57" s="41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41"/>
      <c r="BU57" s="41"/>
      <c r="BV57" s="35" t="b">
        <v>1</v>
      </c>
      <c r="BW57" s="41">
        <f>IF(MOD(H57,4)=0,H57/4,ROUNDDOWN(H57/4,0))</f>
        <v>22788000</v>
      </c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35" t="b">
        <v>1</v>
      </c>
      <c r="CK57" s="36">
        <f>IF(MOD(H57,4)=0,H57/4,ROUNDUP(H57/4,0))</f>
        <v>22788000</v>
      </c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</row>
    <row r="58" spans="1:101" ht="32.25" customHeight="1" x14ac:dyDescent="0.25">
      <c r="A58" s="12">
        <f t="shared" si="0"/>
        <v>57</v>
      </c>
      <c r="B58" s="13" t="s">
        <v>94</v>
      </c>
      <c r="C58" s="13" t="s">
        <v>381</v>
      </c>
      <c r="D58" s="14" t="s">
        <v>404</v>
      </c>
      <c r="E58" s="15" t="s">
        <v>405</v>
      </c>
      <c r="F58" s="15" t="s">
        <v>406</v>
      </c>
      <c r="G58" s="16">
        <v>23</v>
      </c>
      <c r="H58" s="17">
        <v>38824000</v>
      </c>
      <c r="I58" s="18"/>
      <c r="J58" s="18"/>
      <c r="K58" s="18"/>
      <c r="L58" s="18" t="s">
        <v>99</v>
      </c>
      <c r="M58" s="19">
        <v>17120</v>
      </c>
      <c r="N58" s="20" t="s">
        <v>100</v>
      </c>
      <c r="O58" s="13" t="b">
        <v>1</v>
      </c>
      <c r="P58" s="20" t="b">
        <v>1</v>
      </c>
      <c r="Q58" s="20" t="b">
        <v>1</v>
      </c>
      <c r="R58" s="13" t="b">
        <v>1</v>
      </c>
      <c r="S58" s="13" t="b">
        <v>1</v>
      </c>
      <c r="T58" s="13" t="b">
        <v>1</v>
      </c>
      <c r="U58" s="13" t="b">
        <v>1</v>
      </c>
      <c r="V58" s="13" t="b">
        <v>1</v>
      </c>
      <c r="W58" s="13" t="b">
        <v>1</v>
      </c>
      <c r="X58" s="13" t="b">
        <v>1</v>
      </c>
      <c r="Y58" s="21" t="s">
        <v>101</v>
      </c>
      <c r="Z58" s="21" t="s">
        <v>407</v>
      </c>
      <c r="AA58" s="21" t="s">
        <v>408</v>
      </c>
      <c r="AB58" s="22"/>
      <c r="AC58" s="23"/>
      <c r="AD58" s="13"/>
      <c r="AE58" s="47" t="b">
        <v>1</v>
      </c>
      <c r="AF58" s="48">
        <v>45917</v>
      </c>
      <c r="AG58" s="55" t="s">
        <v>409</v>
      </c>
      <c r="AH58" s="27" t="b">
        <v>1</v>
      </c>
      <c r="AI58" s="48">
        <v>45979</v>
      </c>
      <c r="AJ58" s="39" t="s">
        <v>410</v>
      </c>
      <c r="AK58" s="39" t="b">
        <v>1</v>
      </c>
      <c r="AL58" s="30">
        <v>46013</v>
      </c>
      <c r="AM58" s="39" t="s">
        <v>411</v>
      </c>
      <c r="AN58" s="39"/>
      <c r="AO58" s="13"/>
      <c r="AP58" s="12"/>
      <c r="AQ58" s="16"/>
      <c r="AR58" s="12"/>
      <c r="AS58" s="33"/>
      <c r="AT58" s="32"/>
      <c r="AU58" s="33"/>
      <c r="AV58" s="34"/>
      <c r="AW58" s="33"/>
      <c r="AX58" s="37"/>
      <c r="AY58" s="38"/>
      <c r="AZ58" s="37"/>
      <c r="BA58" s="38"/>
      <c r="BB58" s="37"/>
      <c r="BC58" s="38"/>
      <c r="BD58" s="42" t="b">
        <v>1</v>
      </c>
      <c r="BE58" s="36">
        <f>IF(MOD(H58,4)=0,H58/4,ROUNDUP(H58/4,0))</f>
        <v>9706000</v>
      </c>
      <c r="BF58" s="41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41"/>
      <c r="BU58" s="41"/>
      <c r="BV58" s="41"/>
      <c r="BW58" s="41"/>
      <c r="BX58" s="42" t="b">
        <v>1</v>
      </c>
      <c r="BY58" s="41">
        <f>IF(MOD(H58,4)=0,H58/4,ROUNDDOWN(H58/4,0))</f>
        <v>9706000</v>
      </c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37" t="b">
        <v>1</v>
      </c>
      <c r="CU58" s="38">
        <f>IF(MOD(H58,4)=0,H58/4,ROUNDUP(H58/4,0))</f>
        <v>9706000</v>
      </c>
      <c r="CV58" s="38"/>
      <c r="CW58" s="38"/>
    </row>
    <row r="59" spans="1:101" ht="32.25" customHeight="1" x14ac:dyDescent="0.25">
      <c r="A59" s="12">
        <f t="shared" si="0"/>
        <v>58</v>
      </c>
      <c r="B59" s="13" t="s">
        <v>94</v>
      </c>
      <c r="C59" s="13" t="s">
        <v>381</v>
      </c>
      <c r="D59" s="14" t="s">
        <v>412</v>
      </c>
      <c r="E59" s="15" t="s">
        <v>413</v>
      </c>
      <c r="F59" s="15" t="s">
        <v>414</v>
      </c>
      <c r="G59" s="16">
        <v>46</v>
      </c>
      <c r="H59" s="17">
        <v>77648000</v>
      </c>
      <c r="I59" s="18"/>
      <c r="J59" s="18"/>
      <c r="K59" s="18"/>
      <c r="L59" s="18" t="s">
        <v>99</v>
      </c>
      <c r="M59" s="19">
        <v>17121</v>
      </c>
      <c r="N59" s="20" t="s">
        <v>100</v>
      </c>
      <c r="O59" s="13" t="b">
        <v>1</v>
      </c>
      <c r="P59" s="20" t="b">
        <v>0</v>
      </c>
      <c r="Q59" s="20" t="b">
        <v>1</v>
      </c>
      <c r="R59" s="13" t="b">
        <v>0</v>
      </c>
      <c r="S59" s="13" t="b">
        <v>0</v>
      </c>
      <c r="T59" s="13" t="b">
        <v>1</v>
      </c>
      <c r="U59" s="13" t="b">
        <v>1</v>
      </c>
      <c r="V59" s="13" t="b">
        <v>0</v>
      </c>
      <c r="W59" s="13" t="b">
        <v>1</v>
      </c>
      <c r="X59" s="13" t="b">
        <v>0</v>
      </c>
      <c r="Y59" s="21" t="s">
        <v>101</v>
      </c>
      <c r="Z59" s="21" t="s">
        <v>415</v>
      </c>
      <c r="AA59" s="21" t="s">
        <v>416</v>
      </c>
      <c r="AB59" s="22"/>
      <c r="AC59" s="23"/>
      <c r="AD59" s="13"/>
      <c r="AE59" s="47" t="b">
        <v>1</v>
      </c>
      <c r="AF59" s="48">
        <v>45915</v>
      </c>
      <c r="AG59" s="55" t="s">
        <v>417</v>
      </c>
      <c r="AH59" s="27" t="b">
        <v>1</v>
      </c>
      <c r="AI59" s="48">
        <v>45944</v>
      </c>
      <c r="AJ59" s="56" t="s">
        <v>418</v>
      </c>
      <c r="AK59" s="39" t="b">
        <v>1</v>
      </c>
      <c r="AL59" s="40">
        <v>45982</v>
      </c>
      <c r="AM59" s="39" t="s">
        <v>419</v>
      </c>
      <c r="AN59" s="39"/>
      <c r="AO59" s="13"/>
      <c r="AP59" s="12"/>
      <c r="AQ59" s="16"/>
      <c r="AR59" s="32"/>
      <c r="AS59" s="33"/>
      <c r="AT59" s="32"/>
      <c r="AU59" s="33"/>
      <c r="AV59" s="34"/>
      <c r="AW59" s="33"/>
      <c r="AX59" s="37"/>
      <c r="AY59" s="38"/>
      <c r="AZ59" s="37"/>
      <c r="BA59" s="38"/>
      <c r="BB59" s="35" t="b">
        <v>1</v>
      </c>
      <c r="BC59" s="36">
        <f>IF(MOD(H59,4)=0,H59/4,ROUNDUP(H59/4,0))</f>
        <v>19412000</v>
      </c>
      <c r="BD59" s="41"/>
      <c r="BE59" s="36"/>
      <c r="BF59" s="41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41"/>
      <c r="BU59" s="41"/>
      <c r="BV59" s="35" t="b">
        <v>1</v>
      </c>
      <c r="BW59" s="41">
        <f t="shared" ref="BW59:BW60" si="23">IF(MOD(H59,4)=0,H59/4,ROUNDDOWN(H59/4,0))</f>
        <v>19412000</v>
      </c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35" t="b">
        <v>1</v>
      </c>
      <c r="CK59" s="36">
        <f t="shared" ref="CK59:CK60" si="24">IF(MOD(H59,4)=0,H59/4,ROUNDUP(H59/4,0))</f>
        <v>19412000</v>
      </c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</row>
    <row r="60" spans="1:101" ht="32.25" customHeight="1" x14ac:dyDescent="0.25">
      <c r="A60" s="12">
        <f t="shared" si="0"/>
        <v>59</v>
      </c>
      <c r="B60" s="13" t="s">
        <v>134</v>
      </c>
      <c r="C60" s="13" t="s">
        <v>381</v>
      </c>
      <c r="D60" s="14" t="s">
        <v>420</v>
      </c>
      <c r="E60" s="15" t="s">
        <v>421</v>
      </c>
      <c r="F60" s="15" t="s">
        <v>422</v>
      </c>
      <c r="G60" s="16">
        <v>14</v>
      </c>
      <c r="H60" s="17">
        <v>23002000</v>
      </c>
      <c r="I60" s="18"/>
      <c r="J60" s="18"/>
      <c r="K60" s="18"/>
      <c r="L60" s="18" t="s">
        <v>99</v>
      </c>
      <c r="M60" s="19">
        <v>17122</v>
      </c>
      <c r="N60" s="20" t="s">
        <v>100</v>
      </c>
      <c r="O60" s="13" t="b">
        <v>1</v>
      </c>
      <c r="P60" s="20" t="b">
        <v>1</v>
      </c>
      <c r="Q60" s="20" t="b">
        <v>1</v>
      </c>
      <c r="R60" s="13" t="b">
        <v>0</v>
      </c>
      <c r="S60" s="13" t="b">
        <v>0</v>
      </c>
      <c r="T60" s="13" t="b">
        <v>1</v>
      </c>
      <c r="U60" s="13" t="b">
        <v>1</v>
      </c>
      <c r="V60" s="13" t="b">
        <v>1</v>
      </c>
      <c r="W60" s="13" t="b">
        <v>1</v>
      </c>
      <c r="X60" s="13" t="b">
        <v>1</v>
      </c>
      <c r="Y60" s="21" t="s">
        <v>101</v>
      </c>
      <c r="Z60" s="51" t="s">
        <v>423</v>
      </c>
      <c r="AA60" s="21" t="s">
        <v>424</v>
      </c>
      <c r="AB60" s="22"/>
      <c r="AC60" s="13"/>
      <c r="AD60" s="13"/>
      <c r="AE60" s="47" t="b">
        <v>1</v>
      </c>
      <c r="AF60" s="48">
        <v>45873</v>
      </c>
      <c r="AG60" s="26" t="s">
        <v>425</v>
      </c>
      <c r="AH60" s="27" t="b">
        <v>1</v>
      </c>
      <c r="AI60" s="28">
        <v>45961</v>
      </c>
      <c r="AJ60" s="29" t="s">
        <v>426</v>
      </c>
      <c r="AK60" s="27" t="b">
        <v>1</v>
      </c>
      <c r="AL60" s="40">
        <v>45985</v>
      </c>
      <c r="AM60" s="29" t="s">
        <v>427</v>
      </c>
      <c r="AN60" s="29"/>
      <c r="AO60" s="13"/>
      <c r="AP60" s="12"/>
      <c r="AQ60" s="16"/>
      <c r="AR60" s="32"/>
      <c r="AS60" s="33"/>
      <c r="AT60" s="32"/>
      <c r="AU60" s="33"/>
      <c r="AV60" s="34"/>
      <c r="AW60" s="33"/>
      <c r="AX60" s="35" t="b">
        <v>1</v>
      </c>
      <c r="AY60" s="36">
        <f>IF(MOD(H60,4)=0,H60/4,ROUNDUP(H60/4,0))</f>
        <v>5750500</v>
      </c>
      <c r="AZ60" s="37"/>
      <c r="BA60" s="38"/>
      <c r="BB60" s="37"/>
      <c r="BC60" s="38"/>
      <c r="BD60" s="37"/>
      <c r="BE60" s="38"/>
      <c r="BF60" s="37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7"/>
      <c r="BU60" s="37"/>
      <c r="BV60" s="35" t="b">
        <v>1</v>
      </c>
      <c r="BW60" s="41">
        <f t="shared" si="23"/>
        <v>5750500</v>
      </c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35" t="b">
        <v>1</v>
      </c>
      <c r="CK60" s="36">
        <f t="shared" si="24"/>
        <v>5750500</v>
      </c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</row>
    <row r="61" spans="1:101" ht="32.25" customHeight="1" x14ac:dyDescent="0.25">
      <c r="A61" s="12">
        <f t="shared" si="0"/>
        <v>60</v>
      </c>
      <c r="B61" s="13" t="s">
        <v>134</v>
      </c>
      <c r="C61" s="13" t="s">
        <v>381</v>
      </c>
      <c r="D61" s="14" t="s">
        <v>428</v>
      </c>
      <c r="E61" s="15" t="s">
        <v>429</v>
      </c>
      <c r="F61" s="15" t="s">
        <v>429</v>
      </c>
      <c r="G61" s="16">
        <v>74</v>
      </c>
      <c r="H61" s="17">
        <v>121582000</v>
      </c>
      <c r="I61" s="18"/>
      <c r="J61" s="18"/>
      <c r="K61" s="18"/>
      <c r="L61" s="18" t="s">
        <v>99</v>
      </c>
      <c r="M61" s="19">
        <v>17123</v>
      </c>
      <c r="N61" s="20" t="s">
        <v>100</v>
      </c>
      <c r="O61" s="13" t="b">
        <v>1</v>
      </c>
      <c r="P61" s="20" t="b">
        <v>1</v>
      </c>
      <c r="Q61" s="20" t="b">
        <v>1</v>
      </c>
      <c r="R61" s="13" t="b">
        <v>1</v>
      </c>
      <c r="S61" s="13" t="b">
        <v>1</v>
      </c>
      <c r="T61" s="13" t="b">
        <v>1</v>
      </c>
      <c r="U61" s="13" t="b">
        <v>1</v>
      </c>
      <c r="V61" s="13" t="b">
        <v>1</v>
      </c>
      <c r="W61" s="13" t="b">
        <v>1</v>
      </c>
      <c r="X61" s="13" t="b">
        <v>1</v>
      </c>
      <c r="Y61" s="21" t="s">
        <v>101</v>
      </c>
      <c r="Z61" s="21" t="s">
        <v>430</v>
      </c>
      <c r="AA61" s="21" t="s">
        <v>431</v>
      </c>
      <c r="AB61" s="22"/>
      <c r="AC61" s="23"/>
      <c r="AD61" s="13"/>
      <c r="AE61" s="47" t="b">
        <v>1</v>
      </c>
      <c r="AF61" s="48">
        <v>45936</v>
      </c>
      <c r="AG61" s="26" t="s">
        <v>432</v>
      </c>
      <c r="AH61" s="39" t="b">
        <v>1</v>
      </c>
      <c r="AI61" s="28">
        <v>45985</v>
      </c>
      <c r="AJ61" s="29" t="s">
        <v>433</v>
      </c>
      <c r="AK61" s="39" t="b">
        <v>1</v>
      </c>
      <c r="AL61" s="40">
        <v>46020</v>
      </c>
      <c r="AM61" s="29" t="s">
        <v>427</v>
      </c>
      <c r="AN61" s="29"/>
      <c r="AO61" s="13"/>
      <c r="AP61" s="12"/>
      <c r="AQ61" s="16"/>
      <c r="AR61" s="32"/>
      <c r="AS61" s="33"/>
      <c r="AT61" s="32"/>
      <c r="AU61" s="33"/>
      <c r="AV61" s="34"/>
      <c r="AW61" s="33"/>
      <c r="AX61" s="37"/>
      <c r="AY61" s="38"/>
      <c r="AZ61" s="37"/>
      <c r="BA61" s="38"/>
      <c r="BB61" s="37"/>
      <c r="BC61" s="38"/>
      <c r="BD61" s="37"/>
      <c r="BE61" s="38"/>
      <c r="BF61" s="35" t="b">
        <v>1</v>
      </c>
      <c r="BG61" s="38">
        <f t="shared" ref="BG61:BG62" si="25">IF(MOD(H61,4)=0,H61/4,ROUNDUP(H61/4,0))</f>
        <v>30395500</v>
      </c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42" t="b">
        <v>1</v>
      </c>
      <c r="BY61" s="41">
        <f t="shared" ref="BY61:BY62" si="26">IF(MOD(H61,4)=0,H61/4,ROUNDDOWN(H61/4,0))</f>
        <v>30395500</v>
      </c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7" t="b">
        <v>1</v>
      </c>
      <c r="CU61" s="38">
        <f>IF(MOD(H61,4)=0,H61/4,ROUNDUP(H61/4,0))</f>
        <v>30395500</v>
      </c>
      <c r="CV61" s="38"/>
      <c r="CW61" s="38"/>
    </row>
    <row r="62" spans="1:101" ht="32.25" customHeight="1" x14ac:dyDescent="0.25">
      <c r="A62" s="12">
        <f t="shared" si="0"/>
        <v>61</v>
      </c>
      <c r="B62" s="13" t="s">
        <v>134</v>
      </c>
      <c r="C62" s="13" t="s">
        <v>381</v>
      </c>
      <c r="D62" s="14" t="s">
        <v>434</v>
      </c>
      <c r="E62" s="15" t="s">
        <v>435</v>
      </c>
      <c r="F62" s="15" t="s">
        <v>436</v>
      </c>
      <c r="G62" s="16">
        <v>96</v>
      </c>
      <c r="H62" s="17">
        <v>157728000</v>
      </c>
      <c r="I62" s="18"/>
      <c r="J62" s="18"/>
      <c r="K62" s="18"/>
      <c r="L62" s="18" t="s">
        <v>99</v>
      </c>
      <c r="M62" s="19">
        <v>17124</v>
      </c>
      <c r="N62" s="20" t="s">
        <v>100</v>
      </c>
      <c r="O62" s="13" t="b">
        <v>1</v>
      </c>
      <c r="P62" s="20" t="b">
        <v>1</v>
      </c>
      <c r="Q62" s="20" t="b">
        <v>1</v>
      </c>
      <c r="R62" s="13" t="b">
        <v>1</v>
      </c>
      <c r="S62" s="13" t="b">
        <v>0</v>
      </c>
      <c r="T62" s="13" t="b">
        <v>1</v>
      </c>
      <c r="U62" s="13" t="b">
        <v>1</v>
      </c>
      <c r="V62" s="13" t="b">
        <v>1</v>
      </c>
      <c r="W62" s="13" t="b">
        <v>1</v>
      </c>
      <c r="X62" s="13" t="b">
        <v>1</v>
      </c>
      <c r="Y62" s="21" t="s">
        <v>182</v>
      </c>
      <c r="Z62" s="21" t="s">
        <v>437</v>
      </c>
      <c r="AA62" s="21" t="s">
        <v>438</v>
      </c>
      <c r="AB62" s="22"/>
      <c r="AC62" s="23"/>
      <c r="AD62" s="13"/>
      <c r="AE62" s="47" t="b">
        <v>1</v>
      </c>
      <c r="AF62" s="48">
        <v>45936</v>
      </c>
      <c r="AG62" s="26" t="s">
        <v>439</v>
      </c>
      <c r="AH62" s="27" t="b">
        <v>1</v>
      </c>
      <c r="AI62" s="40">
        <v>45982</v>
      </c>
      <c r="AJ62" s="29"/>
      <c r="AK62" s="39" t="b">
        <v>1</v>
      </c>
      <c r="AL62" s="40">
        <v>46002</v>
      </c>
      <c r="AM62" s="29" t="s">
        <v>104</v>
      </c>
      <c r="AN62" s="29"/>
      <c r="AO62" s="13"/>
      <c r="AP62" s="12"/>
      <c r="AQ62" s="16"/>
      <c r="AR62" s="32"/>
      <c r="AS62" s="33"/>
      <c r="AT62" s="32"/>
      <c r="AU62" s="33"/>
      <c r="AV62" s="34"/>
      <c r="AW62" s="33"/>
      <c r="AX62" s="37"/>
      <c r="AY62" s="38"/>
      <c r="AZ62" s="37"/>
      <c r="BA62" s="38"/>
      <c r="BB62" s="37"/>
      <c r="BC62" s="38"/>
      <c r="BD62" s="37"/>
      <c r="BE62" s="38"/>
      <c r="BF62" s="35" t="b">
        <v>1</v>
      </c>
      <c r="BG62" s="38">
        <f t="shared" si="25"/>
        <v>39432000</v>
      </c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42" t="b">
        <v>1</v>
      </c>
      <c r="BY62" s="41">
        <f t="shared" si="26"/>
        <v>39432000</v>
      </c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12" t="b">
        <v>1</v>
      </c>
      <c r="CS62" s="36">
        <f>IF(MOD(H62,4)=0,H62/4,ROUNDUP(H62/4,0))</f>
        <v>39432000</v>
      </c>
      <c r="CT62" s="36"/>
      <c r="CU62" s="36"/>
      <c r="CV62" s="36"/>
      <c r="CW62" s="36"/>
    </row>
    <row r="63" spans="1:101" ht="32.25" customHeight="1" x14ac:dyDescent="0.25">
      <c r="A63" s="12">
        <f t="shared" si="0"/>
        <v>62</v>
      </c>
      <c r="B63" s="13" t="s">
        <v>134</v>
      </c>
      <c r="C63" s="13" t="s">
        <v>381</v>
      </c>
      <c r="D63" s="14" t="s">
        <v>440</v>
      </c>
      <c r="E63" s="15" t="s">
        <v>441</v>
      </c>
      <c r="F63" s="15" t="s">
        <v>442</v>
      </c>
      <c r="G63" s="16">
        <v>322</v>
      </c>
      <c r="H63" s="17">
        <v>529046000</v>
      </c>
      <c r="I63" s="18"/>
      <c r="J63" s="18"/>
      <c r="K63" s="18"/>
      <c r="L63" s="18" t="s">
        <v>99</v>
      </c>
      <c r="M63" s="19">
        <v>17125</v>
      </c>
      <c r="N63" s="20" t="s">
        <v>100</v>
      </c>
      <c r="O63" s="13" t="b">
        <v>1</v>
      </c>
      <c r="P63" s="20" t="b">
        <v>1</v>
      </c>
      <c r="Q63" s="20" t="b">
        <v>1</v>
      </c>
      <c r="R63" s="13" t="b">
        <v>0</v>
      </c>
      <c r="S63" s="13" t="b">
        <v>1</v>
      </c>
      <c r="T63" s="13" t="b">
        <v>1</v>
      </c>
      <c r="U63" s="13" t="b">
        <v>1</v>
      </c>
      <c r="V63" s="13" t="b">
        <v>1</v>
      </c>
      <c r="W63" s="13" t="b">
        <v>1</v>
      </c>
      <c r="X63" s="13" t="b">
        <v>1</v>
      </c>
      <c r="Y63" s="21" t="s">
        <v>443</v>
      </c>
      <c r="Z63" s="21" t="s">
        <v>444</v>
      </c>
      <c r="AA63" s="21" t="s">
        <v>445</v>
      </c>
      <c r="AB63" s="22"/>
      <c r="AC63" s="23"/>
      <c r="AD63" s="13"/>
      <c r="AE63" s="13" t="b">
        <v>1</v>
      </c>
      <c r="AF63" s="48">
        <v>45996</v>
      </c>
      <c r="AG63" s="26" t="s">
        <v>419</v>
      </c>
      <c r="AH63" s="39" t="b">
        <v>1</v>
      </c>
      <c r="AI63" s="28">
        <v>46020</v>
      </c>
      <c r="AJ63" s="29" t="s">
        <v>446</v>
      </c>
      <c r="AK63" s="39" t="b">
        <v>0</v>
      </c>
      <c r="AL63" s="29"/>
      <c r="AM63" s="29"/>
      <c r="AN63" s="29"/>
      <c r="AO63" s="13"/>
      <c r="AP63" s="12"/>
      <c r="AQ63" s="16"/>
      <c r="AR63" s="32"/>
      <c r="AS63" s="33"/>
      <c r="AT63" s="32"/>
      <c r="AU63" s="33"/>
      <c r="AV63" s="34"/>
      <c r="AW63" s="33"/>
      <c r="AX63" s="37"/>
      <c r="AY63" s="38"/>
      <c r="AZ63" s="37"/>
      <c r="BA63" s="38"/>
      <c r="BB63" s="37"/>
      <c r="BC63" s="38"/>
      <c r="BD63" s="37"/>
      <c r="BE63" s="38"/>
      <c r="BF63" s="37"/>
      <c r="BG63" s="38"/>
      <c r="BH63" s="38"/>
      <c r="BI63" s="38"/>
      <c r="BJ63" s="38"/>
      <c r="BK63" s="38"/>
      <c r="BL63" s="38"/>
      <c r="BM63" s="38"/>
      <c r="BN63" s="42" t="b">
        <v>1</v>
      </c>
      <c r="BO63" s="38">
        <f>IF(MOD(H63,4)=0,H63/4,ROUNDUP(H63/4,0))</f>
        <v>132261500</v>
      </c>
      <c r="BP63" s="38"/>
      <c r="BQ63" s="38"/>
      <c r="BR63" s="38"/>
      <c r="BS63" s="38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42" t="b">
        <v>1</v>
      </c>
      <c r="CI63" s="38">
        <f>IF(MOD(H63,4)=0,H63/4,ROUNDDOWN(H63/4,0))</f>
        <v>132261500</v>
      </c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</row>
    <row r="64" spans="1:101" ht="32.25" customHeight="1" x14ac:dyDescent="0.25">
      <c r="A64" s="12">
        <f t="shared" si="0"/>
        <v>63</v>
      </c>
      <c r="B64" s="13" t="s">
        <v>134</v>
      </c>
      <c r="C64" s="13" t="s">
        <v>381</v>
      </c>
      <c r="D64" s="14" t="s">
        <v>447</v>
      </c>
      <c r="E64" s="15" t="s">
        <v>448</v>
      </c>
      <c r="F64" s="15" t="s">
        <v>449</v>
      </c>
      <c r="G64" s="16">
        <v>410</v>
      </c>
      <c r="H64" s="17">
        <v>673630000</v>
      </c>
      <c r="I64" s="18"/>
      <c r="J64" s="18"/>
      <c r="K64" s="18"/>
      <c r="L64" s="18" t="s">
        <v>99</v>
      </c>
      <c r="M64" s="19">
        <v>17126</v>
      </c>
      <c r="N64" s="20" t="s">
        <v>100</v>
      </c>
      <c r="O64" s="13" t="b">
        <v>1</v>
      </c>
      <c r="P64" s="20" t="b">
        <v>1</v>
      </c>
      <c r="Q64" s="20" t="b">
        <v>1</v>
      </c>
      <c r="R64" s="13" t="b">
        <v>1</v>
      </c>
      <c r="S64" s="13" t="b">
        <v>1</v>
      </c>
      <c r="T64" s="13" t="b">
        <v>1</v>
      </c>
      <c r="U64" s="13" t="b">
        <v>0</v>
      </c>
      <c r="V64" s="13" t="b">
        <v>1</v>
      </c>
      <c r="W64" s="13" t="b">
        <v>1</v>
      </c>
      <c r="X64" s="13" t="b">
        <v>1</v>
      </c>
      <c r="Y64" s="21" t="s">
        <v>101</v>
      </c>
      <c r="Z64" s="21" t="s">
        <v>450</v>
      </c>
      <c r="AA64" s="21" t="s">
        <v>451</v>
      </c>
      <c r="AB64" s="22"/>
      <c r="AC64" s="13"/>
      <c r="AD64" s="13"/>
      <c r="AE64" s="47" t="b">
        <v>1</v>
      </c>
      <c r="AF64" s="48">
        <v>45880</v>
      </c>
      <c r="AG64" s="26" t="s">
        <v>452</v>
      </c>
      <c r="AH64" s="27" t="b">
        <v>1</v>
      </c>
      <c r="AI64" s="28">
        <v>45945</v>
      </c>
      <c r="AJ64" s="49" t="s">
        <v>453</v>
      </c>
      <c r="AK64" s="39" t="b">
        <v>1</v>
      </c>
      <c r="AL64" s="40">
        <v>46015</v>
      </c>
      <c r="AM64" s="29" t="s">
        <v>454</v>
      </c>
      <c r="AN64" s="29"/>
      <c r="AO64" s="13"/>
      <c r="AP64" s="12"/>
      <c r="AQ64" s="16"/>
      <c r="AR64" s="32"/>
      <c r="AS64" s="33"/>
      <c r="AT64" s="32"/>
      <c r="AU64" s="33"/>
      <c r="AV64" s="34"/>
      <c r="AW64" s="33"/>
      <c r="AX64" s="35" t="b">
        <v>1</v>
      </c>
      <c r="AY64" s="36">
        <f>IF(MOD(H64,4)=0,H64/4,ROUNDUP(H64/4,0))</f>
        <v>168407500</v>
      </c>
      <c r="AZ64" s="37"/>
      <c r="BA64" s="38"/>
      <c r="BB64" s="37"/>
      <c r="BC64" s="38"/>
      <c r="BD64" s="37"/>
      <c r="BE64" s="38"/>
      <c r="BF64" s="37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7"/>
      <c r="BU64" s="37"/>
      <c r="BV64" s="35" t="b">
        <v>1</v>
      </c>
      <c r="BW64" s="41">
        <f>IF(MOD(H64,4)=0,H64/4,ROUNDDOWN(H64/4,0))</f>
        <v>168407500</v>
      </c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37" t="b">
        <v>1</v>
      </c>
      <c r="CU64" s="38">
        <f>IF(MOD(H64,4)=0,H64/4,ROUNDUP(H64/4,0))</f>
        <v>168407500</v>
      </c>
      <c r="CV64" s="38"/>
      <c r="CW64" s="38"/>
    </row>
    <row r="65" spans="1:101" ht="32.25" customHeight="1" x14ac:dyDescent="0.25">
      <c r="A65" s="12">
        <f t="shared" si="0"/>
        <v>64</v>
      </c>
      <c r="B65" s="13" t="s">
        <v>251</v>
      </c>
      <c r="C65" s="13" t="s">
        <v>381</v>
      </c>
      <c r="D65" s="14" t="s">
        <v>455</v>
      </c>
      <c r="E65" s="15" t="s">
        <v>456</v>
      </c>
      <c r="F65" s="15" t="s">
        <v>457</v>
      </c>
      <c r="G65" s="16">
        <v>40</v>
      </c>
      <c r="H65" s="17">
        <v>78610000</v>
      </c>
      <c r="I65" s="18"/>
      <c r="J65" s="18"/>
      <c r="K65" s="18"/>
      <c r="L65" s="18" t="s">
        <v>99</v>
      </c>
      <c r="M65" s="19">
        <v>17127</v>
      </c>
      <c r="N65" s="20" t="s">
        <v>100</v>
      </c>
      <c r="O65" s="13" t="b">
        <v>1</v>
      </c>
      <c r="P65" s="20" t="b">
        <v>1</v>
      </c>
      <c r="Q65" s="20" t="b">
        <v>1</v>
      </c>
      <c r="R65" s="13" t="b">
        <v>1</v>
      </c>
      <c r="S65" s="13" t="b">
        <v>1</v>
      </c>
      <c r="T65" s="13" t="b">
        <v>1</v>
      </c>
      <c r="U65" s="13" t="b">
        <v>1</v>
      </c>
      <c r="V65" s="13" t="b">
        <v>1</v>
      </c>
      <c r="W65" s="13" t="b">
        <v>1</v>
      </c>
      <c r="X65" s="13" t="b">
        <v>1</v>
      </c>
      <c r="Y65" s="21" t="s">
        <v>101</v>
      </c>
      <c r="Z65" s="21" t="s">
        <v>458</v>
      </c>
      <c r="AA65" s="21" t="s">
        <v>459</v>
      </c>
      <c r="AB65" s="22"/>
      <c r="AC65" s="13"/>
      <c r="AD65" s="21"/>
      <c r="AE65" s="47" t="b">
        <v>1</v>
      </c>
      <c r="AF65" s="52">
        <v>45904</v>
      </c>
      <c r="AG65" s="26" t="s">
        <v>460</v>
      </c>
      <c r="AH65" s="27" t="b">
        <v>1</v>
      </c>
      <c r="AI65" s="28">
        <v>45979</v>
      </c>
      <c r="AJ65" s="29" t="s">
        <v>419</v>
      </c>
      <c r="AK65" s="39" t="b">
        <v>1</v>
      </c>
      <c r="AL65" s="29" t="s">
        <v>104</v>
      </c>
      <c r="AM65" s="29"/>
      <c r="AN65" s="29"/>
      <c r="AO65" s="13"/>
      <c r="AP65" s="12"/>
      <c r="AQ65" s="16"/>
      <c r="AR65" s="32"/>
      <c r="AS65" s="33"/>
      <c r="AT65" s="32"/>
      <c r="AU65" s="33"/>
      <c r="AV65" s="34"/>
      <c r="AW65" s="33"/>
      <c r="AX65" s="37"/>
      <c r="AY65" s="38"/>
      <c r="AZ65" s="37"/>
      <c r="BA65" s="38"/>
      <c r="BB65" s="35" t="b">
        <v>1</v>
      </c>
      <c r="BC65" s="36">
        <f>IF(MOD(H65,4)=0,H65/4,ROUNDUP(H65/4,0))</f>
        <v>19652500</v>
      </c>
      <c r="BD65" s="41"/>
      <c r="BE65" s="36"/>
      <c r="BF65" s="41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41"/>
      <c r="BU65" s="41"/>
      <c r="BV65" s="41"/>
      <c r="BW65" s="41"/>
      <c r="BX65" s="42" t="b">
        <v>1</v>
      </c>
      <c r="BY65" s="41">
        <f>IF(MOD(H65,4)=0,H65/4,ROUNDDOWN(H65/4,0))</f>
        <v>19652500</v>
      </c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12" t="b">
        <v>1</v>
      </c>
      <c r="CS65" s="36">
        <f>IF(MOD(H65,4)=0,H65/4,ROUNDUP(H65/4,0))</f>
        <v>19652500</v>
      </c>
      <c r="CT65" s="36"/>
      <c r="CU65" s="36"/>
      <c r="CV65" s="36"/>
      <c r="CW65" s="36"/>
    </row>
    <row r="66" spans="1:101" ht="32.25" customHeight="1" x14ac:dyDescent="0.25">
      <c r="A66" s="12">
        <f t="shared" si="0"/>
        <v>65</v>
      </c>
      <c r="B66" s="13" t="s">
        <v>251</v>
      </c>
      <c r="C66" s="13" t="s">
        <v>381</v>
      </c>
      <c r="D66" s="14" t="s">
        <v>461</v>
      </c>
      <c r="E66" s="15" t="s">
        <v>462</v>
      </c>
      <c r="F66" s="15" t="s">
        <v>463</v>
      </c>
      <c r="G66" s="16">
        <v>14</v>
      </c>
      <c r="H66" s="17">
        <v>27513500</v>
      </c>
      <c r="I66" s="18"/>
      <c r="J66" s="18"/>
      <c r="K66" s="18"/>
      <c r="L66" s="18" t="s">
        <v>99</v>
      </c>
      <c r="M66" s="19">
        <v>17128</v>
      </c>
      <c r="N66" s="20" t="s">
        <v>100</v>
      </c>
      <c r="O66" s="13" t="b">
        <v>1</v>
      </c>
      <c r="P66" s="20" t="b">
        <v>0</v>
      </c>
      <c r="Q66" s="20" t="b">
        <v>1</v>
      </c>
      <c r="R66" s="13" t="b">
        <v>1</v>
      </c>
      <c r="S66" s="13" t="b">
        <v>1</v>
      </c>
      <c r="T66" s="13" t="b">
        <v>1</v>
      </c>
      <c r="U66" s="13" t="b">
        <v>1</v>
      </c>
      <c r="V66" s="13" t="b">
        <v>1</v>
      </c>
      <c r="W66" s="13" t="b">
        <v>1</v>
      </c>
      <c r="X66" s="13" t="b">
        <v>1</v>
      </c>
      <c r="Y66" s="21" t="s">
        <v>443</v>
      </c>
      <c r="Z66" s="21" t="s">
        <v>464</v>
      </c>
      <c r="AA66" s="21" t="s">
        <v>465</v>
      </c>
      <c r="AB66" s="22"/>
      <c r="AC66" s="21"/>
      <c r="AD66" s="13"/>
      <c r="AE66" s="47" t="b">
        <v>1</v>
      </c>
      <c r="AF66" s="48">
        <v>45880</v>
      </c>
      <c r="AG66" s="26"/>
      <c r="AH66" s="27" t="b">
        <v>1</v>
      </c>
      <c r="AI66" s="28">
        <v>45915</v>
      </c>
      <c r="AJ66" s="29" t="s">
        <v>466</v>
      </c>
      <c r="AK66" s="27" t="b">
        <v>1</v>
      </c>
      <c r="AL66" s="40">
        <v>45979</v>
      </c>
      <c r="AM66" s="29" t="s">
        <v>466</v>
      </c>
      <c r="AN66" s="29"/>
      <c r="AO66" s="13"/>
      <c r="AP66" s="12"/>
      <c r="AQ66" s="16"/>
      <c r="AR66" s="32"/>
      <c r="AS66" s="33"/>
      <c r="AT66" s="32"/>
      <c r="AU66" s="33"/>
      <c r="AV66" s="34"/>
      <c r="AW66" s="33"/>
      <c r="AX66" s="35" t="b">
        <v>1</v>
      </c>
      <c r="AY66" s="36">
        <f>IF(MOD(H66,4)=0,H66/4,ROUNDUP(H66/4,0))</f>
        <v>6878375</v>
      </c>
      <c r="AZ66" s="37"/>
      <c r="BA66" s="38"/>
      <c r="BB66" s="37"/>
      <c r="BC66" s="38"/>
      <c r="BD66" s="37"/>
      <c r="BE66" s="38"/>
      <c r="BF66" s="37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5" t="b">
        <v>1</v>
      </c>
      <c r="BU66" s="36">
        <f>IF(MOD(H66,4)=0,H66/4,ROUNDDOWN(H66/4,0))</f>
        <v>6878375</v>
      </c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5" t="b">
        <v>1</v>
      </c>
      <c r="CK66" s="36">
        <f>IF(MOD(H66,4)=0,H66/4,ROUNDUP(H66/4,0))</f>
        <v>6878375</v>
      </c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</row>
    <row r="67" spans="1:101" ht="32.25" customHeight="1" x14ac:dyDescent="0.25">
      <c r="A67" s="12">
        <f t="shared" si="0"/>
        <v>66</v>
      </c>
      <c r="B67" s="13" t="s">
        <v>251</v>
      </c>
      <c r="C67" s="13" t="s">
        <v>381</v>
      </c>
      <c r="D67" s="14" t="s">
        <v>467</v>
      </c>
      <c r="E67" s="15" t="s">
        <v>468</v>
      </c>
      <c r="F67" s="15" t="s">
        <v>469</v>
      </c>
      <c r="G67" s="16">
        <v>58</v>
      </c>
      <c r="H67" s="17">
        <v>113984500</v>
      </c>
      <c r="I67" s="18"/>
      <c r="J67" s="18"/>
      <c r="K67" s="18"/>
      <c r="L67" s="18" t="s">
        <v>99</v>
      </c>
      <c r="M67" s="19">
        <v>17129</v>
      </c>
      <c r="N67" s="20" t="s">
        <v>100</v>
      </c>
      <c r="O67" s="13" t="b">
        <v>1</v>
      </c>
      <c r="P67" s="20" t="b">
        <v>0</v>
      </c>
      <c r="Q67" s="20" t="b">
        <v>1</v>
      </c>
      <c r="R67" s="13" t="b">
        <v>0</v>
      </c>
      <c r="S67" s="13" t="b">
        <v>0</v>
      </c>
      <c r="T67" s="13" t="b">
        <v>1</v>
      </c>
      <c r="U67" s="13" t="b">
        <v>1</v>
      </c>
      <c r="V67" s="13" t="b">
        <v>1</v>
      </c>
      <c r="W67" s="13" t="b">
        <v>1</v>
      </c>
      <c r="X67" s="13" t="b">
        <v>0</v>
      </c>
      <c r="Y67" s="21" t="s">
        <v>443</v>
      </c>
      <c r="Z67" s="21" t="s">
        <v>470</v>
      </c>
      <c r="AA67" s="21" t="s">
        <v>471</v>
      </c>
      <c r="AB67" s="22"/>
      <c r="AC67" s="23"/>
      <c r="AD67" s="13"/>
      <c r="AE67" s="47" t="b">
        <v>1</v>
      </c>
      <c r="AF67" s="48">
        <v>45915</v>
      </c>
      <c r="AG67" s="26" t="s">
        <v>304</v>
      </c>
      <c r="AH67" s="27" t="b">
        <v>1</v>
      </c>
      <c r="AI67" s="28">
        <v>45985</v>
      </c>
      <c r="AJ67" s="29"/>
      <c r="AK67" s="39" t="b">
        <v>1</v>
      </c>
      <c r="AL67" s="40">
        <v>46013</v>
      </c>
      <c r="AM67" s="29" t="s">
        <v>472</v>
      </c>
      <c r="AN67" s="29"/>
      <c r="AO67" s="13"/>
      <c r="AP67" s="12"/>
      <c r="AQ67" s="16"/>
      <c r="AR67" s="32"/>
      <c r="AS67" s="33"/>
      <c r="AT67" s="32"/>
      <c r="AU67" s="33"/>
      <c r="AV67" s="34"/>
      <c r="AW67" s="33"/>
      <c r="AX67" s="37"/>
      <c r="AY67" s="38"/>
      <c r="AZ67" s="37"/>
      <c r="BA67" s="38"/>
      <c r="BB67" s="35" t="b">
        <v>1</v>
      </c>
      <c r="BC67" s="36">
        <f t="shared" ref="BC67:BC69" si="27">IF(MOD(H67,4)=0,H67/4,ROUNDUP(H67/4,0))</f>
        <v>28496125</v>
      </c>
      <c r="BD67" s="41"/>
      <c r="BE67" s="36"/>
      <c r="BF67" s="41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41"/>
      <c r="BU67" s="41"/>
      <c r="BV67" s="41"/>
      <c r="BW67" s="41"/>
      <c r="BX67" s="42" t="b">
        <v>1</v>
      </c>
      <c r="BY67" s="41">
        <f>IF(MOD(H67,4)=0,H67/4,ROUNDDOWN(H67/4,0))</f>
        <v>28496125</v>
      </c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37" t="b">
        <v>1</v>
      </c>
      <c r="CU67" s="38">
        <f>IF(MOD(H67,4)=0,H67/4,ROUNDUP(H67/4,0))</f>
        <v>28496125</v>
      </c>
      <c r="CV67" s="38"/>
      <c r="CW67" s="38"/>
    </row>
    <row r="68" spans="1:101" ht="32.25" customHeight="1" x14ac:dyDescent="0.25">
      <c r="A68" s="12">
        <f t="shared" si="0"/>
        <v>67</v>
      </c>
      <c r="B68" s="13" t="s">
        <v>251</v>
      </c>
      <c r="C68" s="13" t="s">
        <v>381</v>
      </c>
      <c r="D68" s="14" t="s">
        <v>473</v>
      </c>
      <c r="E68" s="15" t="s">
        <v>474</v>
      </c>
      <c r="F68" s="15" t="s">
        <v>475</v>
      </c>
      <c r="G68" s="16">
        <v>258</v>
      </c>
      <c r="H68" s="17">
        <v>507034500</v>
      </c>
      <c r="I68" s="18"/>
      <c r="J68" s="18"/>
      <c r="K68" s="18"/>
      <c r="L68" s="18" t="s">
        <v>99</v>
      </c>
      <c r="M68" s="19">
        <v>17130</v>
      </c>
      <c r="N68" s="20" t="s">
        <v>100</v>
      </c>
      <c r="O68" s="13" t="b">
        <v>1</v>
      </c>
      <c r="P68" s="20" t="b">
        <v>1</v>
      </c>
      <c r="Q68" s="20" t="b">
        <v>1</v>
      </c>
      <c r="R68" s="13" t="b">
        <v>1</v>
      </c>
      <c r="S68" s="13" t="b">
        <v>1</v>
      </c>
      <c r="T68" s="13" t="b">
        <v>1</v>
      </c>
      <c r="U68" s="13" t="b">
        <v>1</v>
      </c>
      <c r="V68" s="13" t="b">
        <v>1</v>
      </c>
      <c r="W68" s="13" t="b">
        <v>1</v>
      </c>
      <c r="X68" s="13" t="b">
        <v>1</v>
      </c>
      <c r="Y68" s="21" t="s">
        <v>101</v>
      </c>
      <c r="Z68" s="21" t="s">
        <v>476</v>
      </c>
      <c r="AA68" s="21" t="s">
        <v>477</v>
      </c>
      <c r="AB68" s="22"/>
      <c r="AC68" s="13"/>
      <c r="AD68" s="13"/>
      <c r="AE68" s="47" t="b">
        <v>1</v>
      </c>
      <c r="AF68" s="48">
        <v>45902</v>
      </c>
      <c r="AG68" s="26" t="s">
        <v>425</v>
      </c>
      <c r="AH68" s="27" t="b">
        <v>1</v>
      </c>
      <c r="AI68" s="28">
        <v>45961</v>
      </c>
      <c r="AJ68" s="29" t="s">
        <v>478</v>
      </c>
      <c r="AK68" s="27" t="b">
        <v>1</v>
      </c>
      <c r="AL68" s="40">
        <v>45985</v>
      </c>
      <c r="AM68" s="29" t="s">
        <v>472</v>
      </c>
      <c r="AN68" s="29"/>
      <c r="AO68" s="13"/>
      <c r="AP68" s="12"/>
      <c r="AQ68" s="16"/>
      <c r="AR68" s="32"/>
      <c r="AS68" s="33"/>
      <c r="AT68" s="32"/>
      <c r="AU68" s="33"/>
      <c r="AV68" s="34"/>
      <c r="AW68" s="33"/>
      <c r="AX68" s="37"/>
      <c r="AY68" s="38"/>
      <c r="AZ68" s="37"/>
      <c r="BA68" s="38"/>
      <c r="BB68" s="35" t="b">
        <v>1</v>
      </c>
      <c r="BC68" s="36">
        <f t="shared" si="27"/>
        <v>126758625</v>
      </c>
      <c r="BD68" s="41"/>
      <c r="BE68" s="36"/>
      <c r="BF68" s="41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41"/>
      <c r="BU68" s="41"/>
      <c r="BV68" s="35" t="b">
        <v>1</v>
      </c>
      <c r="BW68" s="41">
        <f>IF(MOD(H68,4)=0,H68/4,ROUNDDOWN(H68/4,0))</f>
        <v>126758625</v>
      </c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35" t="b">
        <v>1</v>
      </c>
      <c r="CK68" s="36">
        <f>IF(MOD(H68,4)=0,H68/4,ROUNDUP(H68/4,0))</f>
        <v>126758625</v>
      </c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</row>
    <row r="69" spans="1:101" ht="32.25" customHeight="1" x14ac:dyDescent="0.25">
      <c r="A69" s="12">
        <f t="shared" si="0"/>
        <v>68</v>
      </c>
      <c r="B69" s="13" t="s">
        <v>251</v>
      </c>
      <c r="C69" s="13" t="s">
        <v>381</v>
      </c>
      <c r="D69" s="14" t="s">
        <v>479</v>
      </c>
      <c r="E69" s="15" t="s">
        <v>480</v>
      </c>
      <c r="F69" s="15" t="s">
        <v>481</v>
      </c>
      <c r="G69" s="16">
        <v>539</v>
      </c>
      <c r="H69" s="17">
        <v>1059269750</v>
      </c>
      <c r="I69" s="18"/>
      <c r="J69" s="18"/>
      <c r="K69" s="18"/>
      <c r="L69" s="18" t="s">
        <v>99</v>
      </c>
      <c r="M69" s="19">
        <v>17131</v>
      </c>
      <c r="N69" s="20" t="s">
        <v>100</v>
      </c>
      <c r="O69" s="13" t="b">
        <v>1</v>
      </c>
      <c r="P69" s="20" t="b">
        <v>1</v>
      </c>
      <c r="Q69" s="20" t="b">
        <v>1</v>
      </c>
      <c r="R69" s="13" t="b">
        <v>1</v>
      </c>
      <c r="S69" s="13" t="b">
        <v>1</v>
      </c>
      <c r="T69" s="13" t="b">
        <v>1</v>
      </c>
      <c r="U69" s="13" t="b">
        <v>1</v>
      </c>
      <c r="V69" s="13" t="b">
        <v>1</v>
      </c>
      <c r="W69" s="13" t="b">
        <v>1</v>
      </c>
      <c r="X69" s="13" t="b">
        <v>1</v>
      </c>
      <c r="Y69" s="21" t="s">
        <v>101</v>
      </c>
      <c r="Z69" s="21" t="s">
        <v>482</v>
      </c>
      <c r="AA69" s="21" t="s">
        <v>483</v>
      </c>
      <c r="AB69" s="22"/>
      <c r="AC69" s="13"/>
      <c r="AD69" s="13"/>
      <c r="AE69" s="13" t="b">
        <v>1</v>
      </c>
      <c r="AF69" s="48">
        <v>45916</v>
      </c>
      <c r="AG69" s="26" t="s">
        <v>104</v>
      </c>
      <c r="AH69" s="27" t="b">
        <v>1</v>
      </c>
      <c r="AI69" s="28">
        <v>45965</v>
      </c>
      <c r="AJ69" s="29" t="s">
        <v>484</v>
      </c>
      <c r="AK69" s="39" t="b">
        <v>1</v>
      </c>
      <c r="AL69" s="40">
        <v>46002</v>
      </c>
      <c r="AM69" s="29" t="s">
        <v>485</v>
      </c>
      <c r="AN69" s="29"/>
      <c r="AO69" s="13"/>
      <c r="AP69" s="12"/>
      <c r="AQ69" s="16"/>
      <c r="AR69" s="32"/>
      <c r="AS69" s="33"/>
      <c r="AT69" s="32"/>
      <c r="AU69" s="33"/>
      <c r="AV69" s="34"/>
      <c r="AW69" s="33"/>
      <c r="AX69" s="37"/>
      <c r="AY69" s="38"/>
      <c r="AZ69" s="37"/>
      <c r="BA69" s="38"/>
      <c r="BB69" s="35" t="b">
        <v>1</v>
      </c>
      <c r="BC69" s="36">
        <f t="shared" si="27"/>
        <v>264817438</v>
      </c>
      <c r="BD69" s="41"/>
      <c r="BE69" s="36"/>
      <c r="BF69" s="41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41"/>
      <c r="BU69" s="41"/>
      <c r="BV69" s="41"/>
      <c r="BW69" s="41"/>
      <c r="BX69" s="42" t="b">
        <v>1</v>
      </c>
      <c r="BY69" s="41">
        <f t="shared" ref="BY69:BY70" si="28">IF(MOD(H69,4)=0,H69/4,ROUNDDOWN(H69/4,0))</f>
        <v>264817437</v>
      </c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12" t="b">
        <v>1</v>
      </c>
      <c r="CS69" s="36">
        <f t="shared" ref="CS69:CS71" si="29">IF(MOD(H69,4)=0,H69/4,ROUNDUP(H69/4,0))</f>
        <v>264817438</v>
      </c>
      <c r="CT69" s="36"/>
      <c r="CU69" s="36"/>
      <c r="CV69" s="36"/>
      <c r="CW69" s="36"/>
    </row>
    <row r="70" spans="1:101" ht="32.25" customHeight="1" x14ac:dyDescent="0.25">
      <c r="A70" s="12">
        <f t="shared" si="0"/>
        <v>69</v>
      </c>
      <c r="B70" s="13" t="s">
        <v>251</v>
      </c>
      <c r="C70" s="13" t="s">
        <v>381</v>
      </c>
      <c r="D70" s="14" t="s">
        <v>486</v>
      </c>
      <c r="E70" s="15" t="s">
        <v>487</v>
      </c>
      <c r="F70" s="15" t="s">
        <v>488</v>
      </c>
      <c r="G70" s="16">
        <v>114</v>
      </c>
      <c r="H70" s="17">
        <v>224038500</v>
      </c>
      <c r="I70" s="18"/>
      <c r="J70" s="18"/>
      <c r="K70" s="18"/>
      <c r="L70" s="18" t="s">
        <v>99</v>
      </c>
      <c r="M70" s="19">
        <v>17132</v>
      </c>
      <c r="N70" s="20" t="s">
        <v>100</v>
      </c>
      <c r="O70" s="13" t="b">
        <v>1</v>
      </c>
      <c r="P70" s="20" t="b">
        <v>1</v>
      </c>
      <c r="Q70" s="20" t="b">
        <v>1</v>
      </c>
      <c r="R70" s="13" t="b">
        <v>1</v>
      </c>
      <c r="S70" s="13" t="b">
        <v>1</v>
      </c>
      <c r="T70" s="13" t="b">
        <v>1</v>
      </c>
      <c r="U70" s="13" t="b">
        <v>1</v>
      </c>
      <c r="V70" s="13" t="b">
        <v>1</v>
      </c>
      <c r="W70" s="13" t="b">
        <v>1</v>
      </c>
      <c r="X70" s="13" t="b">
        <v>1</v>
      </c>
      <c r="Y70" s="21" t="s">
        <v>443</v>
      </c>
      <c r="Z70" s="21" t="s">
        <v>489</v>
      </c>
      <c r="AA70" s="21" t="s">
        <v>490</v>
      </c>
      <c r="AB70" s="22"/>
      <c r="AC70" s="23"/>
      <c r="AD70" s="13"/>
      <c r="AE70" s="47" t="b">
        <v>1</v>
      </c>
      <c r="AF70" s="48">
        <v>45917</v>
      </c>
      <c r="AG70" s="26" t="s">
        <v>491</v>
      </c>
      <c r="AH70" s="39" t="b">
        <v>1</v>
      </c>
      <c r="AI70" s="40">
        <v>45982</v>
      </c>
      <c r="AJ70" s="29" t="s">
        <v>492</v>
      </c>
      <c r="AK70" s="39" t="b">
        <v>1</v>
      </c>
      <c r="AL70" s="40">
        <v>46002</v>
      </c>
      <c r="AM70" s="29" t="s">
        <v>493</v>
      </c>
      <c r="AN70" s="29"/>
      <c r="AO70" s="13"/>
      <c r="AP70" s="12"/>
      <c r="AQ70" s="16"/>
      <c r="AR70" s="32"/>
      <c r="AS70" s="33"/>
      <c r="AT70" s="32"/>
      <c r="AU70" s="33"/>
      <c r="AV70" s="34"/>
      <c r="AW70" s="33"/>
      <c r="AX70" s="37"/>
      <c r="AY70" s="38"/>
      <c r="AZ70" s="37"/>
      <c r="BA70" s="38"/>
      <c r="BB70" s="37"/>
      <c r="BC70" s="38"/>
      <c r="BD70" s="42" t="b">
        <v>1</v>
      </c>
      <c r="BE70" s="36">
        <f>IF(MOD(H70,4)=0,H70/4,ROUNDUP(H70/4,0))</f>
        <v>56009625</v>
      </c>
      <c r="BF70" s="41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41"/>
      <c r="BU70" s="41"/>
      <c r="BV70" s="41"/>
      <c r="BW70" s="41"/>
      <c r="BX70" s="42" t="b">
        <v>1</v>
      </c>
      <c r="BY70" s="41">
        <f t="shared" si="28"/>
        <v>56009625</v>
      </c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12" t="b">
        <v>1</v>
      </c>
      <c r="CS70" s="36">
        <f t="shared" si="29"/>
        <v>56009625</v>
      </c>
      <c r="CT70" s="36"/>
      <c r="CU70" s="36"/>
      <c r="CV70" s="36"/>
      <c r="CW70" s="36"/>
    </row>
    <row r="71" spans="1:101" ht="32.25" customHeight="1" x14ac:dyDescent="0.25">
      <c r="A71" s="12">
        <f t="shared" si="0"/>
        <v>70</v>
      </c>
      <c r="B71" s="13" t="s">
        <v>94</v>
      </c>
      <c r="C71" s="13" t="s">
        <v>494</v>
      </c>
      <c r="D71" s="14" t="s">
        <v>495</v>
      </c>
      <c r="E71" s="15" t="s">
        <v>496</v>
      </c>
      <c r="F71" s="15" t="s">
        <v>497</v>
      </c>
      <c r="G71" s="16">
        <v>504</v>
      </c>
      <c r="H71" s="17">
        <v>859824000</v>
      </c>
      <c r="I71" s="18"/>
      <c r="J71" s="18"/>
      <c r="K71" s="18"/>
      <c r="L71" s="18" t="s">
        <v>99</v>
      </c>
      <c r="M71" s="19">
        <v>17133</v>
      </c>
      <c r="N71" s="20" t="s">
        <v>100</v>
      </c>
      <c r="O71" s="13" t="b">
        <v>1</v>
      </c>
      <c r="P71" s="20" t="b">
        <v>1</v>
      </c>
      <c r="Q71" s="20" t="b">
        <v>1</v>
      </c>
      <c r="R71" s="13" t="b">
        <v>1</v>
      </c>
      <c r="S71" s="13" t="b">
        <v>1</v>
      </c>
      <c r="T71" s="13" t="b">
        <v>1</v>
      </c>
      <c r="U71" s="13" t="b">
        <v>0</v>
      </c>
      <c r="V71" s="13" t="b">
        <v>1</v>
      </c>
      <c r="W71" s="13" t="b">
        <v>1</v>
      </c>
      <c r="X71" s="13" t="b">
        <v>0</v>
      </c>
      <c r="Y71" s="21" t="s">
        <v>101</v>
      </c>
      <c r="Z71" s="21" t="s">
        <v>498</v>
      </c>
      <c r="AA71" s="21" t="s">
        <v>499</v>
      </c>
      <c r="AB71" s="22"/>
      <c r="AC71" s="23"/>
      <c r="AD71" s="13"/>
      <c r="AE71" s="47" t="b">
        <v>1</v>
      </c>
      <c r="AF71" s="48">
        <v>45894</v>
      </c>
      <c r="AG71" s="55" t="s">
        <v>500</v>
      </c>
      <c r="AH71" s="27" t="b">
        <v>1</v>
      </c>
      <c r="AI71" s="48">
        <v>45943</v>
      </c>
      <c r="AJ71" s="56" t="s">
        <v>501</v>
      </c>
      <c r="AK71" s="39" t="b">
        <v>1</v>
      </c>
      <c r="AL71" s="30">
        <v>46007</v>
      </c>
      <c r="AM71" s="39" t="s">
        <v>104</v>
      </c>
      <c r="AN71" s="39"/>
      <c r="AO71" s="13"/>
      <c r="AP71" s="12"/>
      <c r="AQ71" s="16"/>
      <c r="AR71" s="32"/>
      <c r="AS71" s="33"/>
      <c r="AT71" s="32"/>
      <c r="AU71" s="33"/>
      <c r="AV71" s="34"/>
      <c r="AW71" s="33"/>
      <c r="AX71" s="37"/>
      <c r="AY71" s="38"/>
      <c r="AZ71" s="35" t="b">
        <v>1</v>
      </c>
      <c r="BA71" s="36">
        <f>IF(MOD(H71,4)=0,H71/4,ROUNDUP(H71/4,0))</f>
        <v>214956000</v>
      </c>
      <c r="BB71" s="41"/>
      <c r="BC71" s="36"/>
      <c r="BD71" s="41"/>
      <c r="BE71" s="36"/>
      <c r="BF71" s="41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41"/>
      <c r="BU71" s="41"/>
      <c r="BV71" s="35" t="b">
        <v>1</v>
      </c>
      <c r="BW71" s="41">
        <f>IF(MOD(H71,4)=0,H71/4,ROUNDDOWN(H71/4,0))</f>
        <v>214956000</v>
      </c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12" t="b">
        <v>1</v>
      </c>
      <c r="CS71" s="36">
        <f t="shared" si="29"/>
        <v>214956000</v>
      </c>
      <c r="CT71" s="36"/>
      <c r="CU71" s="36"/>
      <c r="CV71" s="36"/>
      <c r="CW71" s="36"/>
    </row>
    <row r="72" spans="1:101" ht="32.25" customHeight="1" x14ac:dyDescent="0.25">
      <c r="A72" s="12">
        <f t="shared" si="0"/>
        <v>71</v>
      </c>
      <c r="B72" s="13" t="s">
        <v>94</v>
      </c>
      <c r="C72" s="13" t="s">
        <v>494</v>
      </c>
      <c r="D72" s="14" t="s">
        <v>502</v>
      </c>
      <c r="E72" s="15" t="s">
        <v>503</v>
      </c>
      <c r="F72" s="15" t="s">
        <v>504</v>
      </c>
      <c r="G72" s="16">
        <v>44</v>
      </c>
      <c r="H72" s="17">
        <v>75064000</v>
      </c>
      <c r="I72" s="18"/>
      <c r="J72" s="18"/>
      <c r="K72" s="18"/>
      <c r="L72" s="18" t="s">
        <v>99</v>
      </c>
      <c r="M72" s="19">
        <v>17134</v>
      </c>
      <c r="N72" s="20" t="s">
        <v>100</v>
      </c>
      <c r="O72" s="13" t="b">
        <v>1</v>
      </c>
      <c r="P72" s="20" t="b">
        <v>1</v>
      </c>
      <c r="Q72" s="20" t="b">
        <v>1</v>
      </c>
      <c r="R72" s="13" t="b">
        <v>1</v>
      </c>
      <c r="S72" s="13" t="b">
        <v>1</v>
      </c>
      <c r="T72" s="13" t="b">
        <v>1</v>
      </c>
      <c r="U72" s="13" t="b">
        <v>0</v>
      </c>
      <c r="V72" s="13" t="b">
        <v>1</v>
      </c>
      <c r="W72" s="13" t="b">
        <v>1</v>
      </c>
      <c r="X72" s="13" t="b">
        <v>1</v>
      </c>
      <c r="Y72" s="21" t="s">
        <v>101</v>
      </c>
      <c r="Z72" s="21" t="s">
        <v>505</v>
      </c>
      <c r="AA72" s="21" t="s">
        <v>506</v>
      </c>
      <c r="AB72" s="22"/>
      <c r="AC72" s="23"/>
      <c r="AD72" s="13"/>
      <c r="AE72" s="13" t="b">
        <v>1</v>
      </c>
      <c r="AF72" s="48">
        <v>46020</v>
      </c>
      <c r="AG72" s="55" t="s">
        <v>446</v>
      </c>
      <c r="AH72" s="39" t="b">
        <v>0</v>
      </c>
      <c r="AI72" s="48"/>
      <c r="AJ72" s="39"/>
      <c r="AK72" s="39" t="b">
        <v>0</v>
      </c>
      <c r="AL72" s="39"/>
      <c r="AM72" s="39"/>
      <c r="AN72" s="39"/>
      <c r="AO72" s="13"/>
      <c r="AP72" s="12"/>
      <c r="AQ72" s="16"/>
      <c r="AR72" s="32"/>
      <c r="AS72" s="33"/>
      <c r="AT72" s="32"/>
      <c r="AU72" s="33"/>
      <c r="AV72" s="34"/>
      <c r="AW72" s="33"/>
      <c r="AX72" s="37"/>
      <c r="AY72" s="38"/>
      <c r="AZ72" s="37"/>
      <c r="BA72" s="38"/>
      <c r="BB72" s="37"/>
      <c r="BC72" s="38"/>
      <c r="BD72" s="37"/>
      <c r="BE72" s="38"/>
      <c r="BF72" s="37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42" t="b">
        <v>1</v>
      </c>
      <c r="BS72" s="38">
        <f>IF(MOD(H72,4)=0,H72/4,ROUNDUP(H72/4,0))</f>
        <v>18766000</v>
      </c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</row>
    <row r="73" spans="1:101" ht="32.25" customHeight="1" x14ac:dyDescent="0.25">
      <c r="A73" s="12">
        <f t="shared" si="0"/>
        <v>72</v>
      </c>
      <c r="B73" s="13" t="s">
        <v>151</v>
      </c>
      <c r="C73" s="13" t="s">
        <v>494</v>
      </c>
      <c r="D73" s="14" t="s">
        <v>507</v>
      </c>
      <c r="E73" s="15" t="s">
        <v>508</v>
      </c>
      <c r="F73" s="15" t="s">
        <v>509</v>
      </c>
      <c r="G73" s="16">
        <v>11</v>
      </c>
      <c r="H73" s="17">
        <v>23372250</v>
      </c>
      <c r="I73" s="18"/>
      <c r="J73" s="18"/>
      <c r="K73" s="18"/>
      <c r="L73" s="18" t="s">
        <v>99</v>
      </c>
      <c r="M73" s="19">
        <v>17135</v>
      </c>
      <c r="N73" s="20" t="s">
        <v>100</v>
      </c>
      <c r="O73" s="13" t="b">
        <v>1</v>
      </c>
      <c r="P73" s="20" t="b">
        <v>1</v>
      </c>
      <c r="Q73" s="20" t="b">
        <v>1</v>
      </c>
      <c r="R73" s="13" t="b">
        <v>1</v>
      </c>
      <c r="S73" s="13" t="b">
        <v>1</v>
      </c>
      <c r="T73" s="13" t="b">
        <v>1</v>
      </c>
      <c r="U73" s="13" t="b">
        <v>1</v>
      </c>
      <c r="V73" s="13" t="b">
        <v>1</v>
      </c>
      <c r="W73" s="13" t="b">
        <v>1</v>
      </c>
      <c r="X73" s="13" t="b">
        <v>1</v>
      </c>
      <c r="Y73" s="21" t="s">
        <v>101</v>
      </c>
      <c r="Z73" s="21" t="s">
        <v>510</v>
      </c>
      <c r="AA73" s="21" t="s">
        <v>511</v>
      </c>
      <c r="AB73" s="22"/>
      <c r="AC73" s="23"/>
      <c r="AD73" s="13"/>
      <c r="AE73" s="47" t="b">
        <v>1</v>
      </c>
      <c r="AF73" s="48">
        <v>45880</v>
      </c>
      <c r="AG73" s="26"/>
      <c r="AH73" s="27" t="b">
        <v>1</v>
      </c>
      <c r="AI73" s="28">
        <v>45915</v>
      </c>
      <c r="AJ73" s="29" t="s">
        <v>512</v>
      </c>
      <c r="AK73" s="27" t="b">
        <v>1</v>
      </c>
      <c r="AL73" s="40">
        <v>45979</v>
      </c>
      <c r="AM73" s="29" t="s">
        <v>229</v>
      </c>
      <c r="AN73" s="29"/>
      <c r="AO73" s="13"/>
      <c r="AP73" s="12"/>
      <c r="AQ73" s="16"/>
      <c r="AR73" s="32"/>
      <c r="AS73" s="33"/>
      <c r="AT73" s="32"/>
      <c r="AU73" s="33"/>
      <c r="AV73" s="34"/>
      <c r="AW73" s="33"/>
      <c r="AX73" s="35" t="b">
        <v>1</v>
      </c>
      <c r="AY73" s="36">
        <f>IF(MOD(H73,4)=0,H73/4,ROUNDUP(H73/4,0))</f>
        <v>5843063</v>
      </c>
      <c r="AZ73" s="37"/>
      <c r="BA73" s="38"/>
      <c r="BB73" s="37"/>
      <c r="BC73" s="38"/>
      <c r="BD73" s="37"/>
      <c r="BE73" s="38"/>
      <c r="BF73" s="37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5" t="b">
        <v>1</v>
      </c>
      <c r="BU73" s="36">
        <f>IF(MOD(H73,4)=0,H73/4,ROUNDDOWN(H73/4,0))</f>
        <v>5843062</v>
      </c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5" t="b">
        <v>1</v>
      </c>
      <c r="CK73" s="36">
        <f>IF(MOD(H73,4)=0,H73/4,ROUNDUP(H73/4,0))</f>
        <v>5843063</v>
      </c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</row>
    <row r="74" spans="1:101" ht="32.25" customHeight="1" x14ac:dyDescent="0.25">
      <c r="A74" s="12">
        <f t="shared" si="0"/>
        <v>73</v>
      </c>
      <c r="B74" s="13" t="s">
        <v>151</v>
      </c>
      <c r="C74" s="13" t="s">
        <v>494</v>
      </c>
      <c r="D74" s="14" t="s">
        <v>513</v>
      </c>
      <c r="E74" s="15" t="s">
        <v>514</v>
      </c>
      <c r="F74" s="15" t="s">
        <v>515</v>
      </c>
      <c r="G74" s="16">
        <v>11</v>
      </c>
      <c r="H74" s="17">
        <v>23372250</v>
      </c>
      <c r="I74" s="18"/>
      <c r="J74" s="18"/>
      <c r="K74" s="18"/>
      <c r="L74" s="18" t="s">
        <v>99</v>
      </c>
      <c r="M74" s="19">
        <v>17136</v>
      </c>
      <c r="N74" s="20" t="s">
        <v>100</v>
      </c>
      <c r="O74" s="13" t="b">
        <v>1</v>
      </c>
      <c r="P74" s="20" t="b">
        <v>1</v>
      </c>
      <c r="Q74" s="20" t="b">
        <v>0</v>
      </c>
      <c r="R74" s="13" t="b">
        <v>1</v>
      </c>
      <c r="S74" s="13" t="b">
        <v>1</v>
      </c>
      <c r="T74" s="13" t="b">
        <v>1</v>
      </c>
      <c r="U74" s="13" t="b">
        <v>1</v>
      </c>
      <c r="V74" s="13" t="b">
        <v>0</v>
      </c>
      <c r="W74" s="13" t="b">
        <v>1</v>
      </c>
      <c r="X74" s="13" t="b">
        <v>0</v>
      </c>
      <c r="Y74" s="21" t="s">
        <v>101</v>
      </c>
      <c r="Z74" s="21" t="s">
        <v>516</v>
      </c>
      <c r="AA74" s="21" t="s">
        <v>517</v>
      </c>
      <c r="AB74" s="22"/>
      <c r="AC74" s="23"/>
      <c r="AD74" s="13"/>
      <c r="AE74" s="47" t="b">
        <v>1</v>
      </c>
      <c r="AF74" s="48">
        <v>45904</v>
      </c>
      <c r="AG74" s="26" t="s">
        <v>419</v>
      </c>
      <c r="AH74" s="27" t="b">
        <v>1</v>
      </c>
      <c r="AI74" s="40">
        <v>45982</v>
      </c>
      <c r="AJ74" s="29" t="s">
        <v>104</v>
      </c>
      <c r="AK74" s="39" t="b">
        <v>1</v>
      </c>
      <c r="AL74" s="40">
        <v>46013</v>
      </c>
      <c r="AM74" s="29" t="s">
        <v>104</v>
      </c>
      <c r="AN74" s="29"/>
      <c r="AO74" s="13"/>
      <c r="AP74" s="12"/>
      <c r="AQ74" s="16"/>
      <c r="AR74" s="32"/>
      <c r="AS74" s="33"/>
      <c r="AT74" s="32"/>
      <c r="AU74" s="33"/>
      <c r="AV74" s="34"/>
      <c r="AW74" s="33"/>
      <c r="AX74" s="37"/>
      <c r="AY74" s="38"/>
      <c r="AZ74" s="37"/>
      <c r="BA74" s="38"/>
      <c r="BB74" s="35" t="b">
        <v>1</v>
      </c>
      <c r="BC74" s="36">
        <f>IF(MOD(H74,4)=0,H74/4,ROUNDUP(H74/4,0))</f>
        <v>5843063</v>
      </c>
      <c r="BD74" s="41"/>
      <c r="BE74" s="36"/>
      <c r="BF74" s="41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41"/>
      <c r="BU74" s="41"/>
      <c r="BV74" s="41"/>
      <c r="BW74" s="41"/>
      <c r="BX74" s="42" t="b">
        <v>1</v>
      </c>
      <c r="BY74" s="41">
        <f>IF(MOD(H74,4)=0,H74/4,ROUNDDOWN(H74/4,0))</f>
        <v>5843062</v>
      </c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37" t="b">
        <v>1</v>
      </c>
      <c r="CU74" s="38">
        <f>IF(MOD(H74,4)=0,H74/4,ROUNDUP(H74/4,0))</f>
        <v>5843063</v>
      </c>
      <c r="CV74" s="38"/>
      <c r="CW74" s="38"/>
    </row>
    <row r="75" spans="1:101" ht="32.25" customHeight="1" x14ac:dyDescent="0.25">
      <c r="A75" s="12">
        <f t="shared" si="0"/>
        <v>74</v>
      </c>
      <c r="B75" s="13" t="s">
        <v>151</v>
      </c>
      <c r="C75" s="13" t="s">
        <v>494</v>
      </c>
      <c r="D75" s="14" t="s">
        <v>518</v>
      </c>
      <c r="E75" s="15" t="s">
        <v>519</v>
      </c>
      <c r="F75" s="15" t="s">
        <v>520</v>
      </c>
      <c r="G75" s="16">
        <v>33</v>
      </c>
      <c r="H75" s="17">
        <v>70116750</v>
      </c>
      <c r="I75" s="18"/>
      <c r="J75" s="18"/>
      <c r="K75" s="18"/>
      <c r="L75" s="18" t="s">
        <v>99</v>
      </c>
      <c r="M75" s="19">
        <v>17137</v>
      </c>
      <c r="N75" s="20" t="s">
        <v>100</v>
      </c>
      <c r="O75" s="13" t="b">
        <v>1</v>
      </c>
      <c r="P75" s="20" t="b">
        <v>1</v>
      </c>
      <c r="Q75" s="20" t="b">
        <v>1</v>
      </c>
      <c r="R75" s="13" t="b">
        <v>0</v>
      </c>
      <c r="S75" s="13" t="b">
        <v>0</v>
      </c>
      <c r="T75" s="13" t="b">
        <v>1</v>
      </c>
      <c r="U75" s="13" t="b">
        <v>1</v>
      </c>
      <c r="V75" s="13" t="b">
        <v>1</v>
      </c>
      <c r="W75" s="13" t="b">
        <v>1</v>
      </c>
      <c r="X75" s="13" t="b">
        <v>1</v>
      </c>
      <c r="Y75" s="21" t="s">
        <v>101</v>
      </c>
      <c r="Z75" s="21" t="s">
        <v>521</v>
      </c>
      <c r="AA75" s="21" t="s">
        <v>522</v>
      </c>
      <c r="AB75" s="22"/>
      <c r="AC75" s="23"/>
      <c r="AD75" s="13"/>
      <c r="AE75" s="13" t="b">
        <v>1</v>
      </c>
      <c r="AF75" s="48">
        <v>45873</v>
      </c>
      <c r="AG75" s="26"/>
      <c r="AH75" s="27" t="b">
        <v>1</v>
      </c>
      <c r="AI75" s="28">
        <v>45936</v>
      </c>
      <c r="AJ75" s="29" t="s">
        <v>523</v>
      </c>
      <c r="AK75" s="27" t="b">
        <v>1</v>
      </c>
      <c r="AL75" s="40">
        <v>45982</v>
      </c>
      <c r="AM75" s="29" t="s">
        <v>104</v>
      </c>
      <c r="AN75" s="29"/>
      <c r="AO75" s="13"/>
      <c r="AP75" s="12"/>
      <c r="AQ75" s="16"/>
      <c r="AR75" s="32"/>
      <c r="AS75" s="33"/>
      <c r="AT75" s="32"/>
      <c r="AU75" s="33"/>
      <c r="AV75" s="34"/>
      <c r="AW75" s="33"/>
      <c r="AX75" s="35" t="b">
        <v>1</v>
      </c>
      <c r="AY75" s="36">
        <f t="shared" ref="AY75:AY78" si="30">IF(MOD(H75,4)=0,H75/4,ROUNDUP(H75/4,0))</f>
        <v>17529188</v>
      </c>
      <c r="AZ75" s="37"/>
      <c r="BA75" s="38"/>
      <c r="BB75" s="37"/>
      <c r="BC75" s="38"/>
      <c r="BD75" s="37"/>
      <c r="BE75" s="38"/>
      <c r="BF75" s="37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5" t="b">
        <v>1</v>
      </c>
      <c r="BU75" s="36">
        <f t="shared" ref="BU75:BU78" si="31">IF(MOD(H75,4)=0,H75/4,ROUNDDOWN(H75/4,0))</f>
        <v>17529187</v>
      </c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5" t="b">
        <v>1</v>
      </c>
      <c r="CK75" s="36">
        <f>IF(MOD(H75,4)=0,H75/4,ROUNDUP(H75/4,0))</f>
        <v>17529188</v>
      </c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</row>
    <row r="76" spans="1:101" ht="32.25" customHeight="1" x14ac:dyDescent="0.25">
      <c r="A76" s="12">
        <f t="shared" si="0"/>
        <v>75</v>
      </c>
      <c r="B76" s="13" t="s">
        <v>151</v>
      </c>
      <c r="C76" s="13" t="s">
        <v>494</v>
      </c>
      <c r="D76" s="14" t="s">
        <v>524</v>
      </c>
      <c r="E76" s="15" t="s">
        <v>525</v>
      </c>
      <c r="F76" s="15" t="s">
        <v>526</v>
      </c>
      <c r="G76" s="16">
        <v>28</v>
      </c>
      <c r="H76" s="17">
        <v>59493000</v>
      </c>
      <c r="I76" s="18"/>
      <c r="J76" s="18"/>
      <c r="K76" s="18"/>
      <c r="L76" s="18" t="s">
        <v>99</v>
      </c>
      <c r="M76" s="19">
        <v>17138</v>
      </c>
      <c r="N76" s="20" t="s">
        <v>100</v>
      </c>
      <c r="O76" s="13" t="b">
        <v>1</v>
      </c>
      <c r="P76" s="20" t="b">
        <v>1</v>
      </c>
      <c r="Q76" s="20" t="b">
        <v>1</v>
      </c>
      <c r="R76" s="13" t="b">
        <v>1</v>
      </c>
      <c r="S76" s="13" t="b">
        <v>1</v>
      </c>
      <c r="T76" s="13" t="b">
        <v>1</v>
      </c>
      <c r="U76" s="13" t="b">
        <v>1</v>
      </c>
      <c r="V76" s="13" t="b">
        <v>1</v>
      </c>
      <c r="W76" s="13" t="b">
        <v>1</v>
      </c>
      <c r="X76" s="13" t="b">
        <v>1</v>
      </c>
      <c r="Y76" s="21" t="s">
        <v>101</v>
      </c>
      <c r="Z76" s="21" t="s">
        <v>527</v>
      </c>
      <c r="AA76" s="21" t="s">
        <v>528</v>
      </c>
      <c r="AB76" s="22"/>
      <c r="AC76" s="23"/>
      <c r="AD76" s="13"/>
      <c r="AE76" s="13" t="b">
        <v>1</v>
      </c>
      <c r="AF76" s="30">
        <v>45877</v>
      </c>
      <c r="AG76" s="26"/>
      <c r="AH76" s="27" t="b">
        <v>1</v>
      </c>
      <c r="AI76" s="48">
        <v>45915</v>
      </c>
      <c r="AJ76" s="29" t="s">
        <v>104</v>
      </c>
      <c r="AK76" s="27" t="b">
        <v>1</v>
      </c>
      <c r="AL76" s="40">
        <v>45987</v>
      </c>
      <c r="AM76" s="29" t="s">
        <v>104</v>
      </c>
      <c r="AN76" s="29"/>
      <c r="AO76" s="13"/>
      <c r="AP76" s="12"/>
      <c r="AQ76" s="16"/>
      <c r="AR76" s="32"/>
      <c r="AS76" s="33"/>
      <c r="AT76" s="32"/>
      <c r="AU76" s="33"/>
      <c r="AV76" s="34"/>
      <c r="AW76" s="33"/>
      <c r="AX76" s="35" t="b">
        <v>1</v>
      </c>
      <c r="AY76" s="36">
        <f t="shared" si="30"/>
        <v>14873250</v>
      </c>
      <c r="AZ76" s="37"/>
      <c r="BA76" s="38"/>
      <c r="BB76" s="37"/>
      <c r="BC76" s="38"/>
      <c r="BD76" s="37"/>
      <c r="BE76" s="38"/>
      <c r="BF76" s="37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5" t="b">
        <v>1</v>
      </c>
      <c r="BU76" s="36">
        <f t="shared" si="31"/>
        <v>14873250</v>
      </c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5" t="b">
        <v>1</v>
      </c>
      <c r="CM76" s="41">
        <f t="shared" ref="CM76:CM77" si="32">IF(MOD(H76,4)=0,H76/4,ROUNDUP(H76/4,0))</f>
        <v>14873250</v>
      </c>
      <c r="CN76" s="41"/>
      <c r="CO76" s="41"/>
      <c r="CP76" s="41"/>
      <c r="CQ76" s="41"/>
      <c r="CR76" s="41"/>
      <c r="CS76" s="41"/>
      <c r="CT76" s="41"/>
      <c r="CU76" s="41"/>
      <c r="CV76" s="41"/>
      <c r="CW76" s="41"/>
    </row>
    <row r="77" spans="1:101" ht="32.25" customHeight="1" x14ac:dyDescent="0.25">
      <c r="A77" s="12">
        <f t="shared" si="0"/>
        <v>76</v>
      </c>
      <c r="B77" s="13" t="s">
        <v>151</v>
      </c>
      <c r="C77" s="13" t="s">
        <v>494</v>
      </c>
      <c r="D77" s="14" t="s">
        <v>529</v>
      </c>
      <c r="E77" s="15" t="s">
        <v>530</v>
      </c>
      <c r="F77" s="15" t="s">
        <v>531</v>
      </c>
      <c r="G77" s="16">
        <v>33</v>
      </c>
      <c r="H77" s="17">
        <v>70116750</v>
      </c>
      <c r="I77" s="18"/>
      <c r="J77" s="18"/>
      <c r="K77" s="18"/>
      <c r="L77" s="18" t="s">
        <v>99</v>
      </c>
      <c r="M77" s="19">
        <v>17139</v>
      </c>
      <c r="N77" s="20" t="s">
        <v>100</v>
      </c>
      <c r="O77" s="13" t="b">
        <v>1</v>
      </c>
      <c r="P77" s="20" t="b">
        <v>1</v>
      </c>
      <c r="Q77" s="20" t="b">
        <v>1</v>
      </c>
      <c r="R77" s="13" t="b">
        <v>1</v>
      </c>
      <c r="S77" s="13" t="b">
        <v>1</v>
      </c>
      <c r="T77" s="13" t="b">
        <v>1</v>
      </c>
      <c r="U77" s="13" t="b">
        <v>1</v>
      </c>
      <c r="V77" s="13" t="b">
        <v>1</v>
      </c>
      <c r="W77" s="13" t="b">
        <v>1</v>
      </c>
      <c r="X77" s="13" t="b">
        <v>1</v>
      </c>
      <c r="Y77" s="21" t="s">
        <v>101</v>
      </c>
      <c r="Z77" s="21" t="s">
        <v>532</v>
      </c>
      <c r="AA77" s="21" t="s">
        <v>533</v>
      </c>
      <c r="AB77" s="22"/>
      <c r="AC77" s="23"/>
      <c r="AD77" s="13"/>
      <c r="AE77" s="13" t="b">
        <v>1</v>
      </c>
      <c r="AF77" s="30">
        <v>45877</v>
      </c>
      <c r="AG77" s="26"/>
      <c r="AH77" s="27" t="b">
        <v>1</v>
      </c>
      <c r="AI77" s="28">
        <v>45915</v>
      </c>
      <c r="AJ77" s="29" t="s">
        <v>104</v>
      </c>
      <c r="AK77" s="27" t="b">
        <v>1</v>
      </c>
      <c r="AL77" s="40">
        <v>45987</v>
      </c>
      <c r="AM77" s="29" t="s">
        <v>104</v>
      </c>
      <c r="AN77" s="29"/>
      <c r="AO77" s="13"/>
      <c r="AP77" s="12"/>
      <c r="AQ77" s="16"/>
      <c r="AR77" s="32"/>
      <c r="AS77" s="33"/>
      <c r="AT77" s="32"/>
      <c r="AU77" s="33"/>
      <c r="AV77" s="34"/>
      <c r="AW77" s="33"/>
      <c r="AX77" s="35" t="b">
        <v>1</v>
      </c>
      <c r="AY77" s="36">
        <f t="shared" si="30"/>
        <v>17529188</v>
      </c>
      <c r="AZ77" s="37"/>
      <c r="BA77" s="38"/>
      <c r="BB77" s="37"/>
      <c r="BC77" s="38"/>
      <c r="BD77" s="37"/>
      <c r="BE77" s="38"/>
      <c r="BF77" s="37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5" t="b">
        <v>1</v>
      </c>
      <c r="BU77" s="36">
        <f t="shared" si="31"/>
        <v>17529187</v>
      </c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5" t="b">
        <v>1</v>
      </c>
      <c r="CM77" s="41">
        <f t="shared" si="32"/>
        <v>17529188</v>
      </c>
      <c r="CN77" s="41"/>
      <c r="CO77" s="41"/>
      <c r="CP77" s="41"/>
      <c r="CQ77" s="41"/>
      <c r="CR77" s="41"/>
      <c r="CS77" s="41"/>
      <c r="CT77" s="41"/>
      <c r="CU77" s="41"/>
      <c r="CV77" s="41"/>
      <c r="CW77" s="41"/>
    </row>
    <row r="78" spans="1:101" ht="32.25" customHeight="1" x14ac:dyDescent="0.25">
      <c r="A78" s="12">
        <f t="shared" si="0"/>
        <v>77</v>
      </c>
      <c r="B78" s="13" t="s">
        <v>134</v>
      </c>
      <c r="C78" s="13" t="s">
        <v>494</v>
      </c>
      <c r="D78" s="14" t="s">
        <v>534</v>
      </c>
      <c r="E78" s="15" t="s">
        <v>535</v>
      </c>
      <c r="F78" s="15" t="s">
        <v>536</v>
      </c>
      <c r="G78" s="16">
        <v>225</v>
      </c>
      <c r="H78" s="17">
        <v>380475000</v>
      </c>
      <c r="I78" s="18"/>
      <c r="J78" s="18"/>
      <c r="K78" s="18"/>
      <c r="L78" s="18" t="s">
        <v>99</v>
      </c>
      <c r="M78" s="19">
        <v>17140</v>
      </c>
      <c r="N78" s="20" t="s">
        <v>100</v>
      </c>
      <c r="O78" s="13" t="b">
        <v>1</v>
      </c>
      <c r="P78" s="20" t="b">
        <v>1</v>
      </c>
      <c r="Q78" s="20" t="b">
        <v>1</v>
      </c>
      <c r="R78" s="13" t="b">
        <v>1</v>
      </c>
      <c r="S78" s="13" t="b">
        <v>1</v>
      </c>
      <c r="T78" s="13" t="b">
        <v>1</v>
      </c>
      <c r="U78" s="13" t="b">
        <v>1</v>
      </c>
      <c r="V78" s="13" t="b">
        <v>1</v>
      </c>
      <c r="W78" s="13" t="b">
        <v>1</v>
      </c>
      <c r="X78" s="13" t="b">
        <v>0</v>
      </c>
      <c r="Y78" s="21" t="s">
        <v>182</v>
      </c>
      <c r="Z78" s="21" t="s">
        <v>537</v>
      </c>
      <c r="AA78" s="21" t="s">
        <v>535</v>
      </c>
      <c r="AB78" s="22"/>
      <c r="AC78" s="23"/>
      <c r="AD78" s="13"/>
      <c r="AE78" s="47" t="b">
        <v>1</v>
      </c>
      <c r="AF78" s="48">
        <v>45880</v>
      </c>
      <c r="AG78" s="49" t="s">
        <v>104</v>
      </c>
      <c r="AH78" s="27" t="b">
        <v>1</v>
      </c>
      <c r="AI78" s="28">
        <v>45931</v>
      </c>
      <c r="AJ78" s="29" t="s">
        <v>104</v>
      </c>
      <c r="AK78" s="39" t="b">
        <v>1</v>
      </c>
      <c r="AL78" s="40">
        <v>45996</v>
      </c>
      <c r="AM78" s="29" t="s">
        <v>104</v>
      </c>
      <c r="AN78" s="29"/>
      <c r="AO78" s="13"/>
      <c r="AP78" s="12"/>
      <c r="AQ78" s="16"/>
      <c r="AR78" s="32"/>
      <c r="AS78" s="33"/>
      <c r="AT78" s="32"/>
      <c r="AU78" s="33"/>
      <c r="AV78" s="34"/>
      <c r="AW78" s="33"/>
      <c r="AX78" s="35" t="b">
        <v>1</v>
      </c>
      <c r="AY78" s="36">
        <f t="shared" si="30"/>
        <v>95118750</v>
      </c>
      <c r="AZ78" s="37"/>
      <c r="BA78" s="38"/>
      <c r="BB78" s="37"/>
      <c r="BC78" s="38"/>
      <c r="BD78" s="37"/>
      <c r="BE78" s="38"/>
      <c r="BF78" s="37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5" t="b">
        <v>1</v>
      </c>
      <c r="BU78" s="36">
        <f t="shared" si="31"/>
        <v>95118750</v>
      </c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5" t="b">
        <v>1</v>
      </c>
      <c r="CQ78" s="41">
        <f>IF(MOD(H78,4)=0,H78/4,ROUNDUP(H78/4,0))</f>
        <v>95118750</v>
      </c>
      <c r="CR78" s="41"/>
      <c r="CS78" s="41"/>
      <c r="CT78" s="41"/>
      <c r="CU78" s="41"/>
      <c r="CV78" s="41"/>
      <c r="CW78" s="41"/>
    </row>
    <row r="79" spans="1:101" ht="32.25" customHeight="1" x14ac:dyDescent="0.25">
      <c r="A79" s="12">
        <f t="shared" si="0"/>
        <v>78</v>
      </c>
      <c r="B79" s="13" t="s">
        <v>134</v>
      </c>
      <c r="C79" s="13" t="s">
        <v>494</v>
      </c>
      <c r="D79" s="14" t="s">
        <v>538</v>
      </c>
      <c r="E79" s="15" t="s">
        <v>539</v>
      </c>
      <c r="F79" s="15" t="s">
        <v>540</v>
      </c>
      <c r="G79" s="16">
        <v>185</v>
      </c>
      <c r="H79" s="17">
        <v>312835000</v>
      </c>
      <c r="I79" s="18"/>
      <c r="J79" s="18"/>
      <c r="K79" s="18"/>
      <c r="L79" s="18" t="s">
        <v>99</v>
      </c>
      <c r="M79" s="19">
        <v>17141</v>
      </c>
      <c r="N79" s="20" t="s">
        <v>100</v>
      </c>
      <c r="O79" s="13" t="b">
        <v>1</v>
      </c>
      <c r="P79" s="20" t="b">
        <v>1</v>
      </c>
      <c r="Q79" s="20" t="b">
        <v>1</v>
      </c>
      <c r="R79" s="13" t="b">
        <v>1</v>
      </c>
      <c r="S79" s="13" t="b">
        <v>1</v>
      </c>
      <c r="T79" s="13" t="b">
        <v>1</v>
      </c>
      <c r="U79" s="13" t="b">
        <v>1</v>
      </c>
      <c r="V79" s="13" t="b">
        <v>1</v>
      </c>
      <c r="W79" s="13" t="b">
        <v>1</v>
      </c>
      <c r="X79" s="13" t="b">
        <v>0</v>
      </c>
      <c r="Y79" s="21" t="s">
        <v>101</v>
      </c>
      <c r="Z79" s="21" t="s">
        <v>541</v>
      </c>
      <c r="AA79" s="21" t="s">
        <v>542</v>
      </c>
      <c r="AB79" s="22"/>
      <c r="AC79" s="23"/>
      <c r="AD79" s="13"/>
      <c r="AE79" s="47" t="b">
        <v>1</v>
      </c>
      <c r="AF79" s="48">
        <v>45896</v>
      </c>
      <c r="AG79" s="26" t="s">
        <v>543</v>
      </c>
      <c r="AH79" s="39" t="b">
        <v>1</v>
      </c>
      <c r="AI79" s="40">
        <v>45982</v>
      </c>
      <c r="AJ79" s="29" t="s">
        <v>104</v>
      </c>
      <c r="AK79" s="39" t="b">
        <v>1</v>
      </c>
      <c r="AL79" s="40">
        <v>46008</v>
      </c>
      <c r="AM79" s="29" t="s">
        <v>104</v>
      </c>
      <c r="AN79" s="29"/>
      <c r="AO79" s="13"/>
      <c r="AP79" s="12"/>
      <c r="AQ79" s="16"/>
      <c r="AR79" s="32"/>
      <c r="AS79" s="33"/>
      <c r="AT79" s="32"/>
      <c r="AU79" s="33"/>
      <c r="AV79" s="34"/>
      <c r="AW79" s="33"/>
      <c r="AX79" s="37"/>
      <c r="AY79" s="38"/>
      <c r="AZ79" s="35" t="b">
        <v>1</v>
      </c>
      <c r="BA79" s="36">
        <f>IF(MOD(H79,4)=0,H79/4,ROUNDUP(H79/4,0))</f>
        <v>78208750</v>
      </c>
      <c r="BB79" s="41"/>
      <c r="BC79" s="36"/>
      <c r="BD79" s="41"/>
      <c r="BE79" s="36"/>
      <c r="BF79" s="41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41"/>
      <c r="BU79" s="41"/>
      <c r="BV79" s="41"/>
      <c r="BW79" s="41"/>
      <c r="BX79" s="42" t="b">
        <v>1</v>
      </c>
      <c r="BY79" s="41">
        <f>IF(MOD(H79,4)=0,H79/4,ROUNDDOWN(H79/4,0))</f>
        <v>78208750</v>
      </c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12" t="b">
        <v>1</v>
      </c>
      <c r="CS79" s="36">
        <f>IF(MOD(H79,4)=0,H79/4,ROUNDUP(H79/4,0))</f>
        <v>78208750</v>
      </c>
      <c r="CT79" s="36"/>
      <c r="CU79" s="36"/>
      <c r="CV79" s="36"/>
      <c r="CW79" s="36"/>
    </row>
    <row r="80" spans="1:101" ht="32.25" customHeight="1" x14ac:dyDescent="0.25">
      <c r="A80" s="12">
        <f t="shared" si="0"/>
        <v>79</v>
      </c>
      <c r="B80" s="13" t="s">
        <v>134</v>
      </c>
      <c r="C80" s="13" t="s">
        <v>494</v>
      </c>
      <c r="D80" s="14" t="s">
        <v>544</v>
      </c>
      <c r="E80" s="15" t="s">
        <v>545</v>
      </c>
      <c r="F80" s="15" t="s">
        <v>546</v>
      </c>
      <c r="G80" s="16">
        <v>266</v>
      </c>
      <c r="H80" s="17">
        <v>449806000</v>
      </c>
      <c r="I80" s="18"/>
      <c r="J80" s="18"/>
      <c r="K80" s="18"/>
      <c r="L80" s="18" t="s">
        <v>99</v>
      </c>
      <c r="M80" s="19">
        <v>17142</v>
      </c>
      <c r="N80" s="20" t="s">
        <v>100</v>
      </c>
      <c r="O80" s="13" t="b">
        <v>1</v>
      </c>
      <c r="P80" s="20" t="b">
        <v>1</v>
      </c>
      <c r="Q80" s="20" t="b">
        <v>1</v>
      </c>
      <c r="R80" s="13" t="b">
        <v>1</v>
      </c>
      <c r="S80" s="13" t="b">
        <v>1</v>
      </c>
      <c r="T80" s="13" t="b">
        <v>1</v>
      </c>
      <c r="U80" s="13" t="b">
        <v>1</v>
      </c>
      <c r="V80" s="13" t="b">
        <v>1</v>
      </c>
      <c r="W80" s="13" t="b">
        <v>1</v>
      </c>
      <c r="X80" s="13" t="b">
        <v>0</v>
      </c>
      <c r="Y80" s="21" t="s">
        <v>101</v>
      </c>
      <c r="Z80" s="21" t="s">
        <v>547</v>
      </c>
      <c r="AA80" s="21" t="s">
        <v>548</v>
      </c>
      <c r="AB80" s="22"/>
      <c r="AC80" s="23"/>
      <c r="AD80" s="13"/>
      <c r="AE80" s="13" t="b">
        <v>1</v>
      </c>
      <c r="AF80" s="48">
        <v>45880</v>
      </c>
      <c r="AG80" s="26"/>
      <c r="AH80" s="27" t="b">
        <v>1</v>
      </c>
      <c r="AI80" s="28">
        <v>45931</v>
      </c>
      <c r="AJ80" s="29" t="s">
        <v>104</v>
      </c>
      <c r="AK80" s="27" t="b">
        <v>1</v>
      </c>
      <c r="AL80" s="40">
        <v>45982</v>
      </c>
      <c r="AM80" s="29" t="s">
        <v>104</v>
      </c>
      <c r="AN80" s="29"/>
      <c r="AO80" s="13"/>
      <c r="AP80" s="12"/>
      <c r="AQ80" s="16"/>
      <c r="AR80" s="32"/>
      <c r="AS80" s="33"/>
      <c r="AT80" s="32"/>
      <c r="AU80" s="33"/>
      <c r="AV80" s="34"/>
      <c r="AW80" s="33"/>
      <c r="AX80" s="35" t="b">
        <v>1</v>
      </c>
      <c r="AY80" s="36">
        <f t="shared" ref="AY80:AY82" si="33">IF(MOD(H80,4)=0,H80/4,ROUNDUP(H80/4,0))</f>
        <v>112451500</v>
      </c>
      <c r="AZ80" s="37"/>
      <c r="BA80" s="38"/>
      <c r="BB80" s="37"/>
      <c r="BC80" s="38"/>
      <c r="BD80" s="37"/>
      <c r="BE80" s="38"/>
      <c r="BF80" s="37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5" t="b">
        <v>1</v>
      </c>
      <c r="BU80" s="36">
        <f>IF(MOD(H80,4)=0,H80/4,ROUNDDOWN(H80/4,0))</f>
        <v>112451500</v>
      </c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5" t="b">
        <v>1</v>
      </c>
      <c r="CK80" s="36">
        <f>IF(MOD(H80,4)=0,H80/4,ROUNDUP(H80/4,0))</f>
        <v>112451500</v>
      </c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</row>
    <row r="81" spans="1:101" ht="32.25" customHeight="1" x14ac:dyDescent="0.25">
      <c r="A81" s="12">
        <f t="shared" si="0"/>
        <v>80</v>
      </c>
      <c r="B81" s="13" t="s">
        <v>134</v>
      </c>
      <c r="C81" s="13" t="s">
        <v>494</v>
      </c>
      <c r="D81" s="14" t="s">
        <v>549</v>
      </c>
      <c r="E81" s="15" t="s">
        <v>550</v>
      </c>
      <c r="F81" s="15" t="s">
        <v>551</v>
      </c>
      <c r="G81" s="16">
        <v>335</v>
      </c>
      <c r="H81" s="17">
        <v>566485000</v>
      </c>
      <c r="I81" s="18"/>
      <c r="J81" s="18"/>
      <c r="K81" s="18"/>
      <c r="L81" s="18" t="s">
        <v>99</v>
      </c>
      <c r="M81" s="19">
        <v>17143</v>
      </c>
      <c r="N81" s="20" t="s">
        <v>100</v>
      </c>
      <c r="O81" s="13" t="b">
        <v>1</v>
      </c>
      <c r="P81" s="20" t="b">
        <v>1</v>
      </c>
      <c r="Q81" s="20" t="b">
        <v>1</v>
      </c>
      <c r="R81" s="13" t="b">
        <v>1</v>
      </c>
      <c r="S81" s="13" t="b">
        <v>1</v>
      </c>
      <c r="T81" s="13" t="b">
        <v>1</v>
      </c>
      <c r="U81" s="13" t="b">
        <v>1</v>
      </c>
      <c r="V81" s="13" t="b">
        <v>1</v>
      </c>
      <c r="W81" s="13" t="b">
        <v>1</v>
      </c>
      <c r="X81" s="13" t="b">
        <v>0</v>
      </c>
      <c r="Y81" s="21" t="s">
        <v>101</v>
      </c>
      <c r="Z81" s="21" t="s">
        <v>552</v>
      </c>
      <c r="AA81" s="21" t="s">
        <v>553</v>
      </c>
      <c r="AB81" s="22"/>
      <c r="AC81" s="23"/>
      <c r="AD81" s="13"/>
      <c r="AE81" s="47" t="b">
        <v>1</v>
      </c>
      <c r="AF81" s="30">
        <v>45880</v>
      </c>
      <c r="AG81" s="26" t="s">
        <v>554</v>
      </c>
      <c r="AH81" s="27" t="b">
        <v>1</v>
      </c>
      <c r="AI81" s="28">
        <v>45951</v>
      </c>
      <c r="AJ81" s="49" t="s">
        <v>555</v>
      </c>
      <c r="AK81" s="39" t="b">
        <v>1</v>
      </c>
      <c r="AL81" s="40">
        <v>46002</v>
      </c>
      <c r="AM81" s="29" t="s">
        <v>104</v>
      </c>
      <c r="AN81" s="29"/>
      <c r="AO81" s="13"/>
      <c r="AP81" s="12"/>
      <c r="AQ81" s="16"/>
      <c r="AR81" s="32"/>
      <c r="AS81" s="33"/>
      <c r="AT81" s="32"/>
      <c r="AU81" s="33"/>
      <c r="AV81" s="34"/>
      <c r="AW81" s="33"/>
      <c r="AX81" s="35" t="b">
        <v>1</v>
      </c>
      <c r="AY81" s="36">
        <f t="shared" si="33"/>
        <v>141621250</v>
      </c>
      <c r="AZ81" s="37"/>
      <c r="BA81" s="38"/>
      <c r="BB81" s="37"/>
      <c r="BC81" s="38"/>
      <c r="BD81" s="37"/>
      <c r="BE81" s="38"/>
      <c r="BF81" s="37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7"/>
      <c r="BU81" s="37"/>
      <c r="BV81" s="35" t="b">
        <v>1</v>
      </c>
      <c r="BW81" s="41">
        <f t="shared" ref="BW81:BW83" si="34">IF(MOD(H81,4)=0,H81/4,ROUNDDOWN(H81/4,0))</f>
        <v>141621250</v>
      </c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12" t="b">
        <v>1</v>
      </c>
      <c r="CS81" s="36">
        <f>IF(MOD(H81,4)=0,H81/4,ROUNDUP(H81/4,0))</f>
        <v>141621250</v>
      </c>
      <c r="CT81" s="36"/>
      <c r="CU81" s="36"/>
      <c r="CV81" s="36"/>
      <c r="CW81" s="36"/>
    </row>
    <row r="82" spans="1:101" ht="32.25" customHeight="1" x14ac:dyDescent="0.25">
      <c r="A82" s="12">
        <f t="shared" si="0"/>
        <v>81</v>
      </c>
      <c r="B82" s="13" t="s">
        <v>134</v>
      </c>
      <c r="C82" s="13" t="s">
        <v>494</v>
      </c>
      <c r="D82" s="14" t="s">
        <v>556</v>
      </c>
      <c r="E82" s="15" t="s">
        <v>557</v>
      </c>
      <c r="F82" s="15" t="s">
        <v>558</v>
      </c>
      <c r="G82" s="16">
        <v>43</v>
      </c>
      <c r="H82" s="17">
        <v>72713000</v>
      </c>
      <c r="I82" s="18"/>
      <c r="J82" s="18"/>
      <c r="K82" s="18"/>
      <c r="L82" s="18" t="s">
        <v>99</v>
      </c>
      <c r="M82" s="19">
        <v>17144</v>
      </c>
      <c r="N82" s="20" t="s">
        <v>100</v>
      </c>
      <c r="O82" s="13" t="b">
        <v>1</v>
      </c>
      <c r="P82" s="20" t="b">
        <v>1</v>
      </c>
      <c r="Q82" s="20" t="b">
        <v>1</v>
      </c>
      <c r="R82" s="13" t="b">
        <v>1</v>
      </c>
      <c r="S82" s="13" t="b">
        <v>1</v>
      </c>
      <c r="T82" s="13" t="b">
        <v>1</v>
      </c>
      <c r="U82" s="13" t="b">
        <v>1</v>
      </c>
      <c r="V82" s="13" t="b">
        <v>1</v>
      </c>
      <c r="W82" s="13" t="b">
        <v>1</v>
      </c>
      <c r="X82" s="13" t="b">
        <v>1</v>
      </c>
      <c r="Y82" s="21" t="s">
        <v>101</v>
      </c>
      <c r="Z82" s="21" t="s">
        <v>559</v>
      </c>
      <c r="AA82" s="21" t="s">
        <v>560</v>
      </c>
      <c r="AB82" s="22"/>
      <c r="AC82" s="23"/>
      <c r="AD82" s="13"/>
      <c r="AE82" s="13" t="b">
        <v>1</v>
      </c>
      <c r="AF82" s="48">
        <v>45880</v>
      </c>
      <c r="AG82" s="26"/>
      <c r="AH82" s="27" t="b">
        <v>1</v>
      </c>
      <c r="AI82" s="28">
        <v>45944</v>
      </c>
      <c r="AJ82" s="29"/>
      <c r="AK82" s="39" t="b">
        <v>1</v>
      </c>
      <c r="AL82" s="40">
        <v>45996</v>
      </c>
      <c r="AM82" s="29"/>
      <c r="AN82" s="29"/>
      <c r="AO82" s="13"/>
      <c r="AP82" s="12"/>
      <c r="AQ82" s="16"/>
      <c r="AR82" s="32"/>
      <c r="AS82" s="33"/>
      <c r="AT82" s="32"/>
      <c r="AU82" s="33"/>
      <c r="AV82" s="34"/>
      <c r="AW82" s="33"/>
      <c r="AX82" s="35" t="b">
        <v>1</v>
      </c>
      <c r="AY82" s="36">
        <f t="shared" si="33"/>
        <v>18178250</v>
      </c>
      <c r="AZ82" s="37"/>
      <c r="BA82" s="38"/>
      <c r="BB82" s="37"/>
      <c r="BC82" s="38"/>
      <c r="BD82" s="37"/>
      <c r="BE82" s="38"/>
      <c r="BF82" s="37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7"/>
      <c r="BU82" s="37"/>
      <c r="BV82" s="35" t="b">
        <v>1</v>
      </c>
      <c r="BW82" s="41">
        <f t="shared" si="34"/>
        <v>18178250</v>
      </c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35" t="b">
        <v>1</v>
      </c>
      <c r="CQ82" s="41">
        <f t="shared" ref="CQ82:CQ84" si="35">IF(MOD(H82,4)=0,H82/4,ROUNDUP(H82/4,0))</f>
        <v>18178250</v>
      </c>
      <c r="CR82" s="41"/>
      <c r="CS82" s="41"/>
      <c r="CT82" s="41"/>
      <c r="CU82" s="41"/>
      <c r="CV82" s="41"/>
      <c r="CW82" s="41"/>
    </row>
    <row r="83" spans="1:101" ht="32.25" customHeight="1" x14ac:dyDescent="0.25">
      <c r="A83" s="12">
        <f t="shared" si="0"/>
        <v>82</v>
      </c>
      <c r="B83" s="13" t="s">
        <v>134</v>
      </c>
      <c r="C83" s="13" t="s">
        <v>494</v>
      </c>
      <c r="D83" s="14" t="s">
        <v>561</v>
      </c>
      <c r="E83" s="15" t="s">
        <v>562</v>
      </c>
      <c r="F83" s="15" t="s">
        <v>563</v>
      </c>
      <c r="G83" s="16">
        <v>349</v>
      </c>
      <c r="H83" s="17">
        <v>590159000</v>
      </c>
      <c r="I83" s="18"/>
      <c r="J83" s="18"/>
      <c r="K83" s="18"/>
      <c r="L83" s="18" t="s">
        <v>99</v>
      </c>
      <c r="M83" s="19">
        <v>17145</v>
      </c>
      <c r="N83" s="20" t="s">
        <v>100</v>
      </c>
      <c r="O83" s="13" t="b">
        <v>1</v>
      </c>
      <c r="P83" s="20" t="b">
        <v>1</v>
      </c>
      <c r="Q83" s="20" t="b">
        <v>1</v>
      </c>
      <c r="R83" s="13" t="b">
        <v>1</v>
      </c>
      <c r="S83" s="13" t="b">
        <v>1</v>
      </c>
      <c r="T83" s="13" t="b">
        <v>1</v>
      </c>
      <c r="U83" s="13" t="b">
        <v>1</v>
      </c>
      <c r="V83" s="13" t="b">
        <v>1</v>
      </c>
      <c r="W83" s="13" t="b">
        <v>1</v>
      </c>
      <c r="X83" s="13" t="b">
        <v>1</v>
      </c>
      <c r="Y83" s="21" t="s">
        <v>101</v>
      </c>
      <c r="Z83" s="21" t="s">
        <v>564</v>
      </c>
      <c r="AA83" s="21" t="s">
        <v>565</v>
      </c>
      <c r="AB83" s="22"/>
      <c r="AC83" s="23"/>
      <c r="AD83" s="13"/>
      <c r="AE83" s="13" t="b">
        <v>1</v>
      </c>
      <c r="AF83" s="48">
        <v>45898</v>
      </c>
      <c r="AG83" s="26"/>
      <c r="AH83" s="39" t="b">
        <v>1</v>
      </c>
      <c r="AI83" s="28">
        <v>45944</v>
      </c>
      <c r="AJ83" s="49" t="s">
        <v>478</v>
      </c>
      <c r="AK83" s="39" t="b">
        <v>1</v>
      </c>
      <c r="AL83" s="40">
        <v>46001</v>
      </c>
      <c r="AM83" s="29" t="s">
        <v>104</v>
      </c>
      <c r="AN83" s="29"/>
      <c r="AO83" s="13"/>
      <c r="AP83" s="12"/>
      <c r="AQ83" s="16"/>
      <c r="AR83" s="12"/>
      <c r="AS83" s="33"/>
      <c r="AT83" s="32"/>
      <c r="AU83" s="33"/>
      <c r="AV83" s="34"/>
      <c r="AW83" s="33"/>
      <c r="AX83" s="37"/>
      <c r="AY83" s="38"/>
      <c r="AZ83" s="37"/>
      <c r="BA83" s="38"/>
      <c r="BB83" s="35" t="b">
        <v>1</v>
      </c>
      <c r="BC83" s="36">
        <f t="shared" ref="BC83:BC84" si="36">IF(MOD(H83,4)=0,H83/4,ROUNDUP(H83/4,0))</f>
        <v>147539750</v>
      </c>
      <c r="BD83" s="41"/>
      <c r="BE83" s="36"/>
      <c r="BF83" s="41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41"/>
      <c r="BU83" s="41"/>
      <c r="BV83" s="35" t="b">
        <v>1</v>
      </c>
      <c r="BW83" s="41">
        <f t="shared" si="34"/>
        <v>147539750</v>
      </c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35" t="b">
        <v>1</v>
      </c>
      <c r="CQ83" s="41">
        <f t="shared" si="35"/>
        <v>147539750</v>
      </c>
      <c r="CR83" s="41"/>
      <c r="CS83" s="41"/>
      <c r="CT83" s="41"/>
      <c r="CU83" s="41"/>
      <c r="CV83" s="41"/>
      <c r="CW83" s="41"/>
    </row>
    <row r="84" spans="1:101" ht="32.25" customHeight="1" x14ac:dyDescent="0.25">
      <c r="A84" s="12">
        <f t="shared" si="0"/>
        <v>83</v>
      </c>
      <c r="B84" s="13" t="s">
        <v>134</v>
      </c>
      <c r="C84" s="13" t="s">
        <v>494</v>
      </c>
      <c r="D84" s="14" t="s">
        <v>566</v>
      </c>
      <c r="E84" s="15" t="s">
        <v>567</v>
      </c>
      <c r="F84" s="15" t="s">
        <v>568</v>
      </c>
      <c r="G84" s="16">
        <v>676</v>
      </c>
      <c r="H84" s="17">
        <v>1143116000</v>
      </c>
      <c r="I84" s="18"/>
      <c r="J84" s="18"/>
      <c r="K84" s="18"/>
      <c r="L84" s="18" t="s">
        <v>99</v>
      </c>
      <c r="M84" s="19">
        <v>17146</v>
      </c>
      <c r="N84" s="20" t="s">
        <v>100</v>
      </c>
      <c r="O84" s="13" t="b">
        <v>1</v>
      </c>
      <c r="P84" s="20" t="b">
        <v>1</v>
      </c>
      <c r="Q84" s="20" t="b">
        <v>1</v>
      </c>
      <c r="R84" s="13" t="b">
        <v>1</v>
      </c>
      <c r="S84" s="13" t="b">
        <v>1</v>
      </c>
      <c r="T84" s="13" t="b">
        <v>1</v>
      </c>
      <c r="U84" s="13" t="b">
        <v>1</v>
      </c>
      <c r="V84" s="13" t="b">
        <v>1</v>
      </c>
      <c r="W84" s="13" t="b">
        <v>1</v>
      </c>
      <c r="X84" s="13" t="b">
        <v>1</v>
      </c>
      <c r="Y84" s="21" t="s">
        <v>182</v>
      </c>
      <c r="Z84" s="21" t="s">
        <v>569</v>
      </c>
      <c r="AA84" s="21" t="s">
        <v>570</v>
      </c>
      <c r="AB84" s="22"/>
      <c r="AC84" s="23"/>
      <c r="AD84" s="13"/>
      <c r="AE84" s="47" t="b">
        <v>1</v>
      </c>
      <c r="AF84" s="48">
        <v>45915</v>
      </c>
      <c r="AG84" s="26" t="s">
        <v>571</v>
      </c>
      <c r="AH84" s="27" t="b">
        <v>1</v>
      </c>
      <c r="AI84" s="30">
        <v>45978</v>
      </c>
      <c r="AJ84" s="26" t="s">
        <v>571</v>
      </c>
      <c r="AK84" s="39" t="b">
        <v>1</v>
      </c>
      <c r="AL84" s="40">
        <v>46001</v>
      </c>
      <c r="AM84" s="29" t="s">
        <v>433</v>
      </c>
      <c r="AN84" s="29"/>
      <c r="AO84" s="13"/>
      <c r="AP84" s="12"/>
      <c r="AQ84" s="16"/>
      <c r="AR84" s="32"/>
      <c r="AS84" s="33"/>
      <c r="AT84" s="32"/>
      <c r="AU84" s="33"/>
      <c r="AV84" s="34"/>
      <c r="AW84" s="33"/>
      <c r="AX84" s="37"/>
      <c r="AY84" s="38"/>
      <c r="AZ84" s="37"/>
      <c r="BA84" s="38"/>
      <c r="BB84" s="35" t="b">
        <v>1</v>
      </c>
      <c r="BC84" s="36">
        <f t="shared" si="36"/>
        <v>285779000</v>
      </c>
      <c r="BD84" s="41"/>
      <c r="BE84" s="36"/>
      <c r="BF84" s="41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41"/>
      <c r="BU84" s="41"/>
      <c r="BV84" s="41"/>
      <c r="BW84" s="41"/>
      <c r="BX84" s="42" t="b">
        <v>1</v>
      </c>
      <c r="BY84" s="41">
        <f>IF(MOD(H84,4)=0,H84/4,ROUNDDOWN(H84/4,0))</f>
        <v>285779000</v>
      </c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35" t="b">
        <v>1</v>
      </c>
      <c r="CQ84" s="41">
        <f t="shared" si="35"/>
        <v>285779000</v>
      </c>
      <c r="CR84" s="41"/>
      <c r="CS84" s="41"/>
      <c r="CT84" s="41"/>
      <c r="CU84" s="41"/>
      <c r="CV84" s="41"/>
      <c r="CW84" s="41"/>
    </row>
    <row r="85" spans="1:101" ht="32.25" customHeight="1" x14ac:dyDescent="0.25">
      <c r="A85" s="12">
        <f t="shared" si="0"/>
        <v>84</v>
      </c>
      <c r="B85" s="13" t="s">
        <v>134</v>
      </c>
      <c r="C85" s="13" t="s">
        <v>494</v>
      </c>
      <c r="D85" s="14" t="s">
        <v>572</v>
      </c>
      <c r="E85" s="15" t="s">
        <v>573</v>
      </c>
      <c r="F85" s="15" t="s">
        <v>574</v>
      </c>
      <c r="G85" s="16">
        <v>37</v>
      </c>
      <c r="H85" s="17">
        <v>62567000</v>
      </c>
      <c r="I85" s="18"/>
      <c r="J85" s="18"/>
      <c r="K85" s="18"/>
      <c r="L85" s="18" t="s">
        <v>99</v>
      </c>
      <c r="M85" s="19">
        <v>17147</v>
      </c>
      <c r="N85" s="20" t="s">
        <v>100</v>
      </c>
      <c r="O85" s="13" t="b">
        <v>1</v>
      </c>
      <c r="P85" s="20" t="b">
        <v>1</v>
      </c>
      <c r="Q85" s="20" t="b">
        <v>1</v>
      </c>
      <c r="R85" s="13" t="b">
        <v>0</v>
      </c>
      <c r="S85" s="13" t="b">
        <v>0</v>
      </c>
      <c r="T85" s="13" t="b">
        <v>1</v>
      </c>
      <c r="U85" s="13" t="b">
        <v>0</v>
      </c>
      <c r="V85" s="13" t="b">
        <v>1</v>
      </c>
      <c r="W85" s="13" t="b">
        <v>1</v>
      </c>
      <c r="X85" s="13" t="b">
        <v>1</v>
      </c>
      <c r="Y85" s="21" t="s">
        <v>182</v>
      </c>
      <c r="Z85" s="21" t="s">
        <v>575</v>
      </c>
      <c r="AA85" s="21" t="s">
        <v>573</v>
      </c>
      <c r="AB85" s="22"/>
      <c r="AC85" s="23"/>
      <c r="AD85" s="13"/>
      <c r="AE85" s="47" t="b">
        <v>1</v>
      </c>
      <c r="AF85" s="48">
        <v>45880</v>
      </c>
      <c r="AG85" s="26" t="s">
        <v>576</v>
      </c>
      <c r="AH85" s="27" t="b">
        <v>1</v>
      </c>
      <c r="AI85" s="28">
        <v>45931</v>
      </c>
      <c r="AJ85" s="29" t="s">
        <v>577</v>
      </c>
      <c r="AK85" s="27" t="b">
        <v>1</v>
      </c>
      <c r="AL85" s="40">
        <v>45982</v>
      </c>
      <c r="AM85" s="29" t="s">
        <v>104</v>
      </c>
      <c r="AN85" s="29"/>
      <c r="AO85" s="13"/>
      <c r="AP85" s="12"/>
      <c r="AQ85" s="16"/>
      <c r="AR85" s="32"/>
      <c r="AS85" s="33"/>
      <c r="AT85" s="32"/>
      <c r="AU85" s="33"/>
      <c r="AV85" s="34"/>
      <c r="AW85" s="33"/>
      <c r="AX85" s="35" t="b">
        <v>1</v>
      </c>
      <c r="AY85" s="36">
        <f t="shared" ref="AY85:AY86" si="37">IF(MOD(H85,4)=0,H85/4,ROUNDUP(H85/4,0))</f>
        <v>15641750</v>
      </c>
      <c r="AZ85" s="37"/>
      <c r="BA85" s="38"/>
      <c r="BB85" s="37"/>
      <c r="BC85" s="38"/>
      <c r="BD85" s="37"/>
      <c r="BE85" s="38"/>
      <c r="BF85" s="37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5" t="b">
        <v>1</v>
      </c>
      <c r="BU85" s="36">
        <f>IF(MOD(H85,4)=0,H85/4,ROUNDDOWN(H85/4,0))</f>
        <v>15641750</v>
      </c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5" t="b">
        <v>1</v>
      </c>
      <c r="CK85" s="36">
        <f t="shared" ref="CK85:CK86" si="38">IF(MOD(H85,4)=0,H85/4,ROUNDUP(H85/4,0))</f>
        <v>15641750</v>
      </c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</row>
    <row r="86" spans="1:101" ht="32.25" customHeight="1" x14ac:dyDescent="0.25">
      <c r="A86" s="12">
        <f t="shared" si="0"/>
        <v>85</v>
      </c>
      <c r="B86" s="13" t="s">
        <v>251</v>
      </c>
      <c r="C86" s="13" t="s">
        <v>494</v>
      </c>
      <c r="D86" s="14" t="s">
        <v>578</v>
      </c>
      <c r="E86" s="15" t="s">
        <v>579</v>
      </c>
      <c r="F86" s="15" t="s">
        <v>580</v>
      </c>
      <c r="G86" s="16">
        <v>104</v>
      </c>
      <c r="H86" s="17">
        <v>209976000</v>
      </c>
      <c r="I86" s="18"/>
      <c r="J86" s="18"/>
      <c r="K86" s="18"/>
      <c r="L86" s="18" t="s">
        <v>99</v>
      </c>
      <c r="M86" s="19">
        <v>17148</v>
      </c>
      <c r="N86" s="20" t="s">
        <v>100</v>
      </c>
      <c r="O86" s="13" t="b">
        <v>1</v>
      </c>
      <c r="P86" s="20" t="b">
        <v>1</v>
      </c>
      <c r="Q86" s="20" t="b">
        <v>1</v>
      </c>
      <c r="R86" s="13" t="b">
        <v>1</v>
      </c>
      <c r="S86" s="13" t="b">
        <v>1</v>
      </c>
      <c r="T86" s="13" t="b">
        <v>1</v>
      </c>
      <c r="U86" s="13" t="b">
        <v>1</v>
      </c>
      <c r="V86" s="13" t="b">
        <v>1</v>
      </c>
      <c r="W86" s="13" t="b">
        <v>1</v>
      </c>
      <c r="X86" s="13" t="b">
        <v>1</v>
      </c>
      <c r="Y86" s="21" t="s">
        <v>443</v>
      </c>
      <c r="Z86" s="21" t="s">
        <v>581</v>
      </c>
      <c r="AA86" s="21" t="s">
        <v>582</v>
      </c>
      <c r="AB86" s="22"/>
      <c r="AC86" s="23"/>
      <c r="AD86" s="13"/>
      <c r="AE86" s="13" t="b">
        <v>1</v>
      </c>
      <c r="AF86" s="48">
        <v>45876</v>
      </c>
      <c r="AG86" s="26" t="s">
        <v>583</v>
      </c>
      <c r="AH86" s="27" t="b">
        <v>1</v>
      </c>
      <c r="AI86" s="28">
        <v>45944</v>
      </c>
      <c r="AJ86" s="49" t="s">
        <v>577</v>
      </c>
      <c r="AK86" s="39" t="b">
        <v>1</v>
      </c>
      <c r="AL86" s="40">
        <v>45982</v>
      </c>
      <c r="AM86" s="29" t="s">
        <v>104</v>
      </c>
      <c r="AN86" s="29"/>
      <c r="AO86" s="13"/>
      <c r="AP86" s="12"/>
      <c r="AQ86" s="16"/>
      <c r="AR86" s="32"/>
      <c r="AS86" s="33"/>
      <c r="AT86" s="32"/>
      <c r="AU86" s="33"/>
      <c r="AV86" s="34"/>
      <c r="AW86" s="33"/>
      <c r="AX86" s="35" t="b">
        <v>1</v>
      </c>
      <c r="AY86" s="36">
        <f t="shared" si="37"/>
        <v>52494000</v>
      </c>
      <c r="AZ86" s="37"/>
      <c r="BA86" s="38"/>
      <c r="BB86" s="37"/>
      <c r="BC86" s="38"/>
      <c r="BD86" s="37"/>
      <c r="BE86" s="38"/>
      <c r="BF86" s="37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7"/>
      <c r="BU86" s="37"/>
      <c r="BV86" s="35" t="b">
        <v>1</v>
      </c>
      <c r="BW86" s="41">
        <f>IF(MOD(H86,4)=0,H86/4,ROUNDDOWN(H86/4,0))</f>
        <v>52494000</v>
      </c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35" t="b">
        <v>1</v>
      </c>
      <c r="CK86" s="36">
        <f t="shared" si="38"/>
        <v>52494000</v>
      </c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</row>
    <row r="87" spans="1:101" ht="32.25" customHeight="1" x14ac:dyDescent="0.25">
      <c r="A87" s="12">
        <f t="shared" si="0"/>
        <v>86</v>
      </c>
      <c r="B87" s="13" t="s">
        <v>251</v>
      </c>
      <c r="C87" s="13" t="s">
        <v>494</v>
      </c>
      <c r="D87" s="14" t="s">
        <v>584</v>
      </c>
      <c r="E87" s="15" t="s">
        <v>585</v>
      </c>
      <c r="F87" s="15" t="s">
        <v>586</v>
      </c>
      <c r="G87" s="16">
        <v>37</v>
      </c>
      <c r="H87" s="17">
        <v>74703000</v>
      </c>
      <c r="I87" s="18"/>
      <c r="J87" s="18"/>
      <c r="K87" s="18"/>
      <c r="L87" s="18" t="s">
        <v>99</v>
      </c>
      <c r="M87" s="19">
        <v>17149</v>
      </c>
      <c r="N87" s="20" t="s">
        <v>100</v>
      </c>
      <c r="O87" s="13" t="b">
        <v>1</v>
      </c>
      <c r="P87" s="20" t="b">
        <v>1</v>
      </c>
      <c r="Q87" s="20" t="b">
        <v>1</v>
      </c>
      <c r="R87" s="13" t="b">
        <v>1</v>
      </c>
      <c r="S87" s="13" t="b">
        <v>1</v>
      </c>
      <c r="T87" s="13" t="b">
        <v>1</v>
      </c>
      <c r="U87" s="13" t="b">
        <v>1</v>
      </c>
      <c r="V87" s="13" t="b">
        <v>1</v>
      </c>
      <c r="W87" s="13" t="b">
        <v>1</v>
      </c>
      <c r="X87" s="13" t="b">
        <v>0</v>
      </c>
      <c r="Y87" s="21" t="s">
        <v>443</v>
      </c>
      <c r="Z87" s="21" t="s">
        <v>587</v>
      </c>
      <c r="AA87" s="21" t="s">
        <v>588</v>
      </c>
      <c r="AB87" s="22"/>
      <c r="AC87" s="23"/>
      <c r="AD87" s="13"/>
      <c r="AE87" s="47" t="b">
        <v>1</v>
      </c>
      <c r="AF87" s="48">
        <v>45904</v>
      </c>
      <c r="AG87" s="26" t="s">
        <v>589</v>
      </c>
      <c r="AH87" s="27" t="b">
        <v>1</v>
      </c>
      <c r="AI87" s="28">
        <v>45949</v>
      </c>
      <c r="AJ87" s="26" t="s">
        <v>589</v>
      </c>
      <c r="AK87" s="39" t="b">
        <v>1</v>
      </c>
      <c r="AL87" s="40">
        <v>45996</v>
      </c>
      <c r="AM87" s="29" t="s">
        <v>590</v>
      </c>
      <c r="AN87" s="29"/>
      <c r="AO87" s="13"/>
      <c r="AP87" s="12"/>
      <c r="AQ87" s="16"/>
      <c r="AR87" s="32"/>
      <c r="AS87" s="33"/>
      <c r="AT87" s="32"/>
      <c r="AU87" s="33"/>
      <c r="AV87" s="34"/>
      <c r="AW87" s="33"/>
      <c r="AX87" s="37"/>
      <c r="AY87" s="38"/>
      <c r="AZ87" s="37"/>
      <c r="BA87" s="38"/>
      <c r="BB87" s="35" t="b">
        <v>1</v>
      </c>
      <c r="BC87" s="36">
        <f>IF(MOD(H87,4)=0,H87/4,ROUNDUP(H87/4,0))</f>
        <v>18675750</v>
      </c>
      <c r="BD87" s="41"/>
      <c r="BE87" s="36"/>
      <c r="BF87" s="41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41"/>
      <c r="BU87" s="41"/>
      <c r="BV87" s="41"/>
      <c r="BW87" s="41"/>
      <c r="BX87" s="41"/>
      <c r="BY87" s="41"/>
      <c r="BZ87" s="41"/>
      <c r="CA87" s="41"/>
      <c r="CB87" s="42" t="b">
        <v>1</v>
      </c>
      <c r="CC87" s="38">
        <f>IF(MOD(H87,4)=0,H87/4,ROUNDDOWN(H87/4,0))</f>
        <v>18675750</v>
      </c>
      <c r="CD87" s="38"/>
      <c r="CE87" s="38"/>
      <c r="CF87" s="38"/>
      <c r="CG87" s="38"/>
      <c r="CH87" s="38"/>
      <c r="CI87" s="38"/>
      <c r="CJ87" s="41"/>
      <c r="CK87" s="41"/>
      <c r="CL87" s="41"/>
      <c r="CM87" s="41"/>
      <c r="CN87" s="41"/>
      <c r="CO87" s="41"/>
      <c r="CP87" s="35" t="b">
        <v>1</v>
      </c>
      <c r="CQ87" s="41">
        <f t="shared" ref="CQ87:CQ88" si="39">IF(MOD(H87,4)=0,H87/4,ROUNDUP(H87/4,0))</f>
        <v>18675750</v>
      </c>
      <c r="CR87" s="41"/>
      <c r="CS87" s="41"/>
      <c r="CT87" s="41"/>
      <c r="CU87" s="41"/>
      <c r="CV87" s="41"/>
      <c r="CW87" s="41"/>
    </row>
    <row r="88" spans="1:101" ht="32.25" customHeight="1" x14ac:dyDescent="0.25">
      <c r="A88" s="12">
        <f t="shared" si="0"/>
        <v>87</v>
      </c>
      <c r="B88" s="13" t="s">
        <v>251</v>
      </c>
      <c r="C88" s="13" t="s">
        <v>494</v>
      </c>
      <c r="D88" s="14" t="s">
        <v>591</v>
      </c>
      <c r="E88" s="15" t="s">
        <v>592</v>
      </c>
      <c r="F88" s="15" t="s">
        <v>593</v>
      </c>
      <c r="G88" s="16">
        <v>113</v>
      </c>
      <c r="H88" s="17">
        <v>228147000</v>
      </c>
      <c r="I88" s="18"/>
      <c r="J88" s="18"/>
      <c r="K88" s="18"/>
      <c r="L88" s="18" t="s">
        <v>99</v>
      </c>
      <c r="M88" s="19">
        <v>17150</v>
      </c>
      <c r="N88" s="20" t="s">
        <v>100</v>
      </c>
      <c r="O88" s="13" t="b">
        <v>1</v>
      </c>
      <c r="P88" s="20" t="b">
        <v>1</v>
      </c>
      <c r="Q88" s="20" t="b">
        <v>1</v>
      </c>
      <c r="R88" s="13" t="b">
        <v>1</v>
      </c>
      <c r="S88" s="13" t="b">
        <v>1</v>
      </c>
      <c r="T88" s="13" t="b">
        <v>1</v>
      </c>
      <c r="U88" s="13" t="b">
        <v>1</v>
      </c>
      <c r="V88" s="13" t="b">
        <v>1</v>
      </c>
      <c r="W88" s="13" t="b">
        <v>1</v>
      </c>
      <c r="X88" s="13" t="b">
        <v>1</v>
      </c>
      <c r="Y88" s="21" t="s">
        <v>443</v>
      </c>
      <c r="Z88" s="21" t="s">
        <v>594</v>
      </c>
      <c r="AA88" s="21" t="s">
        <v>592</v>
      </c>
      <c r="AB88" s="22"/>
      <c r="AC88" s="13"/>
      <c r="AD88" s="13"/>
      <c r="AE88" s="13" t="b">
        <v>1</v>
      </c>
      <c r="AF88" s="48">
        <v>45896</v>
      </c>
      <c r="AG88" s="49" t="s">
        <v>104</v>
      </c>
      <c r="AH88" s="27" t="b">
        <v>1</v>
      </c>
      <c r="AI88" s="28">
        <v>45946</v>
      </c>
      <c r="AJ88" s="49" t="s">
        <v>104</v>
      </c>
      <c r="AK88" s="39" t="b">
        <v>1</v>
      </c>
      <c r="AL88" s="40">
        <v>45996</v>
      </c>
      <c r="AM88" s="29" t="s">
        <v>104</v>
      </c>
      <c r="AN88" s="29"/>
      <c r="AO88" s="13"/>
      <c r="AP88" s="12"/>
      <c r="AQ88" s="16"/>
      <c r="AR88" s="32"/>
      <c r="AS88" s="33"/>
      <c r="AT88" s="32"/>
      <c r="AU88" s="33"/>
      <c r="AV88" s="34"/>
      <c r="AW88" s="33"/>
      <c r="AX88" s="37"/>
      <c r="AY88" s="38"/>
      <c r="AZ88" s="35" t="b">
        <v>1</v>
      </c>
      <c r="BA88" s="36">
        <f>IF(MOD(H88,4)=0,H88/4,ROUNDUP(H88/4,0))</f>
        <v>57036750</v>
      </c>
      <c r="BB88" s="41"/>
      <c r="BC88" s="36"/>
      <c r="BD88" s="41"/>
      <c r="BE88" s="36"/>
      <c r="BF88" s="41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41"/>
      <c r="BU88" s="41"/>
      <c r="BV88" s="35" t="b">
        <v>1</v>
      </c>
      <c r="BW88" s="41">
        <f t="shared" ref="BW88:BW90" si="40">IF(MOD(H88,4)=0,H88/4,ROUNDDOWN(H88/4,0))</f>
        <v>57036750</v>
      </c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35" t="b">
        <v>1</v>
      </c>
      <c r="CQ88" s="41">
        <f t="shared" si="39"/>
        <v>57036750</v>
      </c>
      <c r="CR88" s="41"/>
      <c r="CS88" s="41"/>
      <c r="CT88" s="41"/>
      <c r="CU88" s="41"/>
      <c r="CV88" s="41"/>
      <c r="CW88" s="41"/>
    </row>
    <row r="89" spans="1:101" ht="32.25" customHeight="1" x14ac:dyDescent="0.25">
      <c r="A89" s="12">
        <f t="shared" si="0"/>
        <v>88</v>
      </c>
      <c r="B89" s="13" t="s">
        <v>251</v>
      </c>
      <c r="C89" s="13" t="s">
        <v>494</v>
      </c>
      <c r="D89" s="14" t="s">
        <v>595</v>
      </c>
      <c r="E89" s="15" t="s">
        <v>596</v>
      </c>
      <c r="F89" s="15" t="s">
        <v>597</v>
      </c>
      <c r="G89" s="16">
        <v>59</v>
      </c>
      <c r="H89" s="17">
        <v>119121000</v>
      </c>
      <c r="I89" s="18"/>
      <c r="J89" s="18"/>
      <c r="K89" s="18"/>
      <c r="L89" s="18" t="s">
        <v>99</v>
      </c>
      <c r="M89" s="19">
        <v>17151</v>
      </c>
      <c r="N89" s="20" t="s">
        <v>100</v>
      </c>
      <c r="O89" s="13" t="b">
        <v>1</v>
      </c>
      <c r="P89" s="20" t="b">
        <v>1</v>
      </c>
      <c r="Q89" s="20" t="b">
        <v>1</v>
      </c>
      <c r="R89" s="13" t="b">
        <v>1</v>
      </c>
      <c r="S89" s="13" t="b">
        <v>1</v>
      </c>
      <c r="T89" s="13" t="b">
        <v>1</v>
      </c>
      <c r="U89" s="13" t="b">
        <v>1</v>
      </c>
      <c r="V89" s="13" t="b">
        <v>1</v>
      </c>
      <c r="W89" s="13" t="b">
        <v>1</v>
      </c>
      <c r="X89" s="13" t="b">
        <v>0</v>
      </c>
      <c r="Y89" s="21" t="s">
        <v>443</v>
      </c>
      <c r="Z89" s="21" t="s">
        <v>598</v>
      </c>
      <c r="AA89" s="21" t="s">
        <v>599</v>
      </c>
      <c r="AB89" s="22"/>
      <c r="AC89" s="23"/>
      <c r="AD89" s="13"/>
      <c r="AE89" s="47" t="b">
        <v>1</v>
      </c>
      <c r="AF89" s="48">
        <v>45915</v>
      </c>
      <c r="AG89" s="49" t="s">
        <v>600</v>
      </c>
      <c r="AH89" s="27" t="b">
        <v>1</v>
      </c>
      <c r="AI89" s="28">
        <v>45958</v>
      </c>
      <c r="AJ89" s="29" t="s">
        <v>601</v>
      </c>
      <c r="AK89" s="39" t="b">
        <v>1</v>
      </c>
      <c r="AL89" s="40">
        <v>46008</v>
      </c>
      <c r="AM89" s="29" t="s">
        <v>601</v>
      </c>
      <c r="AN89" s="29"/>
      <c r="AO89" s="13"/>
      <c r="AP89" s="12"/>
      <c r="AQ89" s="16"/>
      <c r="AR89" s="32"/>
      <c r="AS89" s="33"/>
      <c r="AT89" s="32"/>
      <c r="AU89" s="33"/>
      <c r="AV89" s="34"/>
      <c r="AW89" s="33"/>
      <c r="AX89" s="37"/>
      <c r="AY89" s="38"/>
      <c r="AZ89" s="37"/>
      <c r="BA89" s="38"/>
      <c r="BB89" s="35" t="b">
        <v>1</v>
      </c>
      <c r="BC89" s="36">
        <f t="shared" ref="BC89:BC90" si="41">IF(MOD(H89,4)=0,H89/4,ROUNDUP(H89/4,0))</f>
        <v>29780250</v>
      </c>
      <c r="BD89" s="41"/>
      <c r="BE89" s="36"/>
      <c r="BF89" s="41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41"/>
      <c r="BU89" s="41"/>
      <c r="BV89" s="35" t="b">
        <v>1</v>
      </c>
      <c r="BW89" s="41">
        <f t="shared" si="40"/>
        <v>29780250</v>
      </c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12" t="b">
        <v>1</v>
      </c>
      <c r="CS89" s="36">
        <f>IF(MOD(H89,4)=0,H89/4,ROUNDUP(H89/4,0))</f>
        <v>29780250</v>
      </c>
      <c r="CT89" s="36"/>
      <c r="CU89" s="36"/>
      <c r="CV89" s="36"/>
      <c r="CW89" s="36"/>
    </row>
    <row r="90" spans="1:101" ht="32.25" customHeight="1" x14ac:dyDescent="0.25">
      <c r="A90" s="12">
        <f t="shared" si="0"/>
        <v>89</v>
      </c>
      <c r="B90" s="13" t="s">
        <v>251</v>
      </c>
      <c r="C90" s="13" t="s">
        <v>494</v>
      </c>
      <c r="D90" s="14" t="s">
        <v>602</v>
      </c>
      <c r="E90" s="15" t="s">
        <v>603</v>
      </c>
      <c r="F90" s="15" t="s">
        <v>604</v>
      </c>
      <c r="G90" s="16">
        <v>64</v>
      </c>
      <c r="H90" s="17">
        <v>129216000</v>
      </c>
      <c r="I90" s="18"/>
      <c r="J90" s="18"/>
      <c r="K90" s="18"/>
      <c r="L90" s="18" t="s">
        <v>99</v>
      </c>
      <c r="M90" s="19">
        <v>17152</v>
      </c>
      <c r="N90" s="20" t="s">
        <v>100</v>
      </c>
      <c r="O90" s="13" t="b">
        <v>1</v>
      </c>
      <c r="P90" s="20" t="b">
        <v>1</v>
      </c>
      <c r="Q90" s="20" t="b">
        <v>1</v>
      </c>
      <c r="R90" s="13" t="b">
        <v>1</v>
      </c>
      <c r="S90" s="13" t="b">
        <v>1</v>
      </c>
      <c r="T90" s="13" t="b">
        <v>1</v>
      </c>
      <c r="U90" s="13" t="b">
        <v>1</v>
      </c>
      <c r="V90" s="13" t="b">
        <v>1</v>
      </c>
      <c r="W90" s="13" t="b">
        <v>1</v>
      </c>
      <c r="X90" s="13" t="b">
        <v>1</v>
      </c>
      <c r="Y90" s="21" t="s">
        <v>101</v>
      </c>
      <c r="Z90" s="21" t="s">
        <v>605</v>
      </c>
      <c r="AA90" s="21" t="s">
        <v>606</v>
      </c>
      <c r="AB90" s="22"/>
      <c r="AC90" s="23"/>
      <c r="AD90" s="13"/>
      <c r="AE90" s="13" t="b">
        <v>1</v>
      </c>
      <c r="AF90" s="30">
        <v>45904</v>
      </c>
      <c r="AG90" s="49"/>
      <c r="AH90" s="27" t="b">
        <v>1</v>
      </c>
      <c r="AI90" s="28">
        <v>45943</v>
      </c>
      <c r="AJ90" s="49" t="s">
        <v>607</v>
      </c>
      <c r="AK90" s="39" t="b">
        <v>1</v>
      </c>
      <c r="AL90" s="40">
        <v>45996</v>
      </c>
      <c r="AM90" s="49" t="s">
        <v>608</v>
      </c>
      <c r="AN90" s="29"/>
      <c r="AO90" s="13"/>
      <c r="AP90" s="12"/>
      <c r="AQ90" s="16"/>
      <c r="AR90" s="32"/>
      <c r="AS90" s="33"/>
      <c r="AT90" s="32"/>
      <c r="AU90" s="33"/>
      <c r="AV90" s="34"/>
      <c r="AW90" s="33"/>
      <c r="AX90" s="37"/>
      <c r="AY90" s="38"/>
      <c r="AZ90" s="37"/>
      <c r="BA90" s="38"/>
      <c r="BB90" s="35" t="b">
        <v>1</v>
      </c>
      <c r="BC90" s="36">
        <f t="shared" si="41"/>
        <v>32304000</v>
      </c>
      <c r="BD90" s="41"/>
      <c r="BE90" s="36"/>
      <c r="BF90" s="41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41"/>
      <c r="BU90" s="41"/>
      <c r="BV90" s="35" t="b">
        <v>1</v>
      </c>
      <c r="BW90" s="41">
        <f t="shared" si="40"/>
        <v>32304000</v>
      </c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35" t="b">
        <v>1</v>
      </c>
      <c r="CQ90" s="41">
        <f>IF(MOD(H90,4)=0,H90/4,ROUNDUP(H90/4,0))</f>
        <v>32304000</v>
      </c>
      <c r="CR90" s="41"/>
      <c r="CS90" s="41"/>
      <c r="CT90" s="41"/>
      <c r="CU90" s="41"/>
      <c r="CV90" s="41"/>
      <c r="CW90" s="41"/>
    </row>
    <row r="91" spans="1:101" ht="32.25" customHeight="1" x14ac:dyDescent="0.25">
      <c r="A91" s="12">
        <f t="shared" si="0"/>
        <v>90</v>
      </c>
      <c r="B91" s="13" t="s">
        <v>251</v>
      </c>
      <c r="C91" s="13" t="s">
        <v>494</v>
      </c>
      <c r="D91" s="14" t="s">
        <v>609</v>
      </c>
      <c r="E91" s="15" t="s">
        <v>610</v>
      </c>
      <c r="F91" s="15" t="s">
        <v>611</v>
      </c>
      <c r="G91" s="16">
        <v>368</v>
      </c>
      <c r="H91" s="17">
        <v>742992000</v>
      </c>
      <c r="I91" s="18"/>
      <c r="J91" s="18"/>
      <c r="K91" s="18"/>
      <c r="L91" s="18" t="s">
        <v>99</v>
      </c>
      <c r="M91" s="19">
        <v>17153</v>
      </c>
      <c r="N91" s="20" t="s">
        <v>100</v>
      </c>
      <c r="O91" s="13" t="b">
        <v>1</v>
      </c>
      <c r="P91" s="20" t="b">
        <v>1</v>
      </c>
      <c r="Q91" s="20" t="b">
        <v>1</v>
      </c>
      <c r="R91" s="13" t="b">
        <v>1</v>
      </c>
      <c r="S91" s="13" t="b">
        <v>1</v>
      </c>
      <c r="T91" s="13" t="b">
        <v>1</v>
      </c>
      <c r="U91" s="13" t="b">
        <v>1</v>
      </c>
      <c r="V91" s="13" t="b">
        <v>1</v>
      </c>
      <c r="W91" s="13" t="b">
        <v>1</v>
      </c>
      <c r="X91" s="13" t="b">
        <v>1</v>
      </c>
      <c r="Y91" s="21" t="s">
        <v>101</v>
      </c>
      <c r="Z91" s="51" t="s">
        <v>612</v>
      </c>
      <c r="AA91" s="21" t="s">
        <v>613</v>
      </c>
      <c r="AB91" s="22"/>
      <c r="AC91" s="23"/>
      <c r="AD91" s="13"/>
      <c r="AE91" s="47" t="b">
        <v>1</v>
      </c>
      <c r="AF91" s="48">
        <v>45880</v>
      </c>
      <c r="AG91" s="49" t="s">
        <v>104</v>
      </c>
      <c r="AH91" s="27" t="b">
        <v>1</v>
      </c>
      <c r="AI91" s="28">
        <v>45931</v>
      </c>
      <c r="AJ91" s="29" t="s">
        <v>104</v>
      </c>
      <c r="AK91" s="27" t="b">
        <v>1</v>
      </c>
      <c r="AL91" s="40">
        <v>45982</v>
      </c>
      <c r="AM91" s="29" t="s">
        <v>104</v>
      </c>
      <c r="AN91" s="29"/>
      <c r="AO91" s="13"/>
      <c r="AP91" s="12"/>
      <c r="AQ91" s="16"/>
      <c r="AR91" s="32"/>
      <c r="AS91" s="33"/>
      <c r="AT91" s="32"/>
      <c r="AU91" s="33"/>
      <c r="AV91" s="34"/>
      <c r="AW91" s="33"/>
      <c r="AX91" s="35" t="b">
        <v>1</v>
      </c>
      <c r="AY91" s="36">
        <f t="shared" ref="AY91:AY94" si="42">IF(MOD(H91,4)=0,H91/4,ROUNDUP(H91/4,0))</f>
        <v>185748000</v>
      </c>
      <c r="AZ91" s="37"/>
      <c r="BA91" s="38"/>
      <c r="BB91" s="37"/>
      <c r="BC91" s="38"/>
      <c r="BD91" s="37"/>
      <c r="BE91" s="38"/>
      <c r="BF91" s="37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5" t="b">
        <v>1</v>
      </c>
      <c r="BU91" s="36">
        <f t="shared" ref="BU91:BU92" si="43">IF(MOD(H91,4)=0,H91/4,ROUNDDOWN(H91/4,0))</f>
        <v>185748000</v>
      </c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5" t="b">
        <v>1</v>
      </c>
      <c r="CK91" s="36">
        <f t="shared" ref="CK91:CK94" si="44">IF(MOD(H91,4)=0,H91/4,ROUNDUP(H91/4,0))</f>
        <v>185748000</v>
      </c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</row>
    <row r="92" spans="1:101" ht="32.25" customHeight="1" x14ac:dyDescent="0.25">
      <c r="A92" s="12">
        <f t="shared" si="0"/>
        <v>91</v>
      </c>
      <c r="B92" s="13" t="s">
        <v>251</v>
      </c>
      <c r="C92" s="13" t="s">
        <v>494</v>
      </c>
      <c r="D92" s="14" t="s">
        <v>614</v>
      </c>
      <c r="E92" s="15" t="s">
        <v>615</v>
      </c>
      <c r="F92" s="15" t="s">
        <v>616</v>
      </c>
      <c r="G92" s="16">
        <v>360</v>
      </c>
      <c r="H92" s="17">
        <v>726840000</v>
      </c>
      <c r="I92" s="18"/>
      <c r="J92" s="18"/>
      <c r="K92" s="18"/>
      <c r="L92" s="18" t="s">
        <v>99</v>
      </c>
      <c r="M92" s="19">
        <v>17154</v>
      </c>
      <c r="N92" s="20" t="s">
        <v>100</v>
      </c>
      <c r="O92" s="13" t="b">
        <v>1</v>
      </c>
      <c r="P92" s="20" t="b">
        <v>1</v>
      </c>
      <c r="Q92" s="20" t="b">
        <v>1</v>
      </c>
      <c r="R92" s="13" t="b">
        <v>1</v>
      </c>
      <c r="S92" s="13" t="b">
        <v>1</v>
      </c>
      <c r="T92" s="13" t="b">
        <v>1</v>
      </c>
      <c r="U92" s="13" t="b">
        <v>1</v>
      </c>
      <c r="V92" s="13" t="b">
        <v>1</v>
      </c>
      <c r="W92" s="13" t="b">
        <v>1</v>
      </c>
      <c r="X92" s="13" t="b">
        <v>1</v>
      </c>
      <c r="Y92" s="21" t="s">
        <v>443</v>
      </c>
      <c r="Z92" s="21" t="s">
        <v>617</v>
      </c>
      <c r="AA92" s="21" t="s">
        <v>618</v>
      </c>
      <c r="AB92" s="22"/>
      <c r="AC92" s="23"/>
      <c r="AD92" s="13"/>
      <c r="AE92" s="47" t="b">
        <v>1</v>
      </c>
      <c r="AF92" s="48">
        <v>45880</v>
      </c>
      <c r="AG92" s="26"/>
      <c r="AH92" s="27" t="b">
        <v>1</v>
      </c>
      <c r="AI92" s="28">
        <v>45915</v>
      </c>
      <c r="AJ92" s="29" t="s">
        <v>104</v>
      </c>
      <c r="AK92" s="27" t="b">
        <v>1</v>
      </c>
      <c r="AL92" s="30">
        <v>45964</v>
      </c>
      <c r="AM92" s="29" t="s">
        <v>619</v>
      </c>
      <c r="AN92" s="29"/>
      <c r="AO92" s="13"/>
      <c r="AP92" s="12"/>
      <c r="AQ92" s="16"/>
      <c r="AR92" s="32"/>
      <c r="AS92" s="33"/>
      <c r="AT92" s="32"/>
      <c r="AU92" s="33"/>
      <c r="AV92" s="34"/>
      <c r="AW92" s="33"/>
      <c r="AX92" s="35" t="b">
        <v>1</v>
      </c>
      <c r="AY92" s="36">
        <f t="shared" si="42"/>
        <v>181710000</v>
      </c>
      <c r="AZ92" s="37"/>
      <c r="BA92" s="38"/>
      <c r="BB92" s="37"/>
      <c r="BC92" s="38"/>
      <c r="BD92" s="37"/>
      <c r="BE92" s="38"/>
      <c r="BF92" s="37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5" t="b">
        <v>1</v>
      </c>
      <c r="BU92" s="36">
        <f t="shared" si="43"/>
        <v>181710000</v>
      </c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5" t="b">
        <v>1</v>
      </c>
      <c r="CK92" s="36">
        <f t="shared" si="44"/>
        <v>181710000</v>
      </c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</row>
    <row r="93" spans="1:101" ht="32.25" customHeight="1" x14ac:dyDescent="0.25">
      <c r="A93" s="12">
        <f t="shared" si="0"/>
        <v>92</v>
      </c>
      <c r="B93" s="13" t="s">
        <v>251</v>
      </c>
      <c r="C93" s="13" t="s">
        <v>494</v>
      </c>
      <c r="D93" s="14" t="s">
        <v>620</v>
      </c>
      <c r="E93" s="15" t="s">
        <v>621</v>
      </c>
      <c r="F93" s="15" t="s">
        <v>622</v>
      </c>
      <c r="G93" s="16">
        <v>148</v>
      </c>
      <c r="H93" s="17">
        <v>298812000</v>
      </c>
      <c r="I93" s="18"/>
      <c r="J93" s="18"/>
      <c r="K93" s="18"/>
      <c r="L93" s="18" t="s">
        <v>99</v>
      </c>
      <c r="M93" s="19">
        <v>17155</v>
      </c>
      <c r="N93" s="20" t="s">
        <v>100</v>
      </c>
      <c r="O93" s="13" t="b">
        <v>1</v>
      </c>
      <c r="P93" s="20" t="b">
        <v>1</v>
      </c>
      <c r="Q93" s="20" t="b">
        <v>1</v>
      </c>
      <c r="R93" s="13" t="b">
        <v>1</v>
      </c>
      <c r="S93" s="13" t="b">
        <v>1</v>
      </c>
      <c r="T93" s="13" t="b">
        <v>1</v>
      </c>
      <c r="U93" s="13" t="b">
        <v>1</v>
      </c>
      <c r="V93" s="13" t="b">
        <v>1</v>
      </c>
      <c r="W93" s="13" t="b">
        <v>1</v>
      </c>
      <c r="X93" s="13" t="b">
        <v>1</v>
      </c>
      <c r="Y93" s="21" t="s">
        <v>443</v>
      </c>
      <c r="Z93" s="21" t="s">
        <v>623</v>
      </c>
      <c r="AA93" s="21" t="s">
        <v>624</v>
      </c>
      <c r="AB93" s="22"/>
      <c r="AC93" s="23"/>
      <c r="AD93" s="13"/>
      <c r="AE93" s="47" t="b">
        <v>1</v>
      </c>
      <c r="AF93" s="30">
        <v>45874</v>
      </c>
      <c r="AG93" s="26"/>
      <c r="AH93" s="27" t="b">
        <v>1</v>
      </c>
      <c r="AI93" s="28">
        <v>45945</v>
      </c>
      <c r="AJ93" s="49" t="s">
        <v>625</v>
      </c>
      <c r="AK93" s="27" t="b">
        <v>1</v>
      </c>
      <c r="AL93" s="40">
        <v>45982</v>
      </c>
      <c r="AM93" s="29" t="s">
        <v>104</v>
      </c>
      <c r="AN93" s="29"/>
      <c r="AO93" s="13"/>
      <c r="AP93" s="12"/>
      <c r="AQ93" s="16"/>
      <c r="AR93" s="32"/>
      <c r="AS93" s="33"/>
      <c r="AT93" s="32"/>
      <c r="AU93" s="33"/>
      <c r="AV93" s="34"/>
      <c r="AW93" s="33"/>
      <c r="AX93" s="35" t="b">
        <v>1</v>
      </c>
      <c r="AY93" s="36">
        <f t="shared" si="42"/>
        <v>74703000</v>
      </c>
      <c r="AZ93" s="37"/>
      <c r="BA93" s="38"/>
      <c r="BB93" s="37"/>
      <c r="BC93" s="38"/>
      <c r="BD93" s="37"/>
      <c r="BE93" s="38"/>
      <c r="BF93" s="37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7"/>
      <c r="BU93" s="37"/>
      <c r="BV93" s="35" t="b">
        <v>1</v>
      </c>
      <c r="BW93" s="41">
        <f t="shared" ref="BW93:BW94" si="45">IF(MOD(H93,4)=0,H93/4,ROUNDDOWN(H93/4,0))</f>
        <v>74703000</v>
      </c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35" t="b">
        <v>1</v>
      </c>
      <c r="CK93" s="36">
        <f t="shared" si="44"/>
        <v>74703000</v>
      </c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</row>
    <row r="94" spans="1:101" ht="32.25" customHeight="1" x14ac:dyDescent="0.25">
      <c r="A94" s="12">
        <f t="shared" si="0"/>
        <v>93</v>
      </c>
      <c r="B94" s="13" t="s">
        <v>251</v>
      </c>
      <c r="C94" s="13" t="s">
        <v>494</v>
      </c>
      <c r="D94" s="14" t="s">
        <v>626</v>
      </c>
      <c r="E94" s="15" t="s">
        <v>627</v>
      </c>
      <c r="F94" s="15" t="s">
        <v>628</v>
      </c>
      <c r="G94" s="16">
        <v>132</v>
      </c>
      <c r="H94" s="17">
        <v>266508000</v>
      </c>
      <c r="I94" s="18"/>
      <c r="J94" s="18"/>
      <c r="K94" s="18"/>
      <c r="L94" s="18" t="s">
        <v>99</v>
      </c>
      <c r="M94" s="19">
        <v>17156</v>
      </c>
      <c r="N94" s="20" t="s">
        <v>100</v>
      </c>
      <c r="O94" s="13" t="b">
        <v>1</v>
      </c>
      <c r="P94" s="20" t="b">
        <v>1</v>
      </c>
      <c r="Q94" s="20" t="b">
        <v>1</v>
      </c>
      <c r="R94" s="13" t="b">
        <v>1</v>
      </c>
      <c r="S94" s="13" t="b">
        <v>1</v>
      </c>
      <c r="T94" s="13" t="b">
        <v>1</v>
      </c>
      <c r="U94" s="13" t="b">
        <v>1</v>
      </c>
      <c r="V94" s="13" t="b">
        <v>1</v>
      </c>
      <c r="W94" s="13" t="b">
        <v>1</v>
      </c>
      <c r="X94" s="13" t="b">
        <v>0</v>
      </c>
      <c r="Y94" s="21" t="s">
        <v>443</v>
      </c>
      <c r="Z94" s="21" t="s">
        <v>629</v>
      </c>
      <c r="AA94" s="21" t="s">
        <v>630</v>
      </c>
      <c r="AB94" s="22"/>
      <c r="AC94" s="23"/>
      <c r="AD94" s="13"/>
      <c r="AE94" s="13" t="b">
        <v>1</v>
      </c>
      <c r="AF94" s="48">
        <v>45880</v>
      </c>
      <c r="AG94" s="26"/>
      <c r="AH94" s="27" t="b">
        <v>1</v>
      </c>
      <c r="AI94" s="28">
        <v>45950</v>
      </c>
      <c r="AJ94" s="49" t="s">
        <v>631</v>
      </c>
      <c r="AK94" s="27" t="b">
        <v>1</v>
      </c>
      <c r="AL94" s="40">
        <v>45981</v>
      </c>
      <c r="AM94" s="29" t="s">
        <v>632</v>
      </c>
      <c r="AN94" s="29"/>
      <c r="AO94" s="13"/>
      <c r="AP94" s="12"/>
      <c r="AQ94" s="16"/>
      <c r="AR94" s="32"/>
      <c r="AS94" s="33"/>
      <c r="AT94" s="32"/>
      <c r="AU94" s="33"/>
      <c r="AV94" s="34"/>
      <c r="AW94" s="33"/>
      <c r="AX94" s="35" t="b">
        <v>1</v>
      </c>
      <c r="AY94" s="36">
        <f t="shared" si="42"/>
        <v>66627000</v>
      </c>
      <c r="AZ94" s="37"/>
      <c r="BA94" s="38"/>
      <c r="BB94" s="37"/>
      <c r="BC94" s="38"/>
      <c r="BD94" s="37"/>
      <c r="BE94" s="38"/>
      <c r="BF94" s="37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7"/>
      <c r="BU94" s="37"/>
      <c r="BV94" s="35" t="b">
        <v>1</v>
      </c>
      <c r="BW94" s="41">
        <f t="shared" si="45"/>
        <v>66627000</v>
      </c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35" t="b">
        <v>1</v>
      </c>
      <c r="CK94" s="36">
        <f t="shared" si="44"/>
        <v>66627000</v>
      </c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</row>
    <row r="95" spans="1:101" ht="32.25" customHeight="1" x14ac:dyDescent="0.25">
      <c r="A95" s="12">
        <f t="shared" si="0"/>
        <v>94</v>
      </c>
      <c r="B95" s="13" t="s">
        <v>94</v>
      </c>
      <c r="C95" s="13" t="s">
        <v>633</v>
      </c>
      <c r="D95" s="14" t="s">
        <v>634</v>
      </c>
      <c r="E95" s="15" t="s">
        <v>635</v>
      </c>
      <c r="F95" s="15" t="s">
        <v>636</v>
      </c>
      <c r="G95" s="16">
        <v>20</v>
      </c>
      <c r="H95" s="17">
        <v>30635000</v>
      </c>
      <c r="I95" s="18"/>
      <c r="J95" s="18"/>
      <c r="K95" s="18"/>
      <c r="L95" s="18" t="s">
        <v>99</v>
      </c>
      <c r="M95" s="19">
        <v>17157</v>
      </c>
      <c r="N95" s="20" t="s">
        <v>100</v>
      </c>
      <c r="O95" s="13" t="b">
        <v>1</v>
      </c>
      <c r="P95" s="20" t="b">
        <v>1</v>
      </c>
      <c r="Q95" s="20" t="b">
        <v>1</v>
      </c>
      <c r="R95" s="13" t="b">
        <v>1</v>
      </c>
      <c r="S95" s="13" t="b">
        <v>1</v>
      </c>
      <c r="T95" s="13" t="b">
        <v>1</v>
      </c>
      <c r="U95" s="13" t="b">
        <v>1</v>
      </c>
      <c r="V95" s="13" t="b">
        <v>1</v>
      </c>
      <c r="W95" s="13" t="b">
        <v>1</v>
      </c>
      <c r="X95" s="13" t="b">
        <v>1</v>
      </c>
      <c r="Y95" s="21" t="s">
        <v>101</v>
      </c>
      <c r="Z95" s="21" t="s">
        <v>637</v>
      </c>
      <c r="AA95" s="21" t="s">
        <v>638</v>
      </c>
      <c r="AB95" s="22"/>
      <c r="AC95" s="23"/>
      <c r="AD95" s="13"/>
      <c r="AE95" s="47" t="b">
        <v>1</v>
      </c>
      <c r="AF95" s="40">
        <v>45982</v>
      </c>
      <c r="AG95" s="55"/>
      <c r="AH95" s="39" t="b">
        <v>1</v>
      </c>
      <c r="AI95" s="39" t="s">
        <v>639</v>
      </c>
      <c r="AJ95" s="39" t="s">
        <v>590</v>
      </c>
      <c r="AK95" s="39" t="b">
        <v>1</v>
      </c>
      <c r="AL95" s="30">
        <v>46013</v>
      </c>
      <c r="AM95" s="29" t="s">
        <v>640</v>
      </c>
      <c r="AN95" s="39"/>
      <c r="AO95" s="13"/>
      <c r="AP95" s="12"/>
      <c r="AQ95" s="16"/>
      <c r="AR95" s="32"/>
      <c r="AS95" s="33"/>
      <c r="AT95" s="32"/>
      <c r="AU95" s="33"/>
      <c r="AV95" s="34"/>
      <c r="AW95" s="33"/>
      <c r="AX95" s="37"/>
      <c r="AY95" s="38"/>
      <c r="AZ95" s="37"/>
      <c r="BA95" s="38"/>
      <c r="BB95" s="37"/>
      <c r="BC95" s="38"/>
      <c r="BD95" s="37"/>
      <c r="BE95" s="38"/>
      <c r="BF95" s="37"/>
      <c r="BG95" s="38"/>
      <c r="BH95" s="38"/>
      <c r="BI95" s="38"/>
      <c r="BJ95" s="37" t="b">
        <v>1</v>
      </c>
      <c r="BK95" s="38">
        <f>IF(MOD(H95,4)=0,H95/4,ROUNDUP(H95/4,0))</f>
        <v>7658750</v>
      </c>
      <c r="BL95" s="38"/>
      <c r="BM95" s="38"/>
      <c r="BN95" s="38"/>
      <c r="BO95" s="38"/>
      <c r="BP95" s="38"/>
      <c r="BQ95" s="38"/>
      <c r="BR95" s="38"/>
      <c r="BS95" s="38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 t="b">
        <v>1</v>
      </c>
      <c r="CE95" s="38">
        <f>IF(MOD(H95,4)=0,H95/4,ROUNDDOWN(H95/4,0))</f>
        <v>7658750</v>
      </c>
      <c r="CF95" s="38"/>
      <c r="CG95" s="38"/>
      <c r="CH95" s="38"/>
      <c r="CI95" s="38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 t="b">
        <v>1</v>
      </c>
      <c r="CU95" s="38">
        <f>IF(MOD(H95,4)=0,H95/4,ROUNDUP(H95/4,0))</f>
        <v>7658750</v>
      </c>
      <c r="CV95" s="38"/>
      <c r="CW95" s="38"/>
    </row>
    <row r="96" spans="1:101" ht="32.25" customHeight="1" x14ac:dyDescent="0.25">
      <c r="A96" s="12">
        <f t="shared" si="0"/>
        <v>95</v>
      </c>
      <c r="B96" s="13" t="s">
        <v>94</v>
      </c>
      <c r="C96" s="13" t="s">
        <v>633</v>
      </c>
      <c r="D96" s="14" t="s">
        <v>641</v>
      </c>
      <c r="E96" s="15" t="s">
        <v>642</v>
      </c>
      <c r="F96" s="15" t="s">
        <v>643</v>
      </c>
      <c r="G96" s="16">
        <v>108</v>
      </c>
      <c r="H96" s="17">
        <v>165429000</v>
      </c>
      <c r="I96" s="18"/>
      <c r="J96" s="18"/>
      <c r="K96" s="18"/>
      <c r="L96" s="18" t="s">
        <v>99</v>
      </c>
      <c r="M96" s="19">
        <v>17158</v>
      </c>
      <c r="N96" s="20" t="s">
        <v>100</v>
      </c>
      <c r="O96" s="13" t="b">
        <v>1</v>
      </c>
      <c r="P96" s="20" t="b">
        <v>1</v>
      </c>
      <c r="Q96" s="20" t="b">
        <v>1</v>
      </c>
      <c r="R96" s="13" t="b">
        <v>0</v>
      </c>
      <c r="S96" s="13" t="b">
        <v>0</v>
      </c>
      <c r="T96" s="13" t="b">
        <v>1</v>
      </c>
      <c r="U96" s="13" t="b">
        <v>1</v>
      </c>
      <c r="V96" s="13" t="b">
        <v>1</v>
      </c>
      <c r="W96" s="13" t="b">
        <v>1</v>
      </c>
      <c r="X96" s="13" t="b">
        <v>0</v>
      </c>
      <c r="Y96" s="21" t="s">
        <v>101</v>
      </c>
      <c r="Z96" s="21" t="s">
        <v>644</v>
      </c>
      <c r="AA96" s="21" t="s">
        <v>645</v>
      </c>
      <c r="AB96" s="22"/>
      <c r="AC96" s="23"/>
      <c r="AD96" s="13"/>
      <c r="AE96" s="47" t="b">
        <v>1</v>
      </c>
      <c r="AF96" s="48">
        <v>45904</v>
      </c>
      <c r="AG96" s="55" t="s">
        <v>419</v>
      </c>
      <c r="AH96" s="27" t="b">
        <v>1</v>
      </c>
      <c r="AI96" s="48">
        <v>45952</v>
      </c>
      <c r="AJ96" s="56" t="s">
        <v>646</v>
      </c>
      <c r="AK96" s="27" t="b">
        <v>1</v>
      </c>
      <c r="AL96" s="30">
        <v>45993</v>
      </c>
      <c r="AM96" s="39" t="s">
        <v>104</v>
      </c>
      <c r="AN96" s="39"/>
      <c r="AO96" s="13"/>
      <c r="AP96" s="12"/>
      <c r="AQ96" s="16"/>
      <c r="AR96" s="12"/>
      <c r="AS96" s="33"/>
      <c r="AT96" s="32"/>
      <c r="AU96" s="33"/>
      <c r="AV96" s="34"/>
      <c r="AW96" s="33"/>
      <c r="AX96" s="37"/>
      <c r="AY96" s="38"/>
      <c r="AZ96" s="37"/>
      <c r="BA96" s="38"/>
      <c r="BB96" s="35" t="b">
        <v>1</v>
      </c>
      <c r="BC96" s="36">
        <f>IF(MOD(H96,4)=0,H96/4,ROUNDUP(H96/4,0))</f>
        <v>41357250</v>
      </c>
      <c r="BD96" s="41"/>
      <c r="BE96" s="36"/>
      <c r="BF96" s="41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41"/>
      <c r="BU96" s="41"/>
      <c r="BV96" s="35" t="b">
        <v>1</v>
      </c>
      <c r="BW96" s="41">
        <f>IF(MOD(H96,4)=0,H96/4,ROUNDDOWN(H96/4,0))</f>
        <v>41357250</v>
      </c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35" t="b">
        <v>1</v>
      </c>
      <c r="CO96" s="36">
        <f>IF(MOD(H96,4)=0,H96/4,ROUNDUP(H96/4,0))</f>
        <v>41357250</v>
      </c>
      <c r="CP96" s="36"/>
      <c r="CQ96" s="36"/>
      <c r="CR96" s="36"/>
      <c r="CS96" s="36"/>
      <c r="CT96" s="36"/>
      <c r="CU96" s="36"/>
      <c r="CV96" s="36"/>
      <c r="CW96" s="36"/>
    </row>
    <row r="97" spans="1:101" ht="32.25" customHeight="1" x14ac:dyDescent="0.25">
      <c r="A97" s="12">
        <f t="shared" si="0"/>
        <v>96</v>
      </c>
      <c r="B97" s="13" t="s">
        <v>94</v>
      </c>
      <c r="C97" s="13" t="s">
        <v>633</v>
      </c>
      <c r="D97" s="14" t="s">
        <v>647</v>
      </c>
      <c r="E97" s="15" t="s">
        <v>648</v>
      </c>
      <c r="F97" s="15" t="s">
        <v>649</v>
      </c>
      <c r="G97" s="16">
        <v>24</v>
      </c>
      <c r="H97" s="17">
        <v>36762000</v>
      </c>
      <c r="I97" s="18"/>
      <c r="J97" s="18"/>
      <c r="K97" s="18"/>
      <c r="L97" s="18" t="s">
        <v>99</v>
      </c>
      <c r="M97" s="19">
        <v>17159</v>
      </c>
      <c r="N97" s="20" t="s">
        <v>100</v>
      </c>
      <c r="O97" s="13" t="b">
        <v>1</v>
      </c>
      <c r="P97" s="20" t="b">
        <v>0</v>
      </c>
      <c r="Q97" s="20" t="b">
        <v>1</v>
      </c>
      <c r="R97" s="13" t="b">
        <v>0</v>
      </c>
      <c r="S97" s="13" t="b">
        <v>1</v>
      </c>
      <c r="T97" s="13" t="b">
        <v>1</v>
      </c>
      <c r="U97" s="13" t="b">
        <v>0</v>
      </c>
      <c r="V97" s="13" t="b">
        <v>1</v>
      </c>
      <c r="W97" s="13" t="b">
        <v>1</v>
      </c>
      <c r="X97" s="13" t="b">
        <v>0</v>
      </c>
      <c r="Y97" s="21" t="s">
        <v>399</v>
      </c>
      <c r="Z97" s="21" t="s">
        <v>650</v>
      </c>
      <c r="AA97" s="21" t="s">
        <v>648</v>
      </c>
      <c r="AB97" s="22"/>
      <c r="AC97" s="23"/>
      <c r="AD97" s="13"/>
      <c r="AE97" s="47" t="b">
        <v>1</v>
      </c>
      <c r="AF97" s="48">
        <v>45943</v>
      </c>
      <c r="AG97" s="55" t="s">
        <v>651</v>
      </c>
      <c r="AH97" s="39" t="b">
        <v>1</v>
      </c>
      <c r="AI97" s="48">
        <v>45985</v>
      </c>
      <c r="AJ97" s="39" t="s">
        <v>128</v>
      </c>
      <c r="AK97" s="39" t="b">
        <v>1</v>
      </c>
      <c r="AL97" s="30">
        <v>46008</v>
      </c>
      <c r="AM97" s="39" t="s">
        <v>652</v>
      </c>
      <c r="AN97" s="39"/>
      <c r="AO97" s="13"/>
      <c r="AP97" s="12"/>
      <c r="AQ97" s="16"/>
      <c r="AR97" s="32"/>
      <c r="AS97" s="33"/>
      <c r="AT97" s="32"/>
      <c r="AU97" s="33"/>
      <c r="AV97" s="34"/>
      <c r="AW97" s="33"/>
      <c r="AX97" s="37"/>
      <c r="AY97" s="38"/>
      <c r="AZ97" s="37"/>
      <c r="BA97" s="38"/>
      <c r="BB97" s="37"/>
      <c r="BC97" s="38"/>
      <c r="BD97" s="37"/>
      <c r="BE97" s="38"/>
      <c r="BF97" s="37"/>
      <c r="BG97" s="38"/>
      <c r="BH97" s="42" t="b">
        <v>1</v>
      </c>
      <c r="BI97" s="38">
        <f>IF(MOD(H97,4)=0,H97/4,ROUNDUP(H97/4,0))</f>
        <v>9190500</v>
      </c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7"/>
      <c r="BU97" s="37"/>
      <c r="BV97" s="37"/>
      <c r="BW97" s="37"/>
      <c r="BX97" s="42" t="b">
        <v>1</v>
      </c>
      <c r="BY97" s="41">
        <f>IF(MOD(H97,4)=0,H97/4,ROUNDDOWN(H97/4,0))</f>
        <v>9190500</v>
      </c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37"/>
      <c r="CK97" s="37"/>
      <c r="CL97" s="37"/>
      <c r="CM97" s="37"/>
      <c r="CN97" s="37"/>
      <c r="CO97" s="37"/>
      <c r="CP97" s="37"/>
      <c r="CQ97" s="37"/>
      <c r="CR97" s="12" t="b">
        <v>1</v>
      </c>
      <c r="CS97" s="36">
        <f>IF(MOD(H97,4)=0,H97/4,ROUNDUP(H97/4,0))</f>
        <v>9190500</v>
      </c>
      <c r="CT97" s="36"/>
      <c r="CU97" s="36"/>
      <c r="CV97" s="36"/>
      <c r="CW97" s="36"/>
    </row>
    <row r="98" spans="1:101" ht="32.25" customHeight="1" x14ac:dyDescent="0.25">
      <c r="A98" s="12">
        <f t="shared" si="0"/>
        <v>97</v>
      </c>
      <c r="B98" s="13" t="s">
        <v>94</v>
      </c>
      <c r="C98" s="13" t="s">
        <v>633</v>
      </c>
      <c r="D98" s="14" t="s">
        <v>653</v>
      </c>
      <c r="E98" s="15" t="s">
        <v>654</v>
      </c>
      <c r="F98" s="15" t="s">
        <v>655</v>
      </c>
      <c r="G98" s="16">
        <v>80</v>
      </c>
      <c r="H98" s="17">
        <v>122540000</v>
      </c>
      <c r="I98" s="18"/>
      <c r="J98" s="18"/>
      <c r="K98" s="18"/>
      <c r="L98" s="18" t="s">
        <v>99</v>
      </c>
      <c r="M98" s="19">
        <v>17160</v>
      </c>
      <c r="N98" s="20" t="s">
        <v>100</v>
      </c>
      <c r="O98" s="13" t="b">
        <v>1</v>
      </c>
      <c r="P98" s="20" t="b">
        <v>1</v>
      </c>
      <c r="Q98" s="20" t="b">
        <v>1</v>
      </c>
      <c r="R98" s="13" t="b">
        <v>1</v>
      </c>
      <c r="S98" s="13" t="b">
        <v>1</v>
      </c>
      <c r="T98" s="13" t="b">
        <v>1</v>
      </c>
      <c r="U98" s="13" t="b">
        <v>1</v>
      </c>
      <c r="V98" s="13" t="b">
        <v>1</v>
      </c>
      <c r="W98" s="13" t="b">
        <v>1</v>
      </c>
      <c r="X98" s="13" t="b">
        <v>1</v>
      </c>
      <c r="Y98" s="21" t="s">
        <v>101</v>
      </c>
      <c r="Z98" s="21" t="s">
        <v>656</v>
      </c>
      <c r="AA98" s="21" t="s">
        <v>657</v>
      </c>
      <c r="AB98" s="22"/>
      <c r="AC98" s="23"/>
      <c r="AD98" s="13"/>
      <c r="AE98" s="13" t="b">
        <v>1</v>
      </c>
      <c r="AF98" s="48">
        <v>45880</v>
      </c>
      <c r="AG98" s="55"/>
      <c r="AH98" s="27" t="b">
        <v>1</v>
      </c>
      <c r="AI98" s="48">
        <v>45936</v>
      </c>
      <c r="AJ98" s="39" t="s">
        <v>104</v>
      </c>
      <c r="AK98" s="27" t="b">
        <v>1</v>
      </c>
      <c r="AL98" s="40">
        <v>45979</v>
      </c>
      <c r="AM98" s="39" t="s">
        <v>658</v>
      </c>
      <c r="AN98" s="39"/>
      <c r="AO98" s="13"/>
      <c r="AP98" s="12"/>
      <c r="AQ98" s="16"/>
      <c r="AR98" s="12"/>
      <c r="AS98" s="33"/>
      <c r="AT98" s="32"/>
      <c r="AU98" s="33"/>
      <c r="AV98" s="34"/>
      <c r="AW98" s="33"/>
      <c r="AX98" s="35" t="b">
        <v>1</v>
      </c>
      <c r="AY98" s="36">
        <f>IF(MOD(H98,4)=0,H98/4,ROUNDUP(H98/4,0))</f>
        <v>30635000</v>
      </c>
      <c r="AZ98" s="37"/>
      <c r="BA98" s="38"/>
      <c r="BB98" s="37"/>
      <c r="BC98" s="38"/>
      <c r="BD98" s="37"/>
      <c r="BE98" s="38"/>
      <c r="BF98" s="37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5" t="b">
        <v>1</v>
      </c>
      <c r="BU98" s="36">
        <f>IF(MOD(H98,4)=0,H98/4,ROUNDDOWN(H98/4,0))</f>
        <v>30635000</v>
      </c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5" t="b">
        <v>1</v>
      </c>
      <c r="CK98" s="36">
        <f>IF(MOD(H98,4)=0,H98/4,ROUNDUP(H98/4,0))</f>
        <v>30635000</v>
      </c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</row>
    <row r="99" spans="1:101" ht="32.25" customHeight="1" x14ac:dyDescent="0.25">
      <c r="A99" s="12">
        <f t="shared" si="0"/>
        <v>98</v>
      </c>
      <c r="B99" s="13" t="s">
        <v>134</v>
      </c>
      <c r="C99" s="13" t="s">
        <v>633</v>
      </c>
      <c r="D99" s="14" t="s">
        <v>659</v>
      </c>
      <c r="E99" s="15" t="s">
        <v>660</v>
      </c>
      <c r="F99" s="15" t="s">
        <v>661</v>
      </c>
      <c r="G99" s="16">
        <v>8</v>
      </c>
      <c r="H99" s="17">
        <v>12014000</v>
      </c>
      <c r="I99" s="18"/>
      <c r="J99" s="18"/>
      <c r="K99" s="18"/>
      <c r="L99" s="18" t="s">
        <v>99</v>
      </c>
      <c r="M99" s="19">
        <v>17161</v>
      </c>
      <c r="N99" s="20" t="s">
        <v>100</v>
      </c>
      <c r="O99" s="13" t="b">
        <v>1</v>
      </c>
      <c r="P99" s="20" t="b">
        <v>1</v>
      </c>
      <c r="Q99" s="20" t="b">
        <v>0</v>
      </c>
      <c r="R99" s="13" t="b">
        <v>1</v>
      </c>
      <c r="S99" s="13" t="b">
        <v>1</v>
      </c>
      <c r="T99" s="13" t="b">
        <v>1</v>
      </c>
      <c r="U99" s="13" t="b">
        <v>1</v>
      </c>
      <c r="V99" s="13" t="b">
        <v>1</v>
      </c>
      <c r="W99" s="13" t="b">
        <v>1</v>
      </c>
      <c r="X99" s="13" t="b">
        <v>0</v>
      </c>
      <c r="Y99" s="21" t="s">
        <v>101</v>
      </c>
      <c r="Z99" s="21" t="s">
        <v>662</v>
      </c>
      <c r="AA99" s="21" t="s">
        <v>663</v>
      </c>
      <c r="AB99" s="22"/>
      <c r="AC99" s="23"/>
      <c r="AD99" s="13"/>
      <c r="AE99" s="13" t="b">
        <v>1</v>
      </c>
      <c r="AF99" s="48">
        <v>45950</v>
      </c>
      <c r="AG99" s="26" t="s">
        <v>664</v>
      </c>
      <c r="AH99" s="39" t="b">
        <v>1</v>
      </c>
      <c r="AI99" s="40">
        <v>45982</v>
      </c>
      <c r="AJ99" s="29" t="s">
        <v>140</v>
      </c>
      <c r="AK99" s="39" t="b">
        <v>1</v>
      </c>
      <c r="AL99" s="40">
        <v>46001</v>
      </c>
      <c r="AM99" s="29" t="s">
        <v>140</v>
      </c>
      <c r="AN99" s="29"/>
      <c r="AO99" s="13"/>
      <c r="AP99" s="12"/>
      <c r="AQ99" s="16"/>
      <c r="AR99" s="32"/>
      <c r="AS99" s="33"/>
      <c r="AT99" s="32"/>
      <c r="AU99" s="33"/>
      <c r="AV99" s="34"/>
      <c r="AW99" s="33"/>
      <c r="AX99" s="37"/>
      <c r="AY99" s="38"/>
      <c r="AZ99" s="37"/>
      <c r="BA99" s="38"/>
      <c r="BB99" s="37"/>
      <c r="BC99" s="38"/>
      <c r="BD99" s="37"/>
      <c r="BE99" s="38"/>
      <c r="BF99" s="37"/>
      <c r="BG99" s="38"/>
      <c r="BH99" s="42" t="b">
        <v>1</v>
      </c>
      <c r="BI99" s="38">
        <f t="shared" ref="BI99:BI100" si="46">IF(MOD(H99,4)=0,H99/4,ROUNDUP(H99/4,0))</f>
        <v>3003500</v>
      </c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7"/>
      <c r="BU99" s="37"/>
      <c r="BV99" s="37"/>
      <c r="BW99" s="37"/>
      <c r="BX99" s="42" t="b">
        <v>1</v>
      </c>
      <c r="BY99" s="41">
        <f>IF(MOD(H99,4)=0,H99/4,ROUNDDOWN(H99/4,0))</f>
        <v>3003500</v>
      </c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35" t="b">
        <v>1</v>
      </c>
      <c r="CQ99" s="41">
        <f>IF(MOD(H99,4)=0,H99/4,ROUNDUP(H99/4,0))</f>
        <v>3003500</v>
      </c>
      <c r="CR99" s="41"/>
      <c r="CS99" s="41"/>
      <c r="CT99" s="41"/>
      <c r="CU99" s="41"/>
      <c r="CV99" s="41"/>
      <c r="CW99" s="41"/>
    </row>
    <row r="100" spans="1:101" ht="32.25" customHeight="1" x14ac:dyDescent="0.25">
      <c r="A100" s="12">
        <f t="shared" si="0"/>
        <v>99</v>
      </c>
      <c r="B100" s="13" t="s">
        <v>134</v>
      </c>
      <c r="C100" s="13" t="s">
        <v>633</v>
      </c>
      <c r="D100" s="14" t="s">
        <v>665</v>
      </c>
      <c r="E100" s="15" t="s">
        <v>666</v>
      </c>
      <c r="F100" s="15" t="s">
        <v>667</v>
      </c>
      <c r="G100" s="16">
        <v>60</v>
      </c>
      <c r="H100" s="17">
        <v>75525000</v>
      </c>
      <c r="I100" s="18"/>
      <c r="J100" s="18"/>
      <c r="K100" s="18"/>
      <c r="L100" s="18" t="s">
        <v>99</v>
      </c>
      <c r="M100" s="19">
        <v>17162</v>
      </c>
      <c r="N100" s="20" t="s">
        <v>100</v>
      </c>
      <c r="O100" s="13" t="b">
        <v>1</v>
      </c>
      <c r="P100" s="20" t="b">
        <v>1</v>
      </c>
      <c r="Q100" s="20" t="b">
        <v>1</v>
      </c>
      <c r="R100" s="13" t="b">
        <v>0</v>
      </c>
      <c r="S100" s="13" t="b">
        <v>0</v>
      </c>
      <c r="T100" s="13" t="b">
        <v>1</v>
      </c>
      <c r="U100" s="13" t="b">
        <v>1</v>
      </c>
      <c r="V100" s="13" t="b">
        <v>1</v>
      </c>
      <c r="W100" s="13" t="b">
        <v>1</v>
      </c>
      <c r="X100" s="13" t="b">
        <v>1</v>
      </c>
      <c r="Y100" s="21" t="s">
        <v>101</v>
      </c>
      <c r="Z100" s="21" t="s">
        <v>668</v>
      </c>
      <c r="AA100" s="21" t="s">
        <v>666</v>
      </c>
      <c r="AB100" s="22"/>
      <c r="AC100" s="23"/>
      <c r="AD100" s="13"/>
      <c r="AE100" s="47" t="b">
        <v>1</v>
      </c>
      <c r="AF100" s="48">
        <v>45943</v>
      </c>
      <c r="AG100" s="26" t="s">
        <v>669</v>
      </c>
      <c r="AH100" s="27" t="b">
        <v>1</v>
      </c>
      <c r="AI100" s="28">
        <v>45993</v>
      </c>
      <c r="AJ100" s="29" t="s">
        <v>140</v>
      </c>
      <c r="AK100" s="39" t="b">
        <v>1</v>
      </c>
      <c r="AL100" s="40">
        <v>46018</v>
      </c>
      <c r="AM100" s="29" t="s">
        <v>670</v>
      </c>
      <c r="AN100" s="29"/>
      <c r="AO100" s="13"/>
      <c r="AP100" s="12"/>
      <c r="AQ100" s="16"/>
      <c r="AR100" s="32"/>
      <c r="AS100" s="33"/>
      <c r="AT100" s="32"/>
      <c r="AU100" s="33"/>
      <c r="AV100" s="34"/>
      <c r="AW100" s="33"/>
      <c r="AX100" s="37"/>
      <c r="AY100" s="38"/>
      <c r="AZ100" s="37"/>
      <c r="BA100" s="38"/>
      <c r="BB100" s="37"/>
      <c r="BC100" s="38"/>
      <c r="BD100" s="37"/>
      <c r="BE100" s="38"/>
      <c r="BF100" s="37"/>
      <c r="BG100" s="38"/>
      <c r="BH100" s="42" t="b">
        <v>1</v>
      </c>
      <c r="BI100" s="38">
        <f t="shared" si="46"/>
        <v>18881250</v>
      </c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7"/>
      <c r="BU100" s="37"/>
      <c r="BV100" s="37"/>
      <c r="BW100" s="37"/>
      <c r="BX100" s="37"/>
      <c r="BY100" s="37"/>
      <c r="BZ100" s="37"/>
      <c r="CA100" s="37"/>
      <c r="CB100" s="42" t="b">
        <v>1</v>
      </c>
      <c r="CC100" s="38">
        <f>IF(MOD(H100,4)=0,H100/4,ROUNDDOWN(H100/4,0))</f>
        <v>18881250</v>
      </c>
      <c r="CD100" s="38"/>
      <c r="CE100" s="38"/>
      <c r="CF100" s="38"/>
      <c r="CG100" s="38"/>
      <c r="CH100" s="38"/>
      <c r="CI100" s="38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 t="b">
        <v>1</v>
      </c>
      <c r="CU100" s="38">
        <f>IF(MOD(H100,4)=0,H100/4,ROUNDUP(H100/4,0))</f>
        <v>18881250</v>
      </c>
      <c r="CV100" s="38"/>
      <c r="CW100" s="38"/>
    </row>
    <row r="101" spans="1:101" ht="32.25" customHeight="1" x14ac:dyDescent="0.25">
      <c r="A101" s="12">
        <f t="shared" si="0"/>
        <v>100</v>
      </c>
      <c r="B101" s="13" t="s">
        <v>134</v>
      </c>
      <c r="C101" s="13" t="s">
        <v>633</v>
      </c>
      <c r="D101" s="14" t="s">
        <v>671</v>
      </c>
      <c r="E101" s="15" t="s">
        <v>672</v>
      </c>
      <c r="F101" s="15" t="s">
        <v>673</v>
      </c>
      <c r="G101" s="16">
        <v>22</v>
      </c>
      <c r="H101" s="17">
        <v>33038500</v>
      </c>
      <c r="I101" s="18"/>
      <c r="J101" s="18"/>
      <c r="K101" s="18"/>
      <c r="L101" s="18" t="s">
        <v>99</v>
      </c>
      <c r="M101" s="19">
        <v>17163</v>
      </c>
      <c r="N101" s="20" t="s">
        <v>100</v>
      </c>
      <c r="O101" s="13" t="b">
        <v>1</v>
      </c>
      <c r="P101" s="20" t="b">
        <v>1</v>
      </c>
      <c r="Q101" s="20" t="b">
        <v>1</v>
      </c>
      <c r="R101" s="13" t="b">
        <v>0</v>
      </c>
      <c r="S101" s="13" t="b">
        <v>0</v>
      </c>
      <c r="T101" s="13" t="b">
        <v>1</v>
      </c>
      <c r="U101" s="13" t="b">
        <v>0</v>
      </c>
      <c r="V101" s="13" t="b">
        <v>0</v>
      </c>
      <c r="W101" s="13" t="b">
        <v>0</v>
      </c>
      <c r="X101" s="13" t="b">
        <v>0</v>
      </c>
      <c r="Y101" s="21" t="s">
        <v>182</v>
      </c>
      <c r="Z101" s="21" t="s">
        <v>674</v>
      </c>
      <c r="AA101" s="21" t="s">
        <v>672</v>
      </c>
      <c r="AB101" s="22"/>
      <c r="AC101" s="23"/>
      <c r="AD101" s="13"/>
      <c r="AE101" s="47" t="b">
        <v>1</v>
      </c>
      <c r="AF101" s="48">
        <v>45936</v>
      </c>
      <c r="AG101" s="26" t="s">
        <v>675</v>
      </c>
      <c r="AH101" s="27" t="b">
        <v>1</v>
      </c>
      <c r="AI101" s="28">
        <v>45950</v>
      </c>
      <c r="AJ101" s="49" t="s">
        <v>676</v>
      </c>
      <c r="AK101" s="27" t="b">
        <v>1</v>
      </c>
      <c r="AL101" s="30">
        <v>45982</v>
      </c>
      <c r="AM101" s="39" t="s">
        <v>677</v>
      </c>
      <c r="AN101" s="29"/>
      <c r="AO101" s="13"/>
      <c r="AP101" s="12"/>
      <c r="AQ101" s="16"/>
      <c r="AR101" s="12"/>
      <c r="AS101" s="33"/>
      <c r="AT101" s="32"/>
      <c r="AU101" s="33"/>
      <c r="AV101" s="34"/>
      <c r="AW101" s="33"/>
      <c r="AX101" s="37"/>
      <c r="AY101" s="38"/>
      <c r="AZ101" s="37"/>
      <c r="BA101" s="38"/>
      <c r="BB101" s="37"/>
      <c r="BC101" s="38"/>
      <c r="BD101" s="37"/>
      <c r="BE101" s="38"/>
      <c r="BF101" s="35" t="b">
        <v>1</v>
      </c>
      <c r="BG101" s="38">
        <f>IF(MOD(H101,4)=0,H101/4,ROUNDUP(H101/4,0))</f>
        <v>8259625</v>
      </c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5" t="b">
        <v>1</v>
      </c>
      <c r="BW101" s="41">
        <f>IF(MOD(H101,4)=0,H101/4,ROUNDDOWN(H101/4,0))</f>
        <v>8259625</v>
      </c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35" t="b">
        <v>1</v>
      </c>
      <c r="CK101" s="36">
        <f>IF(MOD(H101,4)=0,H101/4,ROUNDUP(H101/4,0))</f>
        <v>8259625</v>
      </c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</row>
    <row r="102" spans="1:101" ht="32.25" customHeight="1" x14ac:dyDescent="0.25">
      <c r="A102" s="12">
        <f t="shared" si="0"/>
        <v>101</v>
      </c>
      <c r="B102" s="13" t="s">
        <v>134</v>
      </c>
      <c r="C102" s="13" t="s">
        <v>633</v>
      </c>
      <c r="D102" s="14" t="s">
        <v>678</v>
      </c>
      <c r="E102" s="15" t="s">
        <v>679</v>
      </c>
      <c r="F102" s="15" t="s">
        <v>680</v>
      </c>
      <c r="G102" s="16">
        <v>33</v>
      </c>
      <c r="H102" s="17">
        <v>49557750</v>
      </c>
      <c r="I102" s="18"/>
      <c r="J102" s="18"/>
      <c r="K102" s="18"/>
      <c r="L102" s="18" t="s">
        <v>99</v>
      </c>
      <c r="M102" s="19">
        <v>17164</v>
      </c>
      <c r="N102" s="20" t="s">
        <v>100</v>
      </c>
      <c r="O102" s="13" t="b">
        <v>1</v>
      </c>
      <c r="P102" s="20" t="b">
        <v>1</v>
      </c>
      <c r="Q102" s="20" t="b">
        <v>1</v>
      </c>
      <c r="R102" s="13" t="b">
        <v>0</v>
      </c>
      <c r="S102" s="13" t="b">
        <v>0</v>
      </c>
      <c r="T102" s="13" t="b">
        <v>1</v>
      </c>
      <c r="U102" s="13" t="b">
        <v>0</v>
      </c>
      <c r="V102" s="13" t="b">
        <v>0</v>
      </c>
      <c r="W102" s="13" t="b">
        <v>0</v>
      </c>
      <c r="X102" s="13" t="b">
        <v>0</v>
      </c>
      <c r="Y102" s="21" t="s">
        <v>182</v>
      </c>
      <c r="Z102" s="21" t="s">
        <v>681</v>
      </c>
      <c r="AA102" s="21" t="s">
        <v>679</v>
      </c>
      <c r="AB102" s="22"/>
      <c r="AC102" s="13"/>
      <c r="AD102" s="13"/>
      <c r="AE102" s="13" t="b">
        <v>1</v>
      </c>
      <c r="AF102" s="48">
        <v>46008</v>
      </c>
      <c r="AG102" s="26" t="s">
        <v>682</v>
      </c>
      <c r="AH102" s="39" t="b">
        <v>1</v>
      </c>
      <c r="AI102" s="28">
        <v>46018</v>
      </c>
      <c r="AJ102" s="26" t="s">
        <v>682</v>
      </c>
      <c r="AK102" s="39" t="b">
        <v>0</v>
      </c>
      <c r="AL102" s="29"/>
      <c r="AM102" s="29"/>
      <c r="AN102" s="29"/>
      <c r="AO102" s="13"/>
      <c r="AP102" s="12"/>
      <c r="AQ102" s="16"/>
      <c r="AR102" s="32"/>
      <c r="AS102" s="33"/>
      <c r="AT102" s="32"/>
      <c r="AU102" s="33"/>
      <c r="AV102" s="34"/>
      <c r="AW102" s="33"/>
      <c r="AX102" s="37"/>
      <c r="AY102" s="38"/>
      <c r="AZ102" s="37"/>
      <c r="BA102" s="38"/>
      <c r="BB102" s="37"/>
      <c r="BC102" s="38"/>
      <c r="BD102" s="37"/>
      <c r="BE102" s="38"/>
      <c r="BF102" s="37"/>
      <c r="BG102" s="38"/>
      <c r="BH102" s="38"/>
      <c r="BI102" s="38"/>
      <c r="BJ102" s="38"/>
      <c r="BK102" s="38"/>
      <c r="BL102" s="38"/>
      <c r="BM102" s="38"/>
      <c r="BN102" s="38"/>
      <c r="BO102" s="38"/>
      <c r="BP102" s="42" t="b">
        <v>1</v>
      </c>
      <c r="BQ102" s="38">
        <f>IF(MOD(H102,4)=0,H102/4,ROUNDUP(H102/4,0))</f>
        <v>12389438</v>
      </c>
      <c r="BR102" s="38"/>
      <c r="BS102" s="38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42" t="b">
        <v>1</v>
      </c>
      <c r="CI102" s="38">
        <f>IF(MOD(H102,4)=0,H102/4,ROUNDDOWN(H102/4,0))</f>
        <v>12389437</v>
      </c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</row>
    <row r="103" spans="1:101" ht="32.25" customHeight="1" x14ac:dyDescent="0.25">
      <c r="A103" s="12">
        <f t="shared" si="0"/>
        <v>102</v>
      </c>
      <c r="B103" s="13" t="s">
        <v>134</v>
      </c>
      <c r="C103" s="13" t="s">
        <v>633</v>
      </c>
      <c r="D103" s="14" t="s">
        <v>683</v>
      </c>
      <c r="E103" s="15" t="s">
        <v>684</v>
      </c>
      <c r="F103" s="15" t="s">
        <v>685</v>
      </c>
      <c r="G103" s="16">
        <v>26</v>
      </c>
      <c r="H103" s="17">
        <v>39045500</v>
      </c>
      <c r="I103" s="18"/>
      <c r="J103" s="18"/>
      <c r="K103" s="18"/>
      <c r="L103" s="18" t="s">
        <v>99</v>
      </c>
      <c r="M103" s="19">
        <v>17165</v>
      </c>
      <c r="N103" s="20" t="s">
        <v>100</v>
      </c>
      <c r="O103" s="13" t="b">
        <v>1</v>
      </c>
      <c r="P103" s="20" t="b">
        <v>0</v>
      </c>
      <c r="Q103" s="20" t="b">
        <v>1</v>
      </c>
      <c r="R103" s="13" t="b">
        <v>1</v>
      </c>
      <c r="S103" s="13" t="b">
        <v>1</v>
      </c>
      <c r="T103" s="13" t="b">
        <v>1</v>
      </c>
      <c r="U103" s="13" t="b">
        <v>1</v>
      </c>
      <c r="V103" s="13" t="b">
        <v>1</v>
      </c>
      <c r="W103" s="13" t="b">
        <v>1</v>
      </c>
      <c r="X103" s="13" t="b">
        <v>0</v>
      </c>
      <c r="Y103" s="21" t="s">
        <v>101</v>
      </c>
      <c r="Z103" s="21" t="s">
        <v>686</v>
      </c>
      <c r="AA103" s="21" t="s">
        <v>687</v>
      </c>
      <c r="AB103" s="22"/>
      <c r="AC103" s="23"/>
      <c r="AD103" s="13"/>
      <c r="AE103" s="47" t="b">
        <v>1</v>
      </c>
      <c r="AF103" s="48">
        <v>45917</v>
      </c>
      <c r="AG103" s="26" t="s">
        <v>688</v>
      </c>
      <c r="AH103" s="39" t="b">
        <v>1</v>
      </c>
      <c r="AI103" s="28">
        <v>46001</v>
      </c>
      <c r="AJ103" s="29" t="s">
        <v>472</v>
      </c>
      <c r="AK103" s="39" t="b">
        <v>0</v>
      </c>
      <c r="AL103" s="29"/>
      <c r="AM103" s="29"/>
      <c r="AN103" s="29"/>
      <c r="AO103" s="13"/>
      <c r="AP103" s="12"/>
      <c r="AQ103" s="16"/>
      <c r="AR103" s="32"/>
      <c r="AS103" s="33"/>
      <c r="AT103" s="32"/>
      <c r="AU103" s="33"/>
      <c r="AV103" s="34"/>
      <c r="AW103" s="33"/>
      <c r="AX103" s="37"/>
      <c r="AY103" s="38"/>
      <c r="AZ103" s="37"/>
      <c r="BA103" s="38"/>
      <c r="BB103" s="37"/>
      <c r="BC103" s="38"/>
      <c r="BD103" s="42" t="b">
        <v>1</v>
      </c>
      <c r="BE103" s="36">
        <f>IF(MOD(H103,4)=0,H103/4,ROUNDUP(H103/4,0))</f>
        <v>9761375</v>
      </c>
      <c r="BF103" s="41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37" t="b">
        <v>1</v>
      </c>
      <c r="CE103" s="38">
        <f>IF(MOD(H103,4)=0,H103/4,ROUNDDOWN(H103/4,0))</f>
        <v>9761375</v>
      </c>
      <c r="CF103" s="38"/>
      <c r="CG103" s="38"/>
      <c r="CH103" s="38"/>
      <c r="CI103" s="38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</row>
    <row r="104" spans="1:101" ht="32.25" customHeight="1" x14ac:dyDescent="0.25">
      <c r="A104" s="12">
        <f t="shared" si="0"/>
        <v>103</v>
      </c>
      <c r="B104" s="13" t="s">
        <v>251</v>
      </c>
      <c r="C104" s="13" t="s">
        <v>633</v>
      </c>
      <c r="D104" s="14" t="s">
        <v>689</v>
      </c>
      <c r="E104" s="15" t="s">
        <v>690</v>
      </c>
      <c r="F104" s="15" t="s">
        <v>691</v>
      </c>
      <c r="G104" s="16">
        <v>17</v>
      </c>
      <c r="H104" s="17">
        <v>30927250</v>
      </c>
      <c r="I104" s="18"/>
      <c r="J104" s="18"/>
      <c r="K104" s="18"/>
      <c r="L104" s="18" t="s">
        <v>99</v>
      </c>
      <c r="M104" s="19">
        <v>17166</v>
      </c>
      <c r="N104" s="20" t="s">
        <v>100</v>
      </c>
      <c r="O104" s="13" t="b">
        <v>1</v>
      </c>
      <c r="P104" s="20" t="b">
        <v>1</v>
      </c>
      <c r="Q104" s="20" t="b">
        <v>1</v>
      </c>
      <c r="R104" s="13" t="b">
        <v>0</v>
      </c>
      <c r="S104" s="13" t="b">
        <v>0</v>
      </c>
      <c r="T104" s="13" t="b">
        <v>1</v>
      </c>
      <c r="U104" s="13" t="b">
        <v>1</v>
      </c>
      <c r="V104" s="13" t="b">
        <v>0</v>
      </c>
      <c r="W104" s="13" t="b">
        <v>0</v>
      </c>
      <c r="X104" s="13" t="b">
        <v>0</v>
      </c>
      <c r="Y104" s="21" t="s">
        <v>101</v>
      </c>
      <c r="Z104" s="21" t="s">
        <v>692</v>
      </c>
      <c r="AA104" s="21" t="s">
        <v>693</v>
      </c>
      <c r="AB104" s="22"/>
      <c r="AC104" s="23"/>
      <c r="AD104" s="13"/>
      <c r="AE104" s="47" t="b">
        <v>1</v>
      </c>
      <c r="AF104" s="57">
        <v>45896</v>
      </c>
      <c r="AG104" s="58" t="s">
        <v>694</v>
      </c>
      <c r="AH104" s="39" t="b">
        <v>1</v>
      </c>
      <c r="AI104" s="28">
        <v>45950</v>
      </c>
      <c r="AJ104" s="49" t="s">
        <v>695</v>
      </c>
      <c r="AK104" s="39" t="b">
        <v>0</v>
      </c>
      <c r="AL104" s="29"/>
      <c r="AM104" s="29"/>
      <c r="AN104" s="29"/>
      <c r="AO104" s="13"/>
      <c r="AP104" s="12"/>
      <c r="AQ104" s="16"/>
      <c r="AR104" s="32"/>
      <c r="AS104" s="33"/>
      <c r="AT104" s="32"/>
      <c r="AU104" s="33"/>
      <c r="AV104" s="34"/>
      <c r="AW104" s="33"/>
      <c r="AX104" s="37"/>
      <c r="AY104" s="38"/>
      <c r="AZ104" s="37"/>
      <c r="BA104" s="38"/>
      <c r="BB104" s="37"/>
      <c r="BC104" s="38"/>
      <c r="BD104" s="37"/>
      <c r="BE104" s="38"/>
      <c r="BF104" s="37"/>
      <c r="BG104" s="38"/>
      <c r="BH104" s="42" t="b">
        <v>1</v>
      </c>
      <c r="BI104" s="38">
        <f>IF(MOD(H104,4)=0,H104/4,ROUNDUP(H104/4,0))</f>
        <v>7731813</v>
      </c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7"/>
      <c r="BU104" s="37"/>
      <c r="BV104" s="35"/>
      <c r="BW104" s="41"/>
      <c r="BX104" s="42" t="b">
        <v>1</v>
      </c>
      <c r="BY104" s="41">
        <f>IF(MOD(H104,4)=0,H104/4,ROUNDDOWN(H104/4,0))</f>
        <v>7731812</v>
      </c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</row>
    <row r="105" spans="1:101" ht="32.25" customHeight="1" x14ac:dyDescent="0.25">
      <c r="A105" s="12">
        <f t="shared" si="0"/>
        <v>104</v>
      </c>
      <c r="B105" s="13" t="s">
        <v>251</v>
      </c>
      <c r="C105" s="13" t="s">
        <v>633</v>
      </c>
      <c r="D105" s="14" t="s">
        <v>696</v>
      </c>
      <c r="E105" s="15" t="s">
        <v>697</v>
      </c>
      <c r="F105" s="15" t="s">
        <v>698</v>
      </c>
      <c r="G105" s="16">
        <v>19</v>
      </c>
      <c r="H105" s="17">
        <v>34565750</v>
      </c>
      <c r="I105" s="18"/>
      <c r="J105" s="18"/>
      <c r="K105" s="18"/>
      <c r="L105" s="18" t="s">
        <v>99</v>
      </c>
      <c r="M105" s="19">
        <v>17167</v>
      </c>
      <c r="N105" s="20" t="s">
        <v>100</v>
      </c>
      <c r="O105" s="13" t="b">
        <v>1</v>
      </c>
      <c r="P105" s="20" t="b">
        <v>1</v>
      </c>
      <c r="Q105" s="20" t="b">
        <v>1</v>
      </c>
      <c r="R105" s="13" t="b">
        <v>1</v>
      </c>
      <c r="S105" s="13" t="b">
        <v>1</v>
      </c>
      <c r="T105" s="13" t="b">
        <v>1</v>
      </c>
      <c r="U105" s="13" t="b">
        <v>1</v>
      </c>
      <c r="V105" s="13" t="b">
        <v>0</v>
      </c>
      <c r="W105" s="13" t="b">
        <v>0</v>
      </c>
      <c r="X105" s="13" t="b">
        <v>0</v>
      </c>
      <c r="Y105" s="21" t="s">
        <v>443</v>
      </c>
      <c r="Z105" s="21" t="s">
        <v>699</v>
      </c>
      <c r="AA105" s="21" t="s">
        <v>697</v>
      </c>
      <c r="AB105" s="22"/>
      <c r="AC105" s="23"/>
      <c r="AD105" s="13"/>
      <c r="AE105" s="47" t="b">
        <v>1</v>
      </c>
      <c r="AF105" s="48">
        <v>45904</v>
      </c>
      <c r="AG105" s="26" t="s">
        <v>700</v>
      </c>
      <c r="AH105" s="27" t="b">
        <v>1</v>
      </c>
      <c r="AI105" s="28">
        <v>45964</v>
      </c>
      <c r="AJ105" s="29" t="s">
        <v>701</v>
      </c>
      <c r="AK105" s="39" t="b">
        <v>1</v>
      </c>
      <c r="AL105" s="40">
        <v>46001</v>
      </c>
      <c r="AM105" s="29" t="s">
        <v>140</v>
      </c>
      <c r="AN105" s="29"/>
      <c r="AO105" s="13"/>
      <c r="AP105" s="12"/>
      <c r="AQ105" s="16"/>
      <c r="AR105" s="32"/>
      <c r="AS105" s="33"/>
      <c r="AT105" s="32"/>
      <c r="AU105" s="33"/>
      <c r="AV105" s="34"/>
      <c r="AW105" s="33"/>
      <c r="AX105" s="37"/>
      <c r="AY105" s="38"/>
      <c r="AZ105" s="37"/>
      <c r="BA105" s="38"/>
      <c r="BB105" s="35" t="b">
        <v>1</v>
      </c>
      <c r="BC105" s="36">
        <f t="shared" ref="BC105:BC106" si="47">IF(MOD(H105,4)=0,H105/4,ROUNDUP(H105/4,0))</f>
        <v>8641438</v>
      </c>
      <c r="BD105" s="41"/>
      <c r="BE105" s="36"/>
      <c r="BF105" s="41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41"/>
      <c r="BU105" s="41"/>
      <c r="BV105" s="35" t="b">
        <v>1</v>
      </c>
      <c r="BW105" s="41">
        <f t="shared" ref="BW105:BW106" si="48">IF(MOD(H105,4)=0,H105/4,ROUNDDOWN(H105/4,0))</f>
        <v>8641437</v>
      </c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35" t="b">
        <v>1</v>
      </c>
      <c r="CQ105" s="41">
        <f>IF(MOD(H105,4)=0,H105/4,ROUNDUP(H105/4,0))</f>
        <v>8641438</v>
      </c>
      <c r="CR105" s="41"/>
      <c r="CS105" s="41"/>
      <c r="CT105" s="41"/>
      <c r="CU105" s="41"/>
      <c r="CV105" s="41"/>
      <c r="CW105" s="41"/>
    </row>
    <row r="106" spans="1:101" ht="32.25" customHeight="1" x14ac:dyDescent="0.25">
      <c r="A106" s="12">
        <f t="shared" si="0"/>
        <v>105</v>
      </c>
      <c r="B106" s="13" t="s">
        <v>251</v>
      </c>
      <c r="C106" s="13" t="s">
        <v>633</v>
      </c>
      <c r="D106" s="14" t="s">
        <v>702</v>
      </c>
      <c r="E106" s="15" t="s">
        <v>703</v>
      </c>
      <c r="F106" s="15" t="s">
        <v>704</v>
      </c>
      <c r="G106" s="16">
        <v>53</v>
      </c>
      <c r="H106" s="17">
        <v>96420250</v>
      </c>
      <c r="I106" s="18"/>
      <c r="J106" s="18"/>
      <c r="K106" s="18"/>
      <c r="L106" s="18" t="s">
        <v>99</v>
      </c>
      <c r="M106" s="19">
        <v>17168</v>
      </c>
      <c r="N106" s="20" t="s">
        <v>100</v>
      </c>
      <c r="O106" s="13" t="b">
        <v>1</v>
      </c>
      <c r="P106" s="20" t="b">
        <v>1</v>
      </c>
      <c r="Q106" s="20" t="b">
        <v>1</v>
      </c>
      <c r="R106" s="13" t="b">
        <v>0</v>
      </c>
      <c r="S106" s="13" t="b">
        <v>0</v>
      </c>
      <c r="T106" s="13" t="b">
        <v>1</v>
      </c>
      <c r="U106" s="13" t="b">
        <v>0</v>
      </c>
      <c r="V106" s="13" t="b">
        <v>1</v>
      </c>
      <c r="W106" s="13" t="b">
        <v>1</v>
      </c>
      <c r="X106" s="13" t="b">
        <v>0</v>
      </c>
      <c r="Y106" s="21" t="s">
        <v>101</v>
      </c>
      <c r="Z106" s="21" t="s">
        <v>705</v>
      </c>
      <c r="AA106" s="21" t="s">
        <v>706</v>
      </c>
      <c r="AB106" s="22"/>
      <c r="AC106" s="23"/>
      <c r="AD106" s="13"/>
      <c r="AE106" s="47" t="b">
        <v>1</v>
      </c>
      <c r="AF106" s="48">
        <v>45904</v>
      </c>
      <c r="AG106" s="26" t="s">
        <v>700</v>
      </c>
      <c r="AH106" s="27" t="b">
        <v>1</v>
      </c>
      <c r="AI106" s="28">
        <v>45961</v>
      </c>
      <c r="AJ106" s="29" t="s">
        <v>707</v>
      </c>
      <c r="AK106" s="39" t="b">
        <v>1</v>
      </c>
      <c r="AL106" s="40">
        <v>46008</v>
      </c>
      <c r="AM106" s="29" t="s">
        <v>707</v>
      </c>
      <c r="AN106" s="29"/>
      <c r="AO106" s="13"/>
      <c r="AP106" s="12"/>
      <c r="AQ106" s="16"/>
      <c r="AR106" s="32"/>
      <c r="AS106" s="33"/>
      <c r="AT106" s="32"/>
      <c r="AU106" s="33"/>
      <c r="AV106" s="34"/>
      <c r="AW106" s="33"/>
      <c r="AX106" s="37"/>
      <c r="AY106" s="38"/>
      <c r="AZ106" s="37"/>
      <c r="BA106" s="38"/>
      <c r="BB106" s="35" t="b">
        <v>1</v>
      </c>
      <c r="BC106" s="36">
        <f t="shared" si="47"/>
        <v>24105063</v>
      </c>
      <c r="BD106" s="41"/>
      <c r="BE106" s="36"/>
      <c r="BF106" s="41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41"/>
      <c r="BU106" s="41"/>
      <c r="BV106" s="35" t="b">
        <v>1</v>
      </c>
      <c r="BW106" s="41">
        <f t="shared" si="48"/>
        <v>24105062</v>
      </c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12" t="b">
        <v>1</v>
      </c>
      <c r="CS106" s="36">
        <f>IF(MOD(H106,4)=0,H106/4,ROUNDUP(H106/4,0))</f>
        <v>24105063</v>
      </c>
      <c r="CT106" s="36"/>
      <c r="CU106" s="36"/>
      <c r="CV106" s="36"/>
      <c r="CW106" s="36"/>
    </row>
    <row r="107" spans="1:101" ht="32.25" customHeight="1" x14ac:dyDescent="0.25">
      <c r="A107" s="12">
        <f t="shared" si="0"/>
        <v>106</v>
      </c>
      <c r="B107" s="13" t="s">
        <v>251</v>
      </c>
      <c r="C107" s="13" t="s">
        <v>633</v>
      </c>
      <c r="D107" s="14" t="s">
        <v>708</v>
      </c>
      <c r="E107" s="15" t="s">
        <v>709</v>
      </c>
      <c r="F107" s="15" t="s">
        <v>710</v>
      </c>
      <c r="G107" s="16">
        <v>39</v>
      </c>
      <c r="H107" s="17">
        <v>70950750</v>
      </c>
      <c r="I107" s="18"/>
      <c r="J107" s="18"/>
      <c r="K107" s="18"/>
      <c r="L107" s="18" t="s">
        <v>99</v>
      </c>
      <c r="M107" s="19">
        <v>17169</v>
      </c>
      <c r="N107" s="20" t="s">
        <v>100</v>
      </c>
      <c r="O107" s="13" t="b">
        <v>1</v>
      </c>
      <c r="P107" s="20" t="b">
        <v>0</v>
      </c>
      <c r="Q107" s="20" t="b">
        <v>1</v>
      </c>
      <c r="R107" s="13" t="b">
        <v>0</v>
      </c>
      <c r="S107" s="13" t="b">
        <v>0</v>
      </c>
      <c r="T107" s="13" t="b">
        <v>1</v>
      </c>
      <c r="U107" s="13" t="b">
        <v>1</v>
      </c>
      <c r="V107" s="13" t="b">
        <v>1</v>
      </c>
      <c r="W107" s="13" t="b">
        <v>1</v>
      </c>
      <c r="X107" s="13" t="b">
        <v>1</v>
      </c>
      <c r="Y107" s="21" t="s">
        <v>101</v>
      </c>
      <c r="Z107" s="21" t="s">
        <v>711</v>
      </c>
      <c r="AA107" s="21" t="s">
        <v>712</v>
      </c>
      <c r="AB107" s="22"/>
      <c r="AC107" s="23"/>
      <c r="AD107" s="13"/>
      <c r="AE107" s="47" t="b">
        <v>1</v>
      </c>
      <c r="AF107" s="48">
        <v>45936</v>
      </c>
      <c r="AG107" s="26" t="s">
        <v>713</v>
      </c>
      <c r="AH107" s="27" t="b">
        <v>1</v>
      </c>
      <c r="AI107" s="28">
        <v>45987</v>
      </c>
      <c r="AJ107" s="29" t="s">
        <v>714</v>
      </c>
      <c r="AK107" s="39" t="b">
        <v>1</v>
      </c>
      <c r="AL107" s="40">
        <v>46020</v>
      </c>
      <c r="AM107" s="29" t="s">
        <v>714</v>
      </c>
      <c r="AN107" s="29"/>
      <c r="AO107" s="13"/>
      <c r="AP107" s="12"/>
      <c r="AQ107" s="16"/>
      <c r="AR107" s="32"/>
      <c r="AS107" s="33"/>
      <c r="AT107" s="32"/>
      <c r="AU107" s="33"/>
      <c r="AV107" s="34"/>
      <c r="AW107" s="33"/>
      <c r="AX107" s="37"/>
      <c r="AY107" s="38"/>
      <c r="AZ107" s="37"/>
      <c r="BA107" s="38"/>
      <c r="BB107" s="37"/>
      <c r="BC107" s="38"/>
      <c r="BD107" s="37"/>
      <c r="BE107" s="38"/>
      <c r="BF107" s="35" t="b">
        <v>1</v>
      </c>
      <c r="BG107" s="38">
        <f>IF(MOD(H107,4)=0,H107/4,ROUNDUP(H107/4,0))</f>
        <v>17737688</v>
      </c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 t="b">
        <v>1</v>
      </c>
      <c r="CA107" s="59">
        <f>IF(MOD(H107,4)=0,H107/4,ROUNDDOWN(H107/4,0))</f>
        <v>17737687</v>
      </c>
      <c r="CB107" s="59"/>
      <c r="CC107" s="59"/>
      <c r="CD107" s="59"/>
      <c r="CE107" s="59"/>
      <c r="CF107" s="59"/>
      <c r="CG107" s="59"/>
      <c r="CH107" s="59"/>
      <c r="CI107" s="59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7" t="b">
        <v>1</v>
      </c>
      <c r="CU107" s="38">
        <f>IF(MOD(H107,4)=0,H107/4,ROUNDUP(H107/4,0))</f>
        <v>17737688</v>
      </c>
      <c r="CV107" s="38"/>
      <c r="CW107" s="38"/>
    </row>
    <row r="108" spans="1:101" ht="32.25" customHeight="1" x14ac:dyDescent="0.25">
      <c r="A108" s="12">
        <f t="shared" si="0"/>
        <v>107</v>
      </c>
      <c r="B108" s="13" t="s">
        <v>251</v>
      </c>
      <c r="C108" s="13" t="s">
        <v>633</v>
      </c>
      <c r="D108" s="14" t="s">
        <v>715</v>
      </c>
      <c r="E108" s="15" t="s">
        <v>716</v>
      </c>
      <c r="F108" s="15" t="s">
        <v>717</v>
      </c>
      <c r="G108" s="16">
        <v>348</v>
      </c>
      <c r="H108" s="17">
        <v>633099000</v>
      </c>
      <c r="I108" s="18"/>
      <c r="J108" s="18"/>
      <c r="K108" s="18"/>
      <c r="L108" s="18" t="s">
        <v>99</v>
      </c>
      <c r="M108" s="19">
        <v>17170</v>
      </c>
      <c r="N108" s="20" t="s">
        <v>100</v>
      </c>
      <c r="O108" s="13" t="b">
        <v>1</v>
      </c>
      <c r="P108" s="20" t="b">
        <v>1</v>
      </c>
      <c r="Q108" s="20" t="b">
        <v>1</v>
      </c>
      <c r="R108" s="13" t="b">
        <v>0</v>
      </c>
      <c r="S108" s="13" t="b">
        <v>1</v>
      </c>
      <c r="T108" s="13" t="b">
        <v>1</v>
      </c>
      <c r="U108" s="13" t="b">
        <v>1</v>
      </c>
      <c r="V108" s="13" t="b">
        <v>1</v>
      </c>
      <c r="W108" s="13" t="b">
        <v>1</v>
      </c>
      <c r="X108" s="13" t="b">
        <v>0</v>
      </c>
      <c r="Y108" s="21" t="s">
        <v>101</v>
      </c>
      <c r="Z108" s="21" t="s">
        <v>718</v>
      </c>
      <c r="AA108" s="21" t="s">
        <v>719</v>
      </c>
      <c r="AB108" s="22"/>
      <c r="AC108" s="23"/>
      <c r="AD108" s="13"/>
      <c r="AE108" s="47" t="b">
        <v>1</v>
      </c>
      <c r="AF108" s="48">
        <v>45894</v>
      </c>
      <c r="AG108" s="26"/>
      <c r="AH108" s="27" t="b">
        <v>1</v>
      </c>
      <c r="AI108" s="28"/>
      <c r="AJ108" s="29" t="s">
        <v>590</v>
      </c>
      <c r="AK108" s="39" t="b">
        <v>1</v>
      </c>
      <c r="AL108" s="40">
        <v>45985</v>
      </c>
      <c r="AM108" s="29" t="s">
        <v>492</v>
      </c>
      <c r="AN108" s="29"/>
      <c r="AO108" s="13"/>
      <c r="AP108" s="12"/>
      <c r="AQ108" s="16"/>
      <c r="AR108" s="32"/>
      <c r="AS108" s="33"/>
      <c r="AT108" s="32"/>
      <c r="AU108" s="33"/>
      <c r="AV108" s="34"/>
      <c r="AW108" s="33"/>
      <c r="AX108" s="37"/>
      <c r="AY108" s="38"/>
      <c r="AZ108" s="35" t="b">
        <v>1</v>
      </c>
      <c r="BA108" s="36">
        <f>IF(MOD(H108,4)=0,H108/4,ROUNDUP(H108/4,0))</f>
        <v>158274750</v>
      </c>
      <c r="BB108" s="41"/>
      <c r="BC108" s="36"/>
      <c r="BD108" s="41"/>
      <c r="BE108" s="36"/>
      <c r="BF108" s="41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41"/>
      <c r="BU108" s="41"/>
      <c r="BV108" s="35" t="b">
        <v>1</v>
      </c>
      <c r="BW108" s="41">
        <f>IF(MOD(H108,4)=0,H108/4,ROUNDDOWN(H108/4,0))</f>
        <v>158274750</v>
      </c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35" t="b">
        <v>1</v>
      </c>
      <c r="CK108" s="36">
        <f>IF(MOD(H108,4)=0,H108/4,ROUNDUP(H108/4,0))</f>
        <v>158274750</v>
      </c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</row>
    <row r="109" spans="1:101" ht="32.25" customHeight="1" x14ac:dyDescent="0.25">
      <c r="A109" s="12">
        <f t="shared" si="0"/>
        <v>108</v>
      </c>
      <c r="B109" s="13" t="s">
        <v>251</v>
      </c>
      <c r="C109" s="13" t="s">
        <v>633</v>
      </c>
      <c r="D109" s="14" t="s">
        <v>720</v>
      </c>
      <c r="E109" s="15" t="s">
        <v>721</v>
      </c>
      <c r="F109" s="15" t="s">
        <v>722</v>
      </c>
      <c r="G109" s="16">
        <v>89</v>
      </c>
      <c r="H109" s="17">
        <v>161913250</v>
      </c>
      <c r="I109" s="18"/>
      <c r="J109" s="18"/>
      <c r="K109" s="18"/>
      <c r="L109" s="18" t="s">
        <v>99</v>
      </c>
      <c r="M109" s="19">
        <v>17171</v>
      </c>
      <c r="N109" s="20" t="s">
        <v>100</v>
      </c>
      <c r="O109" s="13" t="b">
        <v>1</v>
      </c>
      <c r="P109" s="20" t="b">
        <v>1</v>
      </c>
      <c r="Q109" s="20" t="b">
        <v>1</v>
      </c>
      <c r="R109" s="13" t="b">
        <v>0</v>
      </c>
      <c r="S109" s="13" t="b">
        <v>0</v>
      </c>
      <c r="T109" s="13" t="b">
        <v>1</v>
      </c>
      <c r="U109" s="13" t="b">
        <v>1</v>
      </c>
      <c r="V109" s="13" t="b">
        <v>1</v>
      </c>
      <c r="W109" s="13" t="b">
        <v>1</v>
      </c>
      <c r="X109" s="13" t="b">
        <v>0</v>
      </c>
      <c r="Y109" s="21" t="s">
        <v>443</v>
      </c>
      <c r="Z109" s="21" t="s">
        <v>723</v>
      </c>
      <c r="AA109" s="21" t="s">
        <v>724</v>
      </c>
      <c r="AB109" s="22"/>
      <c r="AC109" s="13"/>
      <c r="AD109" s="13"/>
      <c r="AE109" s="13" t="b">
        <v>1</v>
      </c>
      <c r="AF109" s="48">
        <v>45929</v>
      </c>
      <c r="AG109" s="26" t="s">
        <v>725</v>
      </c>
      <c r="AH109" s="39" t="b">
        <v>1</v>
      </c>
      <c r="AI109" s="28">
        <v>45996</v>
      </c>
      <c r="AJ109" s="29" t="s">
        <v>725</v>
      </c>
      <c r="AK109" s="39" t="b">
        <v>1</v>
      </c>
      <c r="AL109" s="40">
        <v>46013</v>
      </c>
      <c r="AM109" s="29" t="s">
        <v>104</v>
      </c>
      <c r="AN109" s="29"/>
      <c r="AO109" s="13"/>
      <c r="AP109" s="12"/>
      <c r="AQ109" s="16"/>
      <c r="AR109" s="32"/>
      <c r="AS109" s="33"/>
      <c r="AT109" s="32"/>
      <c r="AU109" s="33"/>
      <c r="AV109" s="34"/>
      <c r="AW109" s="33"/>
      <c r="AX109" s="37"/>
      <c r="AY109" s="38"/>
      <c r="AZ109" s="37"/>
      <c r="BA109" s="38"/>
      <c r="BB109" s="37"/>
      <c r="BC109" s="38"/>
      <c r="BD109" s="42" t="b">
        <v>1</v>
      </c>
      <c r="BE109" s="36">
        <f t="shared" ref="BE109:BE110" si="49">IF(MOD(H109,4)=0,H109/4,ROUNDUP(H109/4,0))</f>
        <v>40478313</v>
      </c>
      <c r="BF109" s="41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37" t="b">
        <v>1</v>
      </c>
      <c r="CE109" s="38">
        <f t="shared" ref="CE109:CE110" si="50">IF(MOD(H109,4)=0,H109/4,ROUNDDOWN(H109/4,0))</f>
        <v>40478312</v>
      </c>
      <c r="CF109" s="38"/>
      <c r="CG109" s="38"/>
      <c r="CH109" s="38"/>
      <c r="CI109" s="38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37" t="b">
        <v>1</v>
      </c>
      <c r="CU109" s="38">
        <f>IF(MOD(H109,4)=0,H109/4,ROUNDUP(H109/4,0))</f>
        <v>40478313</v>
      </c>
      <c r="CV109" s="38"/>
      <c r="CW109" s="38"/>
    </row>
    <row r="110" spans="1:101" ht="32.25" customHeight="1" x14ac:dyDescent="0.25">
      <c r="A110" s="12">
        <f t="shared" si="0"/>
        <v>109</v>
      </c>
      <c r="B110" s="13" t="s">
        <v>251</v>
      </c>
      <c r="C110" s="13" t="s">
        <v>633</v>
      </c>
      <c r="D110" s="14" t="s">
        <v>726</v>
      </c>
      <c r="E110" s="15" t="s">
        <v>727</v>
      </c>
      <c r="F110" s="15" t="s">
        <v>685</v>
      </c>
      <c r="G110" s="16">
        <v>36</v>
      </c>
      <c r="H110" s="17">
        <v>65493000</v>
      </c>
      <c r="I110" s="18"/>
      <c r="J110" s="18"/>
      <c r="K110" s="18"/>
      <c r="L110" s="18" t="s">
        <v>99</v>
      </c>
      <c r="M110" s="19">
        <v>17172</v>
      </c>
      <c r="N110" s="20" t="s">
        <v>100</v>
      </c>
      <c r="O110" s="13" t="b">
        <v>1</v>
      </c>
      <c r="P110" s="20" t="b">
        <v>0</v>
      </c>
      <c r="Q110" s="20" t="b">
        <v>1</v>
      </c>
      <c r="R110" s="13" t="b">
        <v>1</v>
      </c>
      <c r="S110" s="13" t="b">
        <v>1</v>
      </c>
      <c r="T110" s="13" t="b">
        <v>1</v>
      </c>
      <c r="U110" s="13" t="b">
        <v>1</v>
      </c>
      <c r="V110" s="13" t="b">
        <v>1</v>
      </c>
      <c r="W110" s="13" t="b">
        <v>1</v>
      </c>
      <c r="X110" s="13" t="b">
        <v>0</v>
      </c>
      <c r="Y110" s="21" t="s">
        <v>101</v>
      </c>
      <c r="Z110" s="21" t="s">
        <v>728</v>
      </c>
      <c r="AA110" s="21" t="s">
        <v>729</v>
      </c>
      <c r="AB110" s="22"/>
      <c r="AC110" s="23"/>
      <c r="AD110" s="13"/>
      <c r="AE110" s="47" t="b">
        <v>1</v>
      </c>
      <c r="AF110" s="48">
        <v>45917</v>
      </c>
      <c r="AG110" s="26" t="s">
        <v>730</v>
      </c>
      <c r="AH110" s="39" t="b">
        <v>1</v>
      </c>
      <c r="AI110" s="28">
        <v>46001</v>
      </c>
      <c r="AJ110" s="29" t="s">
        <v>472</v>
      </c>
      <c r="AK110" s="39" t="b">
        <v>0</v>
      </c>
      <c r="AL110" s="29"/>
      <c r="AM110" s="29"/>
      <c r="AN110" s="29"/>
      <c r="AO110" s="13"/>
      <c r="AP110" s="12"/>
      <c r="AQ110" s="16"/>
      <c r="AR110" s="32"/>
      <c r="AS110" s="33"/>
      <c r="AT110" s="32"/>
      <c r="AU110" s="33"/>
      <c r="AV110" s="34"/>
      <c r="AW110" s="33"/>
      <c r="AX110" s="37"/>
      <c r="AY110" s="38"/>
      <c r="AZ110" s="37"/>
      <c r="BA110" s="38"/>
      <c r="BB110" s="37"/>
      <c r="BC110" s="38"/>
      <c r="BD110" s="42" t="b">
        <v>1</v>
      </c>
      <c r="BE110" s="36">
        <f t="shared" si="49"/>
        <v>16373250</v>
      </c>
      <c r="BF110" s="41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37" t="b">
        <v>1</v>
      </c>
      <c r="CE110" s="38">
        <f t="shared" si="50"/>
        <v>16373250</v>
      </c>
      <c r="CF110" s="38"/>
      <c r="CG110" s="38"/>
      <c r="CH110" s="38"/>
      <c r="CI110" s="38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</row>
    <row r="111" spans="1:101" ht="32.25" customHeight="1" x14ac:dyDescent="0.25">
      <c r="A111" s="12">
        <f t="shared" si="0"/>
        <v>110</v>
      </c>
      <c r="B111" s="13" t="s">
        <v>94</v>
      </c>
      <c r="C111" s="13" t="s">
        <v>731</v>
      </c>
      <c r="D111" s="14" t="s">
        <v>732</v>
      </c>
      <c r="E111" s="15" t="s">
        <v>733</v>
      </c>
      <c r="F111" s="15" t="s">
        <v>734</v>
      </c>
      <c r="G111" s="16">
        <v>28</v>
      </c>
      <c r="H111" s="17">
        <v>44849000</v>
      </c>
      <c r="I111" s="18"/>
      <c r="J111" s="18"/>
      <c r="K111" s="18"/>
      <c r="L111" s="18" t="s">
        <v>99</v>
      </c>
      <c r="M111" s="19">
        <v>17173</v>
      </c>
      <c r="N111" s="20" t="s">
        <v>100</v>
      </c>
      <c r="O111" s="13" t="b">
        <v>0</v>
      </c>
      <c r="P111" s="20" t="b">
        <v>1</v>
      </c>
      <c r="Q111" s="20" t="b">
        <v>1</v>
      </c>
      <c r="R111" s="13" t="b">
        <v>0</v>
      </c>
      <c r="S111" s="13" t="b">
        <v>0</v>
      </c>
      <c r="T111" s="13" t="b">
        <v>1</v>
      </c>
      <c r="U111" s="13" t="b">
        <v>1</v>
      </c>
      <c r="V111" s="13" t="b">
        <v>1</v>
      </c>
      <c r="W111" s="13" t="b">
        <v>1</v>
      </c>
      <c r="X111" s="13" t="b">
        <v>0</v>
      </c>
      <c r="Y111" s="21" t="s">
        <v>101</v>
      </c>
      <c r="Z111" s="21" t="s">
        <v>735</v>
      </c>
      <c r="AA111" s="21" t="s">
        <v>733</v>
      </c>
      <c r="AB111" s="22"/>
      <c r="AC111" s="23"/>
      <c r="AD111" s="13"/>
      <c r="AE111" s="13" t="b">
        <v>1</v>
      </c>
      <c r="AF111" s="48">
        <v>45936</v>
      </c>
      <c r="AG111" s="55" t="s">
        <v>590</v>
      </c>
      <c r="AH111" s="39" t="b">
        <v>1</v>
      </c>
      <c r="AI111" s="48">
        <v>45987</v>
      </c>
      <c r="AJ111" s="39" t="s">
        <v>590</v>
      </c>
      <c r="AK111" s="39" t="b">
        <v>1</v>
      </c>
      <c r="AL111" s="30">
        <v>46020</v>
      </c>
      <c r="AM111" s="39" t="s">
        <v>104</v>
      </c>
      <c r="AN111" s="39"/>
      <c r="AO111" s="13"/>
      <c r="AP111" s="12"/>
      <c r="AQ111" s="16"/>
      <c r="AR111" s="32"/>
      <c r="AS111" s="33"/>
      <c r="AT111" s="32"/>
      <c r="AU111" s="33"/>
      <c r="AV111" s="34"/>
      <c r="AW111" s="33"/>
      <c r="AX111" s="37"/>
      <c r="AY111" s="38"/>
      <c r="AZ111" s="37"/>
      <c r="BA111" s="38"/>
      <c r="BB111" s="37"/>
      <c r="BC111" s="38"/>
      <c r="BD111" s="37"/>
      <c r="BE111" s="38"/>
      <c r="BF111" s="35" t="b">
        <v>1</v>
      </c>
      <c r="BG111" s="38">
        <f>IF(MOD(H111,4)=0,H111/4,ROUNDUP(H111/4,0))</f>
        <v>11212250</v>
      </c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 t="b">
        <v>1</v>
      </c>
      <c r="CA111" s="59">
        <f>IF(MOD(H111,4)=0,H111/4,ROUNDDOWN(H111/4,0))</f>
        <v>11212250</v>
      </c>
      <c r="CB111" s="59"/>
      <c r="CC111" s="59"/>
      <c r="CD111" s="59"/>
      <c r="CE111" s="59"/>
      <c r="CF111" s="59"/>
      <c r="CG111" s="59"/>
      <c r="CH111" s="59"/>
      <c r="CI111" s="59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7" t="b">
        <v>1</v>
      </c>
      <c r="CU111" s="38">
        <f>IF(MOD(H111,4)=0,H111/4,ROUNDUP(H111/4,0))</f>
        <v>11212250</v>
      </c>
      <c r="CV111" s="38"/>
      <c r="CW111" s="38"/>
    </row>
    <row r="112" spans="1:101" ht="32.25" customHeight="1" x14ac:dyDescent="0.25">
      <c r="A112" s="12">
        <f t="shared" si="0"/>
        <v>111</v>
      </c>
      <c r="B112" s="13" t="s">
        <v>94</v>
      </c>
      <c r="C112" s="13" t="s">
        <v>731</v>
      </c>
      <c r="D112" s="14" t="s">
        <v>736</v>
      </c>
      <c r="E112" s="15" t="s">
        <v>737</v>
      </c>
      <c r="F112" s="15" t="s">
        <v>738</v>
      </c>
      <c r="G112" s="16">
        <v>68</v>
      </c>
      <c r="H112" s="17">
        <v>108919000</v>
      </c>
      <c r="I112" s="18"/>
      <c r="J112" s="18"/>
      <c r="K112" s="18"/>
      <c r="L112" s="18" t="s">
        <v>99</v>
      </c>
      <c r="M112" s="19">
        <v>17174</v>
      </c>
      <c r="N112" s="20" t="s">
        <v>100</v>
      </c>
      <c r="O112" s="13" t="b">
        <v>1</v>
      </c>
      <c r="P112" s="20" t="b">
        <v>1</v>
      </c>
      <c r="Q112" s="20" t="b">
        <v>1</v>
      </c>
      <c r="R112" s="13" t="b">
        <v>1</v>
      </c>
      <c r="S112" s="13" t="b">
        <v>1</v>
      </c>
      <c r="T112" s="13" t="b">
        <v>1</v>
      </c>
      <c r="U112" s="13" t="b">
        <v>1</v>
      </c>
      <c r="V112" s="13" t="b">
        <v>1</v>
      </c>
      <c r="W112" s="13" t="b">
        <v>1</v>
      </c>
      <c r="X112" s="13" t="b">
        <v>0</v>
      </c>
      <c r="Y112" s="21" t="s">
        <v>101</v>
      </c>
      <c r="Z112" s="21" t="s">
        <v>739</v>
      </c>
      <c r="AA112" s="21" t="s">
        <v>740</v>
      </c>
      <c r="AB112" s="22"/>
      <c r="AC112" s="23"/>
      <c r="AD112" s="13"/>
      <c r="AE112" s="47" t="b">
        <v>1</v>
      </c>
      <c r="AF112" s="48">
        <v>45904</v>
      </c>
      <c r="AG112" s="55" t="s">
        <v>741</v>
      </c>
      <c r="AH112" s="27" t="b">
        <v>1</v>
      </c>
      <c r="AI112" s="48">
        <v>45944</v>
      </c>
      <c r="AJ112" s="56" t="s">
        <v>742</v>
      </c>
      <c r="AK112" s="39" t="b">
        <v>1</v>
      </c>
      <c r="AL112" s="30">
        <v>45993</v>
      </c>
      <c r="AM112" s="39" t="s">
        <v>743</v>
      </c>
      <c r="AN112" s="39"/>
      <c r="AO112" s="13"/>
      <c r="AP112" s="12"/>
      <c r="AQ112" s="16"/>
      <c r="AR112" s="32"/>
      <c r="AS112" s="33"/>
      <c r="AT112" s="32"/>
      <c r="AU112" s="33"/>
      <c r="AV112" s="34"/>
      <c r="AW112" s="33"/>
      <c r="AX112" s="37"/>
      <c r="AY112" s="38"/>
      <c r="AZ112" s="37"/>
      <c r="BA112" s="38"/>
      <c r="BB112" s="35" t="b">
        <v>1</v>
      </c>
      <c r="BC112" s="36">
        <f>IF(MOD(H112,4)=0,H112/4,ROUNDUP(H112/4,0))</f>
        <v>27229750</v>
      </c>
      <c r="BD112" s="41"/>
      <c r="BE112" s="36"/>
      <c r="BF112" s="41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41"/>
      <c r="BU112" s="41"/>
      <c r="BV112" s="35" t="b">
        <v>1</v>
      </c>
      <c r="BW112" s="41">
        <f>IF(MOD(H112,4)=0,H112/4,ROUNDDOWN(H112/4,0))</f>
        <v>27229750</v>
      </c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35" t="b">
        <v>1</v>
      </c>
      <c r="CO112" s="36">
        <f>IF(MOD(H112,4)=0,H112/4,ROUNDUP(H112/4,0))</f>
        <v>27229750</v>
      </c>
      <c r="CP112" s="36"/>
      <c r="CQ112" s="36"/>
      <c r="CR112" s="36"/>
      <c r="CS112" s="36"/>
      <c r="CT112" s="36"/>
      <c r="CU112" s="36"/>
      <c r="CV112" s="36"/>
      <c r="CW112" s="36"/>
    </row>
    <row r="113" spans="1:101" ht="32.25" customHeight="1" x14ac:dyDescent="0.25">
      <c r="A113" s="12">
        <f t="shared" si="0"/>
        <v>112</v>
      </c>
      <c r="B113" s="13" t="s">
        <v>94</v>
      </c>
      <c r="C113" s="13" t="s">
        <v>731</v>
      </c>
      <c r="D113" s="14" t="s">
        <v>744</v>
      </c>
      <c r="E113" s="15" t="s">
        <v>745</v>
      </c>
      <c r="F113" s="15" t="s">
        <v>746</v>
      </c>
      <c r="G113" s="16">
        <v>62</v>
      </c>
      <c r="H113" s="17">
        <v>99308500</v>
      </c>
      <c r="I113" s="18"/>
      <c r="J113" s="18"/>
      <c r="K113" s="18"/>
      <c r="L113" s="18" t="s">
        <v>99</v>
      </c>
      <c r="M113" s="19">
        <v>17175</v>
      </c>
      <c r="N113" s="20" t="s">
        <v>100</v>
      </c>
      <c r="O113" s="13" t="b">
        <v>1</v>
      </c>
      <c r="P113" s="20" t="b">
        <v>1</v>
      </c>
      <c r="Q113" s="20" t="b">
        <v>1</v>
      </c>
      <c r="R113" s="13" t="b">
        <v>1</v>
      </c>
      <c r="S113" s="13" t="b">
        <v>1</v>
      </c>
      <c r="T113" s="13" t="b">
        <v>1</v>
      </c>
      <c r="U113" s="13" t="b">
        <v>1</v>
      </c>
      <c r="V113" s="13" t="b">
        <v>1</v>
      </c>
      <c r="W113" s="13" t="b">
        <v>1</v>
      </c>
      <c r="X113" s="13" t="b">
        <v>0</v>
      </c>
      <c r="Y113" s="21" t="s">
        <v>101</v>
      </c>
      <c r="Z113" s="21" t="s">
        <v>747</v>
      </c>
      <c r="AA113" s="21" t="s">
        <v>748</v>
      </c>
      <c r="AB113" s="22"/>
      <c r="AC113" s="23"/>
      <c r="AD113" s="13"/>
      <c r="AE113" s="47" t="b">
        <v>1</v>
      </c>
      <c r="AF113" s="48">
        <v>45954</v>
      </c>
      <c r="AG113" s="55" t="s">
        <v>749</v>
      </c>
      <c r="AH113" s="39" t="b">
        <v>1</v>
      </c>
      <c r="AI113" s="30">
        <v>45982</v>
      </c>
      <c r="AJ113" s="39" t="s">
        <v>750</v>
      </c>
      <c r="AK113" s="39" t="b">
        <v>1</v>
      </c>
      <c r="AL113" s="30">
        <v>46010</v>
      </c>
      <c r="AM113" s="39" t="s">
        <v>751</v>
      </c>
      <c r="AN113" s="39"/>
      <c r="AO113" s="13"/>
      <c r="AP113" s="12"/>
      <c r="AQ113" s="16"/>
      <c r="AR113" s="32"/>
      <c r="AS113" s="33"/>
      <c r="AT113" s="32"/>
      <c r="AU113" s="33"/>
      <c r="AV113" s="34"/>
      <c r="AW113" s="33"/>
      <c r="AX113" s="37"/>
      <c r="AY113" s="38"/>
      <c r="AZ113" s="37"/>
      <c r="BA113" s="38"/>
      <c r="BB113" s="37"/>
      <c r="BC113" s="38"/>
      <c r="BD113" s="37"/>
      <c r="BE113" s="38"/>
      <c r="BF113" s="37"/>
      <c r="BG113" s="38"/>
      <c r="BH113" s="42" t="b">
        <v>1</v>
      </c>
      <c r="BI113" s="38">
        <f>IF(MOD(H113,4)=0,H113/4,ROUNDUP(H113/4,0))</f>
        <v>24827125</v>
      </c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7"/>
      <c r="BU113" s="37"/>
      <c r="BV113" s="37"/>
      <c r="BW113" s="37"/>
      <c r="BX113" s="42" t="b">
        <v>1</v>
      </c>
      <c r="BY113" s="41">
        <f>IF(MOD(H113,4)=0,H113/4,ROUNDDOWN(H113/4,0))</f>
        <v>24827125</v>
      </c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37" t="b">
        <v>1</v>
      </c>
      <c r="CU113" s="38">
        <f>IF(MOD(H113,4)=0,H113/4,ROUNDUP(H113/4,0))</f>
        <v>24827125</v>
      </c>
      <c r="CV113" s="38"/>
      <c r="CW113" s="38"/>
    </row>
    <row r="114" spans="1:101" ht="32.25" customHeight="1" x14ac:dyDescent="0.25">
      <c r="A114" s="12">
        <f t="shared" si="0"/>
        <v>113</v>
      </c>
      <c r="B114" s="13" t="s">
        <v>94</v>
      </c>
      <c r="C114" s="13" t="s">
        <v>731</v>
      </c>
      <c r="D114" s="14" t="s">
        <v>752</v>
      </c>
      <c r="E114" s="15" t="s">
        <v>753</v>
      </c>
      <c r="F114" s="15" t="s">
        <v>754</v>
      </c>
      <c r="G114" s="16">
        <v>22</v>
      </c>
      <c r="H114" s="17">
        <v>35238500</v>
      </c>
      <c r="I114" s="18"/>
      <c r="J114" s="18"/>
      <c r="K114" s="18"/>
      <c r="L114" s="18" t="s">
        <v>99</v>
      </c>
      <c r="M114" s="19">
        <v>17176</v>
      </c>
      <c r="N114" s="20" t="s">
        <v>100</v>
      </c>
      <c r="O114" s="13" t="b">
        <v>0</v>
      </c>
      <c r="P114" s="20" t="b">
        <v>0</v>
      </c>
      <c r="Q114" s="20" t="b">
        <v>1</v>
      </c>
      <c r="R114" s="13" t="b">
        <v>1</v>
      </c>
      <c r="S114" s="13" t="b">
        <v>1</v>
      </c>
      <c r="T114" s="13" t="b">
        <v>1</v>
      </c>
      <c r="U114" s="13" t="b">
        <v>1</v>
      </c>
      <c r="V114" s="13" t="b">
        <v>1</v>
      </c>
      <c r="W114" s="13" t="b">
        <v>1</v>
      </c>
      <c r="X114" s="13" t="b">
        <v>0</v>
      </c>
      <c r="Y114" s="21" t="s">
        <v>443</v>
      </c>
      <c r="Z114" s="21" t="s">
        <v>755</v>
      </c>
      <c r="AA114" s="21" t="s">
        <v>756</v>
      </c>
      <c r="AB114" s="22"/>
      <c r="AC114" s="23"/>
      <c r="AD114" s="13"/>
      <c r="AE114" s="13" t="b">
        <v>1</v>
      </c>
      <c r="AF114" s="48"/>
      <c r="AG114" s="55"/>
      <c r="AH114" s="39" t="b">
        <v>0</v>
      </c>
      <c r="AI114" s="48"/>
      <c r="AJ114" s="39"/>
      <c r="AK114" s="39" t="b">
        <v>0</v>
      </c>
      <c r="AL114" s="39"/>
      <c r="AM114" s="39"/>
      <c r="AN114" s="39"/>
      <c r="AO114" s="13"/>
      <c r="AP114" s="12"/>
      <c r="AQ114" s="16"/>
      <c r="AR114" s="32"/>
      <c r="AS114" s="33"/>
      <c r="AT114" s="32"/>
      <c r="AU114" s="33"/>
      <c r="AV114" s="34"/>
      <c r="AW114" s="16"/>
      <c r="AX114" s="37"/>
      <c r="AY114" s="38"/>
      <c r="AZ114" s="37"/>
      <c r="BA114" s="38"/>
      <c r="BB114" s="37"/>
      <c r="BC114" s="38"/>
      <c r="BD114" s="37"/>
      <c r="BE114" s="38"/>
      <c r="BF114" s="37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7" t="b">
        <v>1</v>
      </c>
      <c r="BS114" s="38">
        <f>IF(MOD(H114,4)=0,H114/4,ROUNDUP(H114/4,0))</f>
        <v>8809625</v>
      </c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</row>
    <row r="115" spans="1:101" ht="32.25" customHeight="1" x14ac:dyDescent="0.25">
      <c r="A115" s="12">
        <f t="shared" si="0"/>
        <v>114</v>
      </c>
      <c r="B115" s="13" t="s">
        <v>94</v>
      </c>
      <c r="C115" s="13" t="s">
        <v>731</v>
      </c>
      <c r="D115" s="14" t="s">
        <v>757</v>
      </c>
      <c r="E115" s="15" t="s">
        <v>758</v>
      </c>
      <c r="F115" s="15" t="s">
        <v>759</v>
      </c>
      <c r="G115" s="16">
        <v>41</v>
      </c>
      <c r="H115" s="17">
        <v>65671750</v>
      </c>
      <c r="I115" s="18"/>
      <c r="J115" s="18"/>
      <c r="K115" s="18"/>
      <c r="L115" s="18" t="s">
        <v>99</v>
      </c>
      <c r="M115" s="19">
        <v>17177</v>
      </c>
      <c r="N115" s="20" t="s">
        <v>100</v>
      </c>
      <c r="O115" s="13" t="b">
        <v>1</v>
      </c>
      <c r="P115" s="20" t="b">
        <v>1</v>
      </c>
      <c r="Q115" s="20" t="b">
        <v>1</v>
      </c>
      <c r="R115" s="13" t="b">
        <v>1</v>
      </c>
      <c r="S115" s="13" t="b">
        <v>1</v>
      </c>
      <c r="T115" s="13" t="b">
        <v>1</v>
      </c>
      <c r="U115" s="13" t="b">
        <v>0</v>
      </c>
      <c r="V115" s="13" t="b">
        <v>0</v>
      </c>
      <c r="W115" s="13" t="b">
        <v>0</v>
      </c>
      <c r="X115" s="13" t="b">
        <v>0</v>
      </c>
      <c r="Y115" s="21" t="s">
        <v>101</v>
      </c>
      <c r="Z115" s="21" t="s">
        <v>760</v>
      </c>
      <c r="AA115" s="21" t="s">
        <v>761</v>
      </c>
      <c r="AB115" s="22"/>
      <c r="AC115" s="23"/>
      <c r="AD115" s="13"/>
      <c r="AE115" s="13" t="b">
        <v>1</v>
      </c>
      <c r="AF115" s="48">
        <v>45996</v>
      </c>
      <c r="AG115" s="55" t="s">
        <v>762</v>
      </c>
      <c r="AH115" s="39" t="b">
        <v>0</v>
      </c>
      <c r="AI115" s="48"/>
      <c r="AJ115" s="39"/>
      <c r="AK115" s="39" t="b">
        <v>0</v>
      </c>
      <c r="AL115" s="39"/>
      <c r="AM115" s="39"/>
      <c r="AN115" s="39"/>
      <c r="AO115" s="13"/>
      <c r="AP115" s="32"/>
      <c r="AQ115" s="33"/>
      <c r="AR115" s="12"/>
      <c r="AS115" s="33"/>
      <c r="AT115" s="32"/>
      <c r="AU115" s="33"/>
      <c r="AV115" s="34"/>
      <c r="AW115" s="33"/>
      <c r="AX115" s="37"/>
      <c r="AY115" s="38"/>
      <c r="AZ115" s="37"/>
      <c r="BA115" s="38"/>
      <c r="BB115" s="37"/>
      <c r="BC115" s="38"/>
      <c r="BD115" s="37"/>
      <c r="BE115" s="38"/>
      <c r="BF115" s="37"/>
      <c r="BG115" s="38"/>
      <c r="BH115" s="38"/>
      <c r="BI115" s="38"/>
      <c r="BJ115" s="38"/>
      <c r="BK115" s="38"/>
      <c r="BL115" s="38"/>
      <c r="BM115" s="38"/>
      <c r="BN115" s="42" t="b">
        <v>1</v>
      </c>
      <c r="BO115" s="38">
        <f>IF(MOD(H115,4)=0,H115/4,ROUNDUP(H115/4,0))</f>
        <v>16417938</v>
      </c>
      <c r="BP115" s="38"/>
      <c r="BQ115" s="38"/>
      <c r="BR115" s="38"/>
      <c r="BS115" s="38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</row>
    <row r="116" spans="1:101" ht="32.25" customHeight="1" x14ac:dyDescent="0.25">
      <c r="A116" s="12">
        <f t="shared" si="0"/>
        <v>115</v>
      </c>
      <c r="B116" s="13" t="s">
        <v>94</v>
      </c>
      <c r="C116" s="13" t="s">
        <v>731</v>
      </c>
      <c r="D116" s="14" t="s">
        <v>763</v>
      </c>
      <c r="E116" s="15" t="s">
        <v>764</v>
      </c>
      <c r="F116" s="15" t="s">
        <v>765</v>
      </c>
      <c r="G116" s="16">
        <v>304</v>
      </c>
      <c r="H116" s="17">
        <v>486932000</v>
      </c>
      <c r="I116" s="18"/>
      <c r="J116" s="18"/>
      <c r="K116" s="18"/>
      <c r="L116" s="18" t="s">
        <v>99</v>
      </c>
      <c r="M116" s="19">
        <v>17178</v>
      </c>
      <c r="N116" s="20" t="s">
        <v>100</v>
      </c>
      <c r="O116" s="13" t="b">
        <v>1</v>
      </c>
      <c r="P116" s="20" t="b">
        <v>1</v>
      </c>
      <c r="Q116" s="20" t="b">
        <v>1</v>
      </c>
      <c r="R116" s="13" t="b">
        <v>1</v>
      </c>
      <c r="S116" s="13" t="b">
        <v>0</v>
      </c>
      <c r="T116" s="13" t="b">
        <v>1</v>
      </c>
      <c r="U116" s="13" t="b">
        <v>1</v>
      </c>
      <c r="V116" s="13" t="b">
        <v>1</v>
      </c>
      <c r="W116" s="13" t="b">
        <v>1</v>
      </c>
      <c r="X116" s="13" t="b">
        <v>0</v>
      </c>
      <c r="Y116" s="21" t="s">
        <v>101</v>
      </c>
      <c r="Z116" s="21" t="s">
        <v>766</v>
      </c>
      <c r="AA116" s="21" t="s">
        <v>764</v>
      </c>
      <c r="AB116" s="22"/>
      <c r="AC116" s="23"/>
      <c r="AD116" s="13"/>
      <c r="AE116" s="47" t="b">
        <v>1</v>
      </c>
      <c r="AF116" s="48">
        <v>45915</v>
      </c>
      <c r="AG116" s="55" t="s">
        <v>767</v>
      </c>
      <c r="AH116" s="39" t="b">
        <v>1</v>
      </c>
      <c r="AI116" s="48">
        <v>45988</v>
      </c>
      <c r="AJ116" s="39" t="s">
        <v>472</v>
      </c>
      <c r="AK116" s="39" t="b">
        <v>1</v>
      </c>
      <c r="AL116" s="30">
        <v>46018</v>
      </c>
      <c r="AM116" s="39" t="s">
        <v>267</v>
      </c>
      <c r="AN116" s="39"/>
      <c r="AO116" s="13"/>
      <c r="AP116" s="12"/>
      <c r="AQ116" s="16"/>
      <c r="AR116" s="32"/>
      <c r="AS116" s="33"/>
      <c r="AT116" s="32"/>
      <c r="AU116" s="33"/>
      <c r="AV116" s="34"/>
      <c r="AW116" s="33"/>
      <c r="AX116" s="37"/>
      <c r="AY116" s="38"/>
      <c r="AZ116" s="37"/>
      <c r="BA116" s="38"/>
      <c r="BB116" s="35" t="b">
        <v>1</v>
      </c>
      <c r="BC116" s="36">
        <f>IF(MOD(H116,4)=0,H116/4,ROUNDUP(H116/4,0))</f>
        <v>121733000</v>
      </c>
      <c r="BD116" s="41"/>
      <c r="BE116" s="36"/>
      <c r="BF116" s="41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41"/>
      <c r="BU116" s="41"/>
      <c r="BV116" s="41"/>
      <c r="BW116" s="41"/>
      <c r="BX116" s="41"/>
      <c r="BY116" s="41"/>
      <c r="BZ116" s="38" t="b">
        <v>1</v>
      </c>
      <c r="CA116" s="59">
        <f>IF(MOD(H116,4)=0,H116/4,ROUNDDOWN(H116/4,0))</f>
        <v>121733000</v>
      </c>
      <c r="CB116" s="59"/>
      <c r="CC116" s="59"/>
      <c r="CD116" s="59"/>
      <c r="CE116" s="59"/>
      <c r="CF116" s="59"/>
      <c r="CG116" s="59"/>
      <c r="CH116" s="59"/>
      <c r="CI116" s="59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37" t="b">
        <v>1</v>
      </c>
      <c r="CU116" s="38">
        <f>IF(MOD(H116,4)=0,H116/4,ROUNDUP(H116/4,0))</f>
        <v>121733000</v>
      </c>
      <c r="CV116" s="38"/>
      <c r="CW116" s="38"/>
    </row>
    <row r="117" spans="1:101" ht="32.25" customHeight="1" x14ac:dyDescent="0.25">
      <c r="A117" s="12">
        <f t="shared" si="0"/>
        <v>116</v>
      </c>
      <c r="B117" s="13" t="s">
        <v>94</v>
      </c>
      <c r="C117" s="13" t="s">
        <v>731</v>
      </c>
      <c r="D117" s="14" t="s">
        <v>768</v>
      </c>
      <c r="E117" s="15" t="s">
        <v>769</v>
      </c>
      <c r="F117" s="15" t="s">
        <v>770</v>
      </c>
      <c r="G117" s="16">
        <v>805</v>
      </c>
      <c r="H117" s="17">
        <v>1289408750</v>
      </c>
      <c r="I117" s="18"/>
      <c r="J117" s="18"/>
      <c r="K117" s="18"/>
      <c r="L117" s="18" t="s">
        <v>99</v>
      </c>
      <c r="M117" s="19">
        <v>17179</v>
      </c>
      <c r="N117" s="20" t="s">
        <v>100</v>
      </c>
      <c r="O117" s="13" t="b">
        <v>1</v>
      </c>
      <c r="P117" s="20" t="b">
        <v>1</v>
      </c>
      <c r="Q117" s="20" t="b">
        <v>1</v>
      </c>
      <c r="R117" s="13" t="b">
        <v>0</v>
      </c>
      <c r="S117" s="13" t="b">
        <v>0</v>
      </c>
      <c r="T117" s="13" t="b">
        <v>1</v>
      </c>
      <c r="U117" s="13" t="b">
        <v>1</v>
      </c>
      <c r="V117" s="13" t="b">
        <v>1</v>
      </c>
      <c r="W117" s="13" t="b">
        <v>1</v>
      </c>
      <c r="X117" s="13" t="b">
        <v>0</v>
      </c>
      <c r="Y117" s="21" t="s">
        <v>101</v>
      </c>
      <c r="Z117" s="21" t="s">
        <v>771</v>
      </c>
      <c r="AA117" s="21" t="s">
        <v>769</v>
      </c>
      <c r="AB117" s="22"/>
      <c r="AC117" s="23"/>
      <c r="AD117" s="13"/>
      <c r="AE117" s="13" t="b">
        <v>1</v>
      </c>
      <c r="AF117" s="48">
        <v>45881</v>
      </c>
      <c r="AG117" s="55"/>
      <c r="AH117" s="27" t="b">
        <v>1</v>
      </c>
      <c r="AI117" s="48">
        <v>45937</v>
      </c>
      <c r="AJ117" s="39" t="s">
        <v>104</v>
      </c>
      <c r="AK117" s="27" t="b">
        <v>1</v>
      </c>
      <c r="AL117" s="30">
        <v>45979</v>
      </c>
      <c r="AM117" s="39" t="s">
        <v>104</v>
      </c>
      <c r="AN117" s="39"/>
      <c r="AO117" s="13"/>
      <c r="AP117" s="12"/>
      <c r="AQ117" s="16"/>
      <c r="AR117" s="32"/>
      <c r="AS117" s="33"/>
      <c r="AT117" s="32"/>
      <c r="AU117" s="33"/>
      <c r="AV117" s="34"/>
      <c r="AW117" s="33"/>
      <c r="AX117" s="35" t="b">
        <v>1</v>
      </c>
      <c r="AY117" s="36">
        <f>IF(MOD(H117,4)=0,H117/4,ROUNDUP(H117/4,0))</f>
        <v>322352188</v>
      </c>
      <c r="AZ117" s="37"/>
      <c r="BA117" s="38"/>
      <c r="BB117" s="37"/>
      <c r="BC117" s="38"/>
      <c r="BD117" s="37"/>
      <c r="BE117" s="38"/>
      <c r="BF117" s="37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5" t="b">
        <v>1</v>
      </c>
      <c r="BU117" s="36">
        <f>IF(MOD(H117,4)=0,H117/4,ROUNDDOWN(H117/4,0))</f>
        <v>322352187</v>
      </c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5" t="b">
        <v>1</v>
      </c>
      <c r="CK117" s="36">
        <f>IF(MOD(H117,4)=0,H117/4,ROUNDUP(H117/4,0))</f>
        <v>322352188</v>
      </c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</row>
    <row r="118" spans="1:101" ht="32.25" customHeight="1" x14ac:dyDescent="0.25">
      <c r="A118" s="12">
        <f t="shared" si="0"/>
        <v>117</v>
      </c>
      <c r="B118" s="13" t="s">
        <v>94</v>
      </c>
      <c r="C118" s="13" t="s">
        <v>731</v>
      </c>
      <c r="D118" s="14" t="s">
        <v>772</v>
      </c>
      <c r="E118" s="15" t="s">
        <v>773</v>
      </c>
      <c r="F118" s="15" t="s">
        <v>774</v>
      </c>
      <c r="G118" s="16">
        <v>33</v>
      </c>
      <c r="H118" s="17">
        <v>52857750</v>
      </c>
      <c r="I118" s="18"/>
      <c r="J118" s="18"/>
      <c r="K118" s="18"/>
      <c r="L118" s="18" t="s">
        <v>99</v>
      </c>
      <c r="M118" s="19">
        <v>17180</v>
      </c>
      <c r="N118" s="20" t="s">
        <v>100</v>
      </c>
      <c r="O118" s="13" t="b">
        <v>1</v>
      </c>
      <c r="P118" s="20" t="b">
        <v>1</v>
      </c>
      <c r="Q118" s="20" t="b">
        <v>1</v>
      </c>
      <c r="R118" s="13" t="b">
        <v>0</v>
      </c>
      <c r="S118" s="13" t="b">
        <v>0</v>
      </c>
      <c r="T118" s="13" t="b">
        <v>1</v>
      </c>
      <c r="U118" s="13" t="b">
        <v>1</v>
      </c>
      <c r="V118" s="13" t="b">
        <v>0</v>
      </c>
      <c r="W118" s="13" t="b">
        <v>0</v>
      </c>
      <c r="X118" s="13" t="b">
        <v>0</v>
      </c>
      <c r="Y118" s="21" t="s">
        <v>443</v>
      </c>
      <c r="Z118" s="21" t="s">
        <v>775</v>
      </c>
      <c r="AA118" s="21" t="s">
        <v>776</v>
      </c>
      <c r="AB118" s="22"/>
      <c r="AC118" s="23"/>
      <c r="AD118" s="13"/>
      <c r="AE118" s="47" t="b">
        <v>1</v>
      </c>
      <c r="AF118" s="48">
        <v>45915</v>
      </c>
      <c r="AG118" s="55" t="s">
        <v>777</v>
      </c>
      <c r="AH118" s="27" t="b">
        <v>1</v>
      </c>
      <c r="AI118" s="48">
        <v>45946</v>
      </c>
      <c r="AJ118" s="56" t="s">
        <v>230</v>
      </c>
      <c r="AK118" s="39" t="b">
        <v>1</v>
      </c>
      <c r="AL118" s="30">
        <v>45996</v>
      </c>
      <c r="AM118" s="39" t="s">
        <v>419</v>
      </c>
      <c r="AN118" s="39"/>
      <c r="AO118" s="13"/>
      <c r="AP118" s="12"/>
      <c r="AQ118" s="16"/>
      <c r="AR118" s="32"/>
      <c r="AS118" s="33"/>
      <c r="AT118" s="32"/>
      <c r="AU118" s="33"/>
      <c r="AV118" s="34"/>
      <c r="AW118" s="33"/>
      <c r="AX118" s="37"/>
      <c r="AY118" s="38"/>
      <c r="AZ118" s="37"/>
      <c r="BA118" s="38"/>
      <c r="BB118" s="35" t="b">
        <v>1</v>
      </c>
      <c r="BC118" s="36">
        <f>IF(MOD(H118,4)=0,H118/4,ROUNDUP(H118/4,0))</f>
        <v>13214438</v>
      </c>
      <c r="BD118" s="41"/>
      <c r="BE118" s="36"/>
      <c r="BF118" s="41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41"/>
      <c r="BU118" s="41"/>
      <c r="BV118" s="35" t="b">
        <v>1</v>
      </c>
      <c r="BW118" s="41">
        <f>IF(MOD(H118,4)=0,H118/4,ROUNDDOWN(H118/4,0))</f>
        <v>13214437</v>
      </c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35" t="b">
        <v>1</v>
      </c>
      <c r="CQ118" s="41">
        <f>IF(MOD(H118,4)=0,H118/4,ROUNDUP(H118/4,0))</f>
        <v>13214438</v>
      </c>
      <c r="CR118" s="41"/>
      <c r="CS118" s="41"/>
      <c r="CT118" s="41"/>
      <c r="CU118" s="41"/>
      <c r="CV118" s="41"/>
      <c r="CW118" s="41"/>
    </row>
    <row r="119" spans="1:101" ht="32.25" customHeight="1" x14ac:dyDescent="0.25">
      <c r="A119" s="12">
        <f t="shared" si="0"/>
        <v>118</v>
      </c>
      <c r="B119" s="13" t="s">
        <v>94</v>
      </c>
      <c r="C119" s="13" t="s">
        <v>731</v>
      </c>
      <c r="D119" s="14" t="s">
        <v>778</v>
      </c>
      <c r="E119" s="15" t="s">
        <v>779</v>
      </c>
      <c r="F119" s="15" t="s">
        <v>780</v>
      </c>
      <c r="G119" s="16">
        <v>56</v>
      </c>
      <c r="H119" s="17">
        <v>89698000</v>
      </c>
      <c r="I119" s="18"/>
      <c r="J119" s="18"/>
      <c r="K119" s="18"/>
      <c r="L119" s="18" t="s">
        <v>99</v>
      </c>
      <c r="M119" s="19">
        <v>17181</v>
      </c>
      <c r="N119" s="20" t="s">
        <v>100</v>
      </c>
      <c r="O119" s="13" t="b">
        <v>1</v>
      </c>
      <c r="P119" s="20" t="b">
        <v>1</v>
      </c>
      <c r="Q119" s="20" t="b">
        <v>1</v>
      </c>
      <c r="R119" s="13" t="b">
        <v>0</v>
      </c>
      <c r="S119" s="13" t="b">
        <v>0</v>
      </c>
      <c r="T119" s="13" t="b">
        <v>1</v>
      </c>
      <c r="U119" s="13" t="b">
        <v>1</v>
      </c>
      <c r="V119" s="13" t="b">
        <v>1</v>
      </c>
      <c r="W119" s="13" t="b">
        <v>1</v>
      </c>
      <c r="X119" s="13" t="b">
        <v>1</v>
      </c>
      <c r="Y119" s="21" t="s">
        <v>443</v>
      </c>
      <c r="Z119" s="21" t="s">
        <v>781</v>
      </c>
      <c r="AA119" s="21" t="s">
        <v>782</v>
      </c>
      <c r="AB119" s="22"/>
      <c r="AC119" s="23"/>
      <c r="AD119" s="13"/>
      <c r="AE119" s="47" t="b">
        <v>1</v>
      </c>
      <c r="AF119" s="48">
        <v>45929</v>
      </c>
      <c r="AG119" s="55" t="s">
        <v>104</v>
      </c>
      <c r="AH119" s="27" t="b">
        <v>1</v>
      </c>
      <c r="AI119" s="48">
        <v>45981</v>
      </c>
      <c r="AJ119" s="39" t="s">
        <v>104</v>
      </c>
      <c r="AK119" s="39" t="b">
        <v>1</v>
      </c>
      <c r="AL119" s="30">
        <v>46009</v>
      </c>
      <c r="AM119" s="39" t="s">
        <v>104</v>
      </c>
      <c r="AN119" s="39"/>
      <c r="AO119" s="13"/>
      <c r="AP119" s="12"/>
      <c r="AQ119" s="16"/>
      <c r="AR119" s="32"/>
      <c r="AS119" s="33"/>
      <c r="AT119" s="32"/>
      <c r="AU119" s="33"/>
      <c r="AV119" s="34"/>
      <c r="AW119" s="33"/>
      <c r="AX119" s="37"/>
      <c r="AY119" s="38"/>
      <c r="AZ119" s="37"/>
      <c r="BA119" s="38"/>
      <c r="BB119" s="37"/>
      <c r="BC119" s="38"/>
      <c r="BD119" s="42" t="b">
        <v>1</v>
      </c>
      <c r="BE119" s="36">
        <f>IF(MOD(H119,4)=0,H119/4,ROUNDUP(H119/4,0))</f>
        <v>22424500</v>
      </c>
      <c r="BF119" s="41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41"/>
      <c r="BU119" s="41"/>
      <c r="BV119" s="41"/>
      <c r="BW119" s="41"/>
      <c r="BX119" s="42" t="b">
        <v>1</v>
      </c>
      <c r="BY119" s="41">
        <f>IF(MOD(H119,4)=0,H119/4,ROUNDDOWN(H119/4,0))</f>
        <v>22424500</v>
      </c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37" t="b">
        <v>1</v>
      </c>
      <c r="CU119" s="38">
        <f>IF(MOD(H119,4)=0,H119/4,ROUNDUP(H119/4,0))</f>
        <v>22424500</v>
      </c>
      <c r="CV119" s="38"/>
      <c r="CW119" s="38"/>
    </row>
    <row r="120" spans="1:101" ht="32.25" customHeight="1" x14ac:dyDescent="0.25">
      <c r="A120" s="12">
        <f t="shared" si="0"/>
        <v>119</v>
      </c>
      <c r="B120" s="13" t="s">
        <v>94</v>
      </c>
      <c r="C120" s="13" t="s">
        <v>731</v>
      </c>
      <c r="D120" s="14" t="s">
        <v>783</v>
      </c>
      <c r="E120" s="15" t="s">
        <v>784</v>
      </c>
      <c r="F120" s="15" t="s">
        <v>785</v>
      </c>
      <c r="G120" s="16">
        <v>125</v>
      </c>
      <c r="H120" s="17">
        <v>200218750</v>
      </c>
      <c r="I120" s="18"/>
      <c r="J120" s="18"/>
      <c r="K120" s="18"/>
      <c r="L120" s="18" t="s">
        <v>99</v>
      </c>
      <c r="M120" s="19">
        <v>17182</v>
      </c>
      <c r="N120" s="20" t="s">
        <v>100</v>
      </c>
      <c r="O120" s="13" t="b">
        <v>1</v>
      </c>
      <c r="P120" s="20" t="b">
        <v>1</v>
      </c>
      <c r="Q120" s="20" t="b">
        <v>1</v>
      </c>
      <c r="R120" s="13" t="b">
        <v>1</v>
      </c>
      <c r="S120" s="13" t="b">
        <v>1</v>
      </c>
      <c r="T120" s="13" t="b">
        <v>1</v>
      </c>
      <c r="U120" s="13" t="b">
        <v>1</v>
      </c>
      <c r="V120" s="13" t="b">
        <v>1</v>
      </c>
      <c r="W120" s="13" t="b">
        <v>1</v>
      </c>
      <c r="X120" s="13" t="b">
        <v>0</v>
      </c>
      <c r="Y120" s="21" t="s">
        <v>101</v>
      </c>
      <c r="Z120" s="21" t="s">
        <v>786</v>
      </c>
      <c r="AA120" s="21" t="s">
        <v>784</v>
      </c>
      <c r="AB120" s="22"/>
      <c r="AC120" s="23"/>
      <c r="AD120" s="13"/>
      <c r="AE120" s="47" t="b">
        <v>1</v>
      </c>
      <c r="AF120" s="48">
        <v>45896</v>
      </c>
      <c r="AG120" s="55" t="s">
        <v>787</v>
      </c>
      <c r="AH120" s="27" t="b">
        <v>1</v>
      </c>
      <c r="AI120" s="48">
        <v>45958</v>
      </c>
      <c r="AJ120" s="39" t="s">
        <v>788</v>
      </c>
      <c r="AK120" s="39" t="b">
        <v>1</v>
      </c>
      <c r="AL120" s="30">
        <v>46008</v>
      </c>
      <c r="AM120" s="39" t="s">
        <v>104</v>
      </c>
      <c r="AN120" s="39"/>
      <c r="AO120" s="13"/>
      <c r="AP120" s="12"/>
      <c r="AQ120" s="16"/>
      <c r="AR120" s="32"/>
      <c r="AS120" s="33"/>
      <c r="AT120" s="32"/>
      <c r="AU120" s="33"/>
      <c r="AV120" s="34"/>
      <c r="AW120" s="33"/>
      <c r="AX120" s="37"/>
      <c r="AY120" s="38"/>
      <c r="AZ120" s="35" t="b">
        <v>1</v>
      </c>
      <c r="BA120" s="36">
        <f>IF(MOD(H120,4)=0,H120/4,ROUNDUP(H120/4,0))</f>
        <v>50054688</v>
      </c>
      <c r="BB120" s="41"/>
      <c r="BC120" s="36"/>
      <c r="BD120" s="41"/>
      <c r="BE120" s="36"/>
      <c r="BF120" s="41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41"/>
      <c r="BU120" s="41"/>
      <c r="BV120" s="35" t="b">
        <v>1</v>
      </c>
      <c r="BW120" s="41">
        <f>IF(MOD(H120,4)=0,H120/4,ROUNDDOWN(H120/4,0))</f>
        <v>50054687</v>
      </c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12" t="b">
        <v>1</v>
      </c>
      <c r="CS120" s="36">
        <f>IF(MOD(H120,4)=0,H120/4,ROUNDUP(H120/4,0))</f>
        <v>50054688</v>
      </c>
      <c r="CT120" s="36"/>
      <c r="CU120" s="36"/>
      <c r="CV120" s="36"/>
      <c r="CW120" s="36"/>
    </row>
    <row r="121" spans="1:101" ht="32.25" customHeight="1" x14ac:dyDescent="0.25">
      <c r="A121" s="12">
        <f t="shared" si="0"/>
        <v>120</v>
      </c>
      <c r="B121" s="13" t="s">
        <v>94</v>
      </c>
      <c r="C121" s="13" t="s">
        <v>731</v>
      </c>
      <c r="D121" s="14" t="s">
        <v>789</v>
      </c>
      <c r="E121" s="15" t="s">
        <v>790</v>
      </c>
      <c r="F121" s="15" t="s">
        <v>791</v>
      </c>
      <c r="G121" s="16">
        <v>65</v>
      </c>
      <c r="H121" s="17">
        <v>104113750</v>
      </c>
      <c r="I121" s="18"/>
      <c r="J121" s="18"/>
      <c r="K121" s="18"/>
      <c r="L121" s="18" t="s">
        <v>99</v>
      </c>
      <c r="M121" s="19">
        <v>17183</v>
      </c>
      <c r="N121" s="20" t="s">
        <v>100</v>
      </c>
      <c r="O121" s="13" t="b">
        <v>1</v>
      </c>
      <c r="P121" s="20" t="b">
        <v>1</v>
      </c>
      <c r="Q121" s="20" t="b">
        <v>0</v>
      </c>
      <c r="R121" s="13" t="b">
        <v>1</v>
      </c>
      <c r="S121" s="13" t="b">
        <v>1</v>
      </c>
      <c r="T121" s="13" t="b">
        <v>0</v>
      </c>
      <c r="U121" s="13" t="b">
        <v>0</v>
      </c>
      <c r="V121" s="13" t="b">
        <v>1</v>
      </c>
      <c r="W121" s="13" t="b">
        <v>1</v>
      </c>
      <c r="X121" s="13" t="b">
        <v>0</v>
      </c>
      <c r="Y121" s="21" t="s">
        <v>443</v>
      </c>
      <c r="Z121" s="21" t="s">
        <v>792</v>
      </c>
      <c r="AA121" s="21" t="s">
        <v>793</v>
      </c>
      <c r="AB121" s="22"/>
      <c r="AC121" s="13"/>
      <c r="AD121" s="13"/>
      <c r="AE121" s="47" t="b">
        <v>1</v>
      </c>
      <c r="AF121" s="48">
        <v>45915</v>
      </c>
      <c r="AG121" s="55" t="s">
        <v>794</v>
      </c>
      <c r="AH121" s="27" t="b">
        <v>1</v>
      </c>
      <c r="AI121" s="48">
        <v>45979</v>
      </c>
      <c r="AJ121" s="39" t="s">
        <v>795</v>
      </c>
      <c r="AK121" s="39" t="b">
        <v>1</v>
      </c>
      <c r="AL121" s="30">
        <v>46001</v>
      </c>
      <c r="AM121" s="39" t="s">
        <v>493</v>
      </c>
      <c r="AN121" s="39"/>
      <c r="AO121" s="13"/>
      <c r="AP121" s="32"/>
      <c r="AQ121" s="33"/>
      <c r="AR121" s="32"/>
      <c r="AS121" s="33"/>
      <c r="AT121" s="32"/>
      <c r="AU121" s="33"/>
      <c r="AV121" s="34"/>
      <c r="AW121" s="33"/>
      <c r="AX121" s="37"/>
      <c r="AY121" s="38"/>
      <c r="AZ121" s="37"/>
      <c r="BA121" s="38"/>
      <c r="BB121" s="35" t="b">
        <v>1</v>
      </c>
      <c r="BC121" s="36">
        <f>IF(MOD(H121,4)=0,H121/4,ROUNDUP(H121/4,0))</f>
        <v>26028438</v>
      </c>
      <c r="BD121" s="41"/>
      <c r="BE121" s="36"/>
      <c r="BF121" s="41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41"/>
      <c r="BU121" s="41"/>
      <c r="BV121" s="41"/>
      <c r="BW121" s="41"/>
      <c r="BX121" s="42" t="b">
        <v>1</v>
      </c>
      <c r="BY121" s="41">
        <f t="shared" ref="BY121:BY122" si="51">IF(MOD(H121,4)=0,H121/4,ROUNDDOWN(H121/4,0))</f>
        <v>26028437</v>
      </c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35" t="b">
        <v>1</v>
      </c>
      <c r="CQ121" s="41">
        <f>IF(MOD(H121,4)=0,H121/4,ROUNDUP(H121/4,0))</f>
        <v>26028438</v>
      </c>
      <c r="CR121" s="41"/>
      <c r="CS121" s="41"/>
      <c r="CT121" s="41"/>
      <c r="CU121" s="41"/>
      <c r="CV121" s="41"/>
      <c r="CW121" s="41"/>
    </row>
    <row r="122" spans="1:101" ht="32.25" customHeight="1" x14ac:dyDescent="0.25">
      <c r="A122" s="12">
        <f t="shared" si="0"/>
        <v>121</v>
      </c>
      <c r="B122" s="13" t="s">
        <v>94</v>
      </c>
      <c r="C122" s="13" t="s">
        <v>731</v>
      </c>
      <c r="D122" s="14" t="s">
        <v>796</v>
      </c>
      <c r="E122" s="15" t="s">
        <v>797</v>
      </c>
      <c r="F122" s="15" t="s">
        <v>798</v>
      </c>
      <c r="G122" s="16">
        <v>146</v>
      </c>
      <c r="H122" s="17">
        <v>233855500</v>
      </c>
      <c r="I122" s="18"/>
      <c r="J122" s="18"/>
      <c r="K122" s="18"/>
      <c r="L122" s="18" t="s">
        <v>99</v>
      </c>
      <c r="M122" s="19">
        <v>17184</v>
      </c>
      <c r="N122" s="20" t="s">
        <v>100</v>
      </c>
      <c r="O122" s="13" t="b">
        <v>1</v>
      </c>
      <c r="P122" s="20" t="b">
        <v>1</v>
      </c>
      <c r="Q122" s="20" t="b">
        <v>1</v>
      </c>
      <c r="R122" s="13" t="b">
        <v>1</v>
      </c>
      <c r="S122" s="13" t="b">
        <v>1</v>
      </c>
      <c r="T122" s="13" t="b">
        <v>1</v>
      </c>
      <c r="U122" s="13" t="b">
        <v>1</v>
      </c>
      <c r="V122" s="13" t="b">
        <v>1</v>
      </c>
      <c r="W122" s="13" t="b">
        <v>1</v>
      </c>
      <c r="X122" s="13" t="b">
        <v>0</v>
      </c>
      <c r="Y122" s="21" t="s">
        <v>101</v>
      </c>
      <c r="Z122" s="21" t="s">
        <v>799</v>
      </c>
      <c r="AA122" s="21" t="s">
        <v>800</v>
      </c>
      <c r="AB122" s="22"/>
      <c r="AC122" s="23"/>
      <c r="AD122" s="13"/>
      <c r="AE122" s="47" t="b">
        <v>1</v>
      </c>
      <c r="AF122" s="48">
        <v>45930</v>
      </c>
      <c r="AG122" s="55" t="s">
        <v>104</v>
      </c>
      <c r="AH122" s="27" t="b">
        <v>1</v>
      </c>
      <c r="AI122" s="48">
        <v>45979</v>
      </c>
      <c r="AJ122" s="39" t="s">
        <v>590</v>
      </c>
      <c r="AK122" s="39" t="b">
        <v>1</v>
      </c>
      <c r="AL122" s="30">
        <v>46010</v>
      </c>
      <c r="AM122" s="39" t="s">
        <v>801</v>
      </c>
      <c r="AN122" s="39"/>
      <c r="AO122" s="13"/>
      <c r="AP122" s="12"/>
      <c r="AQ122" s="16"/>
      <c r="AR122" s="12"/>
      <c r="AS122" s="33"/>
      <c r="AT122" s="32"/>
      <c r="AU122" s="33"/>
      <c r="AV122" s="34"/>
      <c r="AW122" s="33"/>
      <c r="AX122" s="37"/>
      <c r="AY122" s="38"/>
      <c r="AZ122" s="37"/>
      <c r="BA122" s="38"/>
      <c r="BB122" s="37"/>
      <c r="BC122" s="38"/>
      <c r="BD122" s="37"/>
      <c r="BE122" s="38"/>
      <c r="BF122" s="35" t="b">
        <v>1</v>
      </c>
      <c r="BG122" s="38">
        <f>IF(MOD(H122,4)=0,H122/4,ROUNDUP(H122/4,0))</f>
        <v>58463875</v>
      </c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42" t="b">
        <v>1</v>
      </c>
      <c r="BY122" s="41">
        <f t="shared" si="51"/>
        <v>58463875</v>
      </c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37" t="b">
        <v>1</v>
      </c>
      <c r="CU122" s="38">
        <f>IF(MOD(H122,4)=0,H122/4,ROUNDUP(H122/4,0))</f>
        <v>58463875</v>
      </c>
      <c r="CV122" s="38"/>
      <c r="CW122" s="38"/>
    </row>
    <row r="123" spans="1:101" ht="32.25" customHeight="1" x14ac:dyDescent="0.25">
      <c r="A123" s="12">
        <f t="shared" si="0"/>
        <v>122</v>
      </c>
      <c r="B123" s="13" t="s">
        <v>94</v>
      </c>
      <c r="C123" s="13" t="s">
        <v>731</v>
      </c>
      <c r="D123" s="14" t="s">
        <v>802</v>
      </c>
      <c r="E123" s="15" t="s">
        <v>803</v>
      </c>
      <c r="F123" s="15" t="s">
        <v>804</v>
      </c>
      <c r="G123" s="16">
        <v>38</v>
      </c>
      <c r="H123" s="17">
        <v>60866500</v>
      </c>
      <c r="I123" s="18"/>
      <c r="J123" s="18"/>
      <c r="K123" s="18"/>
      <c r="L123" s="18" t="s">
        <v>99</v>
      </c>
      <c r="M123" s="19">
        <v>17185</v>
      </c>
      <c r="N123" s="20" t="s">
        <v>100</v>
      </c>
      <c r="O123" s="13" t="b">
        <v>1</v>
      </c>
      <c r="P123" s="20" t="b">
        <v>1</v>
      </c>
      <c r="Q123" s="20" t="b">
        <v>1</v>
      </c>
      <c r="R123" s="13" t="b">
        <v>1</v>
      </c>
      <c r="S123" s="13" t="b">
        <v>1</v>
      </c>
      <c r="T123" s="13" t="b">
        <v>1</v>
      </c>
      <c r="U123" s="13" t="b">
        <v>1</v>
      </c>
      <c r="V123" s="13" t="b">
        <v>1</v>
      </c>
      <c r="W123" s="13" t="b">
        <v>1</v>
      </c>
      <c r="X123" s="13" t="b">
        <v>1</v>
      </c>
      <c r="Y123" s="21" t="s">
        <v>101</v>
      </c>
      <c r="Z123" s="21" t="s">
        <v>805</v>
      </c>
      <c r="AA123" s="21" t="s">
        <v>806</v>
      </c>
      <c r="AB123" s="22"/>
      <c r="AC123" s="23"/>
      <c r="AD123" s="13"/>
      <c r="AE123" s="13" t="b">
        <v>1</v>
      </c>
      <c r="AF123" s="48">
        <v>45904</v>
      </c>
      <c r="AG123" s="55" t="s">
        <v>104</v>
      </c>
      <c r="AH123" s="27" t="b">
        <v>1</v>
      </c>
      <c r="AI123" s="48">
        <v>45951</v>
      </c>
      <c r="AJ123" s="56" t="s">
        <v>104</v>
      </c>
      <c r="AK123" s="27" t="b">
        <v>1</v>
      </c>
      <c r="AL123" s="30">
        <v>45975</v>
      </c>
      <c r="AM123" s="39" t="s">
        <v>104</v>
      </c>
      <c r="AN123" s="39"/>
      <c r="AO123" s="13"/>
      <c r="AP123" s="12"/>
      <c r="AQ123" s="16"/>
      <c r="AR123" s="32"/>
      <c r="AS123" s="33"/>
      <c r="AT123" s="32"/>
      <c r="AU123" s="33"/>
      <c r="AV123" s="34"/>
      <c r="AW123" s="33"/>
      <c r="AX123" s="37"/>
      <c r="AY123" s="38"/>
      <c r="AZ123" s="37"/>
      <c r="BA123" s="38"/>
      <c r="BB123" s="35" t="b">
        <v>1</v>
      </c>
      <c r="BC123" s="36">
        <f>IF(MOD(H123,4)=0,H123/4,ROUNDUP(H123/4,0))</f>
        <v>15216625</v>
      </c>
      <c r="BD123" s="41"/>
      <c r="BE123" s="36"/>
      <c r="BF123" s="41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41"/>
      <c r="BU123" s="41"/>
      <c r="BV123" s="35" t="b">
        <v>1</v>
      </c>
      <c r="BW123" s="41">
        <f>IF(MOD(H123,4)=0,H123/4,ROUNDDOWN(H123/4,0))</f>
        <v>15216625</v>
      </c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35" t="b">
        <v>1</v>
      </c>
      <c r="CK123" s="36">
        <f>IF(MOD(H123,4)=0,H123/4,ROUNDUP(H123/4,0))</f>
        <v>15216625</v>
      </c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</row>
    <row r="124" spans="1:101" ht="32.25" customHeight="1" x14ac:dyDescent="0.25">
      <c r="A124" s="12">
        <f t="shared" si="0"/>
        <v>123</v>
      </c>
      <c r="B124" s="13" t="s">
        <v>94</v>
      </c>
      <c r="C124" s="13" t="s">
        <v>731</v>
      </c>
      <c r="D124" s="14" t="s">
        <v>807</v>
      </c>
      <c r="E124" s="15" t="s">
        <v>808</v>
      </c>
      <c r="F124" s="15" t="s">
        <v>809</v>
      </c>
      <c r="G124" s="16">
        <v>63</v>
      </c>
      <c r="H124" s="17">
        <v>100910250</v>
      </c>
      <c r="I124" s="18"/>
      <c r="J124" s="18"/>
      <c r="K124" s="18"/>
      <c r="L124" s="18" t="s">
        <v>99</v>
      </c>
      <c r="M124" s="19">
        <v>17186</v>
      </c>
      <c r="N124" s="20" t="s">
        <v>100</v>
      </c>
      <c r="O124" s="13" t="b">
        <v>1</v>
      </c>
      <c r="P124" s="20" t="b">
        <v>1</v>
      </c>
      <c r="Q124" s="20" t="b">
        <v>1</v>
      </c>
      <c r="R124" s="13" t="b">
        <v>0</v>
      </c>
      <c r="S124" s="13" t="b">
        <v>0</v>
      </c>
      <c r="T124" s="13" t="b">
        <v>1</v>
      </c>
      <c r="U124" s="13" t="b">
        <v>1</v>
      </c>
      <c r="V124" s="13" t="b">
        <v>1</v>
      </c>
      <c r="W124" s="13" t="b">
        <v>1</v>
      </c>
      <c r="X124" s="13" t="b">
        <v>1</v>
      </c>
      <c r="Y124" s="21" t="s">
        <v>101</v>
      </c>
      <c r="Z124" s="21" t="s">
        <v>810</v>
      </c>
      <c r="AA124" s="21" t="s">
        <v>811</v>
      </c>
      <c r="AB124" s="22"/>
      <c r="AC124" s="23"/>
      <c r="AD124" s="13"/>
      <c r="AE124" s="47" t="b">
        <v>1</v>
      </c>
      <c r="AF124" s="48">
        <v>45876</v>
      </c>
      <c r="AG124" s="55" t="s">
        <v>577</v>
      </c>
      <c r="AH124" s="27" t="b">
        <v>1</v>
      </c>
      <c r="AI124" s="48">
        <v>45921</v>
      </c>
      <c r="AJ124" s="39" t="s">
        <v>812</v>
      </c>
      <c r="AK124" s="39" t="b">
        <v>1</v>
      </c>
      <c r="AL124" s="30">
        <v>46008</v>
      </c>
      <c r="AM124" s="39" t="s">
        <v>104</v>
      </c>
      <c r="AN124" s="39"/>
      <c r="AO124" s="13"/>
      <c r="AP124" s="12"/>
      <c r="AQ124" s="16"/>
      <c r="AR124" s="12"/>
      <c r="AS124" s="33"/>
      <c r="AT124" s="32"/>
      <c r="AU124" s="33"/>
      <c r="AV124" s="34"/>
      <c r="AW124" s="33"/>
      <c r="AX124" s="35" t="b">
        <v>1</v>
      </c>
      <c r="AY124" s="36">
        <f>IF(MOD(H124,4)=0,H124/4,ROUNDUP(H124/4,0))</f>
        <v>25227563</v>
      </c>
      <c r="AZ124" s="37"/>
      <c r="BA124" s="38"/>
      <c r="BB124" s="37"/>
      <c r="BC124" s="38"/>
      <c r="BD124" s="37"/>
      <c r="BE124" s="38"/>
      <c r="BF124" s="37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7"/>
      <c r="BU124" s="37"/>
      <c r="BV124" s="37"/>
      <c r="BW124" s="37"/>
      <c r="BX124" s="37"/>
      <c r="BY124" s="37"/>
      <c r="BZ124" s="37"/>
      <c r="CA124" s="37"/>
      <c r="CB124" s="42" t="b">
        <v>1</v>
      </c>
      <c r="CC124" s="38">
        <f>IF(MOD(H124,4)=0,H124/4,ROUNDDOWN(H124/4,0))</f>
        <v>25227562</v>
      </c>
      <c r="CD124" s="38"/>
      <c r="CE124" s="38"/>
      <c r="CF124" s="38"/>
      <c r="CG124" s="38"/>
      <c r="CH124" s="38"/>
      <c r="CI124" s="38"/>
      <c r="CJ124" s="37"/>
      <c r="CK124" s="37"/>
      <c r="CL124" s="37"/>
      <c r="CM124" s="37"/>
      <c r="CN124" s="37"/>
      <c r="CO124" s="37"/>
      <c r="CP124" s="37"/>
      <c r="CQ124" s="37"/>
      <c r="CR124" s="12" t="b">
        <v>1</v>
      </c>
      <c r="CS124" s="36">
        <f>IF(MOD(H124,4)=0,H124/4,ROUNDUP(H124/4,0))</f>
        <v>25227563</v>
      </c>
      <c r="CT124" s="36"/>
      <c r="CU124" s="36"/>
      <c r="CV124" s="36"/>
      <c r="CW124" s="36"/>
    </row>
    <row r="125" spans="1:101" ht="32.25" customHeight="1" x14ac:dyDescent="0.25">
      <c r="A125" s="12">
        <f t="shared" si="0"/>
        <v>124</v>
      </c>
      <c r="B125" s="13" t="s">
        <v>94</v>
      </c>
      <c r="C125" s="13" t="s">
        <v>731</v>
      </c>
      <c r="D125" s="14" t="s">
        <v>813</v>
      </c>
      <c r="E125" s="15" t="s">
        <v>814</v>
      </c>
      <c r="F125" s="15" t="s">
        <v>815</v>
      </c>
      <c r="G125" s="16">
        <v>68</v>
      </c>
      <c r="H125" s="17">
        <v>108919000</v>
      </c>
      <c r="I125" s="18"/>
      <c r="J125" s="18"/>
      <c r="K125" s="18"/>
      <c r="L125" s="18" t="s">
        <v>99</v>
      </c>
      <c r="M125" s="19">
        <v>17187</v>
      </c>
      <c r="N125" s="20" t="s">
        <v>100</v>
      </c>
      <c r="O125" s="13" t="b">
        <v>1</v>
      </c>
      <c r="P125" s="20" t="b">
        <v>1</v>
      </c>
      <c r="Q125" s="20" t="b">
        <v>1</v>
      </c>
      <c r="R125" s="13" t="b">
        <v>1</v>
      </c>
      <c r="S125" s="13" t="b">
        <v>1</v>
      </c>
      <c r="T125" s="13" t="b">
        <v>1</v>
      </c>
      <c r="U125" s="13" t="b">
        <v>1</v>
      </c>
      <c r="V125" s="13" t="b">
        <v>1</v>
      </c>
      <c r="W125" s="13" t="b">
        <v>1</v>
      </c>
      <c r="X125" s="13" t="b">
        <v>1</v>
      </c>
      <c r="Y125" s="21" t="s">
        <v>101</v>
      </c>
      <c r="Z125" s="21" t="s">
        <v>816</v>
      </c>
      <c r="AA125" s="21" t="s">
        <v>817</v>
      </c>
      <c r="AB125" s="22"/>
      <c r="AC125" s="23"/>
      <c r="AD125" s="13"/>
      <c r="AE125" s="13" t="b">
        <v>1</v>
      </c>
      <c r="AF125" s="48">
        <v>45888</v>
      </c>
      <c r="AG125" s="55" t="s">
        <v>104</v>
      </c>
      <c r="AH125" s="27" t="b">
        <v>1</v>
      </c>
      <c r="AI125" s="48">
        <v>45936</v>
      </c>
      <c r="AJ125" s="39" t="s">
        <v>104</v>
      </c>
      <c r="AK125" s="27" t="b">
        <v>1</v>
      </c>
      <c r="AL125" s="30">
        <v>45966</v>
      </c>
      <c r="AM125" s="39" t="s">
        <v>104</v>
      </c>
      <c r="AN125" s="39"/>
      <c r="AO125" s="13"/>
      <c r="AP125" s="12"/>
      <c r="AQ125" s="16"/>
      <c r="AR125" s="12"/>
      <c r="AS125" s="33"/>
      <c r="AT125" s="32"/>
      <c r="AU125" s="33"/>
      <c r="AV125" s="34"/>
      <c r="AW125" s="33"/>
      <c r="AX125" s="37"/>
      <c r="AY125" s="38"/>
      <c r="AZ125" s="35" t="b">
        <v>1</v>
      </c>
      <c r="BA125" s="36">
        <f t="shared" ref="BA125:BA126" si="52">IF(MOD(H125,4)=0,H125/4,ROUNDUP(H125/4,0))</f>
        <v>27229750</v>
      </c>
      <c r="BB125" s="41"/>
      <c r="BC125" s="36"/>
      <c r="BD125" s="41"/>
      <c r="BE125" s="36"/>
      <c r="BF125" s="41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5" t="b">
        <v>1</v>
      </c>
      <c r="BU125" s="36">
        <f t="shared" ref="BU125:BU126" si="53">IF(MOD(H125,4)=0,H125/4,ROUNDDOWN(H125/4,0))</f>
        <v>27229750</v>
      </c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5" t="b">
        <v>1</v>
      </c>
      <c r="CK125" s="36">
        <f t="shared" ref="CK125:CK126" si="54">IF(MOD(H125,4)=0,H125/4,ROUNDUP(H125/4,0))</f>
        <v>27229750</v>
      </c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</row>
    <row r="126" spans="1:101" ht="32.25" customHeight="1" x14ac:dyDescent="0.25">
      <c r="A126" s="12">
        <f t="shared" si="0"/>
        <v>125</v>
      </c>
      <c r="B126" s="13" t="s">
        <v>94</v>
      </c>
      <c r="C126" s="13" t="s">
        <v>731</v>
      </c>
      <c r="D126" s="14" t="s">
        <v>818</v>
      </c>
      <c r="E126" s="15" t="s">
        <v>819</v>
      </c>
      <c r="F126" s="15" t="s">
        <v>820</v>
      </c>
      <c r="G126" s="16">
        <v>37</v>
      </c>
      <c r="H126" s="17">
        <v>59264750</v>
      </c>
      <c r="I126" s="18"/>
      <c r="J126" s="18"/>
      <c r="K126" s="18"/>
      <c r="L126" s="18" t="s">
        <v>99</v>
      </c>
      <c r="M126" s="19">
        <v>17188</v>
      </c>
      <c r="N126" s="20" t="s">
        <v>100</v>
      </c>
      <c r="O126" s="13" t="b">
        <v>1</v>
      </c>
      <c r="P126" s="20" t="b">
        <v>1</v>
      </c>
      <c r="Q126" s="20" t="b">
        <v>1</v>
      </c>
      <c r="R126" s="13" t="b">
        <v>1</v>
      </c>
      <c r="S126" s="13" t="b">
        <v>1</v>
      </c>
      <c r="T126" s="13" t="b">
        <v>1</v>
      </c>
      <c r="U126" s="13" t="b">
        <v>1</v>
      </c>
      <c r="V126" s="13" t="b">
        <v>1</v>
      </c>
      <c r="W126" s="13" t="b">
        <v>1</v>
      </c>
      <c r="X126" s="13" t="b">
        <v>1</v>
      </c>
      <c r="Y126" s="21" t="s">
        <v>101</v>
      </c>
      <c r="Z126" s="21" t="s">
        <v>821</v>
      </c>
      <c r="AA126" s="21" t="s">
        <v>822</v>
      </c>
      <c r="AB126" s="22"/>
      <c r="AC126" s="23"/>
      <c r="AD126" s="13"/>
      <c r="AE126" s="47" t="b">
        <v>1</v>
      </c>
      <c r="AF126" s="48">
        <v>45896</v>
      </c>
      <c r="AG126" s="55" t="s">
        <v>140</v>
      </c>
      <c r="AH126" s="27" t="b">
        <v>1</v>
      </c>
      <c r="AI126" s="48">
        <v>45916</v>
      </c>
      <c r="AJ126" s="39" t="s">
        <v>140</v>
      </c>
      <c r="AK126" s="27" t="b">
        <v>1</v>
      </c>
      <c r="AL126" s="30">
        <v>45964</v>
      </c>
      <c r="AM126" s="39" t="s">
        <v>823</v>
      </c>
      <c r="AN126" s="39"/>
      <c r="AO126" s="13"/>
      <c r="AP126" s="12"/>
      <c r="AQ126" s="16"/>
      <c r="AR126" s="32"/>
      <c r="AS126" s="33"/>
      <c r="AT126" s="32"/>
      <c r="AU126" s="33"/>
      <c r="AV126" s="34"/>
      <c r="AW126" s="33"/>
      <c r="AX126" s="37"/>
      <c r="AY126" s="38"/>
      <c r="AZ126" s="35" t="b">
        <v>1</v>
      </c>
      <c r="BA126" s="36">
        <f t="shared" si="52"/>
        <v>14816188</v>
      </c>
      <c r="BB126" s="41"/>
      <c r="BC126" s="36"/>
      <c r="BD126" s="41"/>
      <c r="BE126" s="36"/>
      <c r="BF126" s="41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5" t="b">
        <v>1</v>
      </c>
      <c r="BU126" s="36">
        <f t="shared" si="53"/>
        <v>14816187</v>
      </c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5" t="b">
        <v>1</v>
      </c>
      <c r="CK126" s="36">
        <f t="shared" si="54"/>
        <v>14816188</v>
      </c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</row>
    <row r="127" spans="1:101" ht="32.25" customHeight="1" x14ac:dyDescent="0.25">
      <c r="A127" s="12">
        <f t="shared" si="0"/>
        <v>126</v>
      </c>
      <c r="B127" s="13" t="s">
        <v>94</v>
      </c>
      <c r="C127" s="13" t="s">
        <v>731</v>
      </c>
      <c r="D127" s="14" t="s">
        <v>824</v>
      </c>
      <c r="E127" s="15" t="s">
        <v>825</v>
      </c>
      <c r="F127" s="15" t="s">
        <v>826</v>
      </c>
      <c r="G127" s="16">
        <v>96</v>
      </c>
      <c r="H127" s="17">
        <v>153768000</v>
      </c>
      <c r="I127" s="18"/>
      <c r="J127" s="18"/>
      <c r="K127" s="18"/>
      <c r="L127" s="18" t="s">
        <v>99</v>
      </c>
      <c r="M127" s="19">
        <v>17189</v>
      </c>
      <c r="N127" s="20" t="s">
        <v>100</v>
      </c>
      <c r="O127" s="13" t="b">
        <v>1</v>
      </c>
      <c r="P127" s="20" t="b">
        <v>1</v>
      </c>
      <c r="Q127" s="20" t="b">
        <v>1</v>
      </c>
      <c r="R127" s="13" t="b">
        <v>1</v>
      </c>
      <c r="S127" s="13" t="b">
        <v>1</v>
      </c>
      <c r="T127" s="13" t="b">
        <v>1</v>
      </c>
      <c r="U127" s="13" t="b">
        <v>1</v>
      </c>
      <c r="V127" s="13" t="b">
        <v>1</v>
      </c>
      <c r="W127" s="13" t="b">
        <v>1</v>
      </c>
      <c r="X127" s="13" t="b">
        <v>1</v>
      </c>
      <c r="Y127" s="21" t="s">
        <v>101</v>
      </c>
      <c r="Z127" s="21" t="s">
        <v>827</v>
      </c>
      <c r="AA127" s="21" t="s">
        <v>828</v>
      </c>
      <c r="AB127" s="22"/>
      <c r="AC127" s="23"/>
      <c r="AD127" s="13"/>
      <c r="AE127" s="13" t="b">
        <v>1</v>
      </c>
      <c r="AF127" s="48">
        <v>45917</v>
      </c>
      <c r="AG127" s="55" t="s">
        <v>104</v>
      </c>
      <c r="AH127" s="27" t="b">
        <v>1</v>
      </c>
      <c r="AI127" s="48">
        <v>45951</v>
      </c>
      <c r="AJ127" s="56" t="s">
        <v>104</v>
      </c>
      <c r="AK127" s="39" t="b">
        <v>1</v>
      </c>
      <c r="AL127" s="30">
        <v>46002</v>
      </c>
      <c r="AM127" s="39" t="s">
        <v>104</v>
      </c>
      <c r="AN127" s="39"/>
      <c r="AO127" s="13"/>
      <c r="AP127" s="12"/>
      <c r="AQ127" s="16"/>
      <c r="AR127" s="12"/>
      <c r="AS127" s="33"/>
      <c r="AT127" s="32"/>
      <c r="AU127" s="33"/>
      <c r="AV127" s="34"/>
      <c r="AW127" s="33"/>
      <c r="AX127" s="37"/>
      <c r="AY127" s="38"/>
      <c r="AZ127" s="37"/>
      <c r="BA127" s="38"/>
      <c r="BB127" s="37"/>
      <c r="BC127" s="38"/>
      <c r="BD127" s="42" t="b">
        <v>1</v>
      </c>
      <c r="BE127" s="36">
        <f>IF(MOD(H127,4)=0,H127/4,ROUNDUP(H127/4,0))</f>
        <v>38442000</v>
      </c>
      <c r="BF127" s="41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41"/>
      <c r="BU127" s="41"/>
      <c r="BV127" s="35" t="b">
        <v>1</v>
      </c>
      <c r="BW127" s="41">
        <f>IF(MOD(H127,4)=0,H127/4,ROUNDDOWN(H127/4,0))</f>
        <v>38442000</v>
      </c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12" t="b">
        <v>1</v>
      </c>
      <c r="CS127" s="36">
        <f>IF(MOD(H127,4)=0,H127/4,ROUNDUP(H127/4,0))</f>
        <v>38442000</v>
      </c>
      <c r="CT127" s="36"/>
      <c r="CU127" s="36"/>
      <c r="CV127" s="36"/>
      <c r="CW127" s="36"/>
    </row>
    <row r="128" spans="1:101" ht="32.25" customHeight="1" x14ac:dyDescent="0.25">
      <c r="A128" s="12">
        <f t="shared" si="0"/>
        <v>127</v>
      </c>
      <c r="B128" s="13" t="s">
        <v>94</v>
      </c>
      <c r="C128" s="13" t="s">
        <v>731</v>
      </c>
      <c r="D128" s="14" t="s">
        <v>829</v>
      </c>
      <c r="E128" s="15" t="s">
        <v>830</v>
      </c>
      <c r="F128" s="15" t="s">
        <v>831</v>
      </c>
      <c r="G128" s="16">
        <v>16</v>
      </c>
      <c r="H128" s="17">
        <v>25628000</v>
      </c>
      <c r="I128" s="18"/>
      <c r="J128" s="18"/>
      <c r="K128" s="18"/>
      <c r="L128" s="18" t="s">
        <v>99</v>
      </c>
      <c r="M128" s="19">
        <v>17190</v>
      </c>
      <c r="N128" s="20" t="s">
        <v>100</v>
      </c>
      <c r="O128" s="13" t="b">
        <v>1</v>
      </c>
      <c r="P128" s="20" t="b">
        <v>1</v>
      </c>
      <c r="Q128" s="20" t="b">
        <v>1</v>
      </c>
      <c r="R128" s="13" t="b">
        <v>1</v>
      </c>
      <c r="S128" s="13" t="b">
        <v>1</v>
      </c>
      <c r="T128" s="13" t="b">
        <v>1</v>
      </c>
      <c r="U128" s="13" t="b">
        <v>1</v>
      </c>
      <c r="V128" s="13" t="b">
        <v>1</v>
      </c>
      <c r="W128" s="13" t="b">
        <v>1</v>
      </c>
      <c r="X128" s="13" t="b">
        <v>1</v>
      </c>
      <c r="Y128" s="21" t="s">
        <v>443</v>
      </c>
      <c r="Z128" s="51" t="s">
        <v>832</v>
      </c>
      <c r="AA128" s="21" t="s">
        <v>833</v>
      </c>
      <c r="AB128" s="22"/>
      <c r="AC128" s="23"/>
      <c r="AD128" s="13"/>
      <c r="AE128" s="13" t="b">
        <v>1</v>
      </c>
      <c r="AF128" s="48">
        <v>45915</v>
      </c>
      <c r="AG128" s="55" t="s">
        <v>104</v>
      </c>
      <c r="AH128" s="27" t="b">
        <v>1</v>
      </c>
      <c r="AI128" s="48">
        <v>45938</v>
      </c>
      <c r="AJ128" s="39" t="s">
        <v>104</v>
      </c>
      <c r="AK128" s="27" t="b">
        <v>1</v>
      </c>
      <c r="AL128" s="30">
        <v>45974</v>
      </c>
      <c r="AM128" s="39" t="s">
        <v>104</v>
      </c>
      <c r="AN128" s="39"/>
      <c r="AO128" s="13"/>
      <c r="AP128" s="12"/>
      <c r="AQ128" s="16"/>
      <c r="AR128" s="32"/>
      <c r="AS128" s="33"/>
      <c r="AT128" s="32"/>
      <c r="AU128" s="33"/>
      <c r="AV128" s="34"/>
      <c r="AW128" s="33"/>
      <c r="AX128" s="37"/>
      <c r="AY128" s="38"/>
      <c r="AZ128" s="37"/>
      <c r="BA128" s="38"/>
      <c r="BB128" s="35" t="b">
        <v>1</v>
      </c>
      <c r="BC128" s="36">
        <f>IF(MOD(H128,4)=0,H128/4,ROUNDUP(H128/4,0))</f>
        <v>6407000</v>
      </c>
      <c r="BD128" s="41"/>
      <c r="BE128" s="36"/>
      <c r="BF128" s="41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5" t="b">
        <v>1</v>
      </c>
      <c r="BU128" s="36">
        <f>IF(MOD(H128,4)=0,H128/4,ROUNDDOWN(H128/4,0))</f>
        <v>6407000</v>
      </c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5" t="b">
        <v>1</v>
      </c>
      <c r="CK128" s="36">
        <f>IF(MOD(H128,4)=0,H128/4,ROUNDUP(H128/4,0))</f>
        <v>6407000</v>
      </c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</row>
    <row r="129" spans="1:101" ht="32.25" customHeight="1" x14ac:dyDescent="0.25">
      <c r="A129" s="12">
        <f t="shared" si="0"/>
        <v>128</v>
      </c>
      <c r="B129" s="13" t="s">
        <v>94</v>
      </c>
      <c r="C129" s="13" t="s">
        <v>731</v>
      </c>
      <c r="D129" s="14" t="s">
        <v>834</v>
      </c>
      <c r="E129" s="15" t="s">
        <v>835</v>
      </c>
      <c r="F129" s="15" t="s">
        <v>836</v>
      </c>
      <c r="G129" s="16">
        <v>8</v>
      </c>
      <c r="H129" s="17">
        <v>12814000</v>
      </c>
      <c r="I129" s="18"/>
      <c r="J129" s="18"/>
      <c r="K129" s="18"/>
      <c r="L129" s="18" t="s">
        <v>99</v>
      </c>
      <c r="M129" s="19">
        <v>17191</v>
      </c>
      <c r="N129" s="20" t="s">
        <v>100</v>
      </c>
      <c r="O129" s="13" t="b">
        <v>1</v>
      </c>
      <c r="P129" s="20" t="b">
        <v>1</v>
      </c>
      <c r="Q129" s="20" t="b">
        <v>1</v>
      </c>
      <c r="R129" s="13" t="b">
        <v>1</v>
      </c>
      <c r="S129" s="13" t="b">
        <v>1</v>
      </c>
      <c r="T129" s="13" t="b">
        <v>1</v>
      </c>
      <c r="U129" s="13" t="b">
        <v>1</v>
      </c>
      <c r="V129" s="13" t="b">
        <v>1</v>
      </c>
      <c r="W129" s="13" t="b">
        <v>1</v>
      </c>
      <c r="X129" s="13" t="b">
        <v>0</v>
      </c>
      <c r="Y129" s="21" t="s">
        <v>101</v>
      </c>
      <c r="Z129" s="21" t="s">
        <v>837</v>
      </c>
      <c r="AA129" s="21" t="s">
        <v>838</v>
      </c>
      <c r="AB129" s="22"/>
      <c r="AC129" s="23"/>
      <c r="AD129" s="13"/>
      <c r="AE129" s="47" t="b">
        <v>1</v>
      </c>
      <c r="AF129" s="48">
        <v>45880</v>
      </c>
      <c r="AG129" s="55" t="s">
        <v>839</v>
      </c>
      <c r="AH129" s="27" t="b">
        <v>1</v>
      </c>
      <c r="AI129" s="48">
        <v>45950</v>
      </c>
      <c r="AJ129" s="56" t="s">
        <v>840</v>
      </c>
      <c r="AK129" s="39" t="b">
        <v>1</v>
      </c>
      <c r="AL129" s="30">
        <v>45996</v>
      </c>
      <c r="AM129" s="56" t="s">
        <v>840</v>
      </c>
      <c r="AN129" s="39"/>
      <c r="AO129" s="13"/>
      <c r="AP129" s="12"/>
      <c r="AQ129" s="16"/>
      <c r="AR129" s="12"/>
      <c r="AS129" s="33"/>
      <c r="AT129" s="32"/>
      <c r="AU129" s="33"/>
      <c r="AV129" s="34"/>
      <c r="AW129" s="33"/>
      <c r="AX129" s="35" t="b">
        <v>1</v>
      </c>
      <c r="AY129" s="36">
        <f>IF(MOD(H129,4)=0,H129/4,ROUNDUP(H129/4,0))</f>
        <v>3203500</v>
      </c>
      <c r="AZ129" s="37"/>
      <c r="BA129" s="38"/>
      <c r="BB129" s="37"/>
      <c r="BC129" s="38"/>
      <c r="BD129" s="37"/>
      <c r="BE129" s="38"/>
      <c r="BF129" s="37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7"/>
      <c r="BU129" s="37"/>
      <c r="BV129" s="35" t="b">
        <v>1</v>
      </c>
      <c r="BW129" s="41">
        <f>IF(MOD(H129,4)=0,H129/4,ROUNDDOWN(H129/4,0))</f>
        <v>3203500</v>
      </c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35" t="b">
        <v>1</v>
      </c>
      <c r="CQ129" s="41">
        <f>IF(MOD(H129,4)=0,H129/4,ROUNDUP(H129/4,0))</f>
        <v>3203500</v>
      </c>
      <c r="CR129" s="41"/>
      <c r="CS129" s="41"/>
      <c r="CT129" s="41"/>
      <c r="CU129" s="41"/>
      <c r="CV129" s="41"/>
      <c r="CW129" s="41"/>
    </row>
    <row r="130" spans="1:101" ht="32.25" customHeight="1" x14ac:dyDescent="0.25">
      <c r="A130" s="12">
        <f t="shared" si="0"/>
        <v>129</v>
      </c>
      <c r="B130" s="13" t="s">
        <v>94</v>
      </c>
      <c r="C130" s="13" t="s">
        <v>731</v>
      </c>
      <c r="D130" s="14" t="s">
        <v>841</v>
      </c>
      <c r="E130" s="15" t="s">
        <v>842</v>
      </c>
      <c r="F130" s="15" t="s">
        <v>843</v>
      </c>
      <c r="G130" s="16">
        <v>115</v>
      </c>
      <c r="H130" s="17">
        <v>184201250</v>
      </c>
      <c r="I130" s="18"/>
      <c r="J130" s="18"/>
      <c r="K130" s="18"/>
      <c r="L130" s="18" t="s">
        <v>99</v>
      </c>
      <c r="M130" s="19">
        <v>17192</v>
      </c>
      <c r="N130" s="20" t="s">
        <v>100</v>
      </c>
      <c r="O130" s="13" t="b">
        <v>1</v>
      </c>
      <c r="P130" s="20" t="b">
        <v>1</v>
      </c>
      <c r="Q130" s="20" t="b">
        <v>1</v>
      </c>
      <c r="R130" s="13" t="b">
        <v>1</v>
      </c>
      <c r="S130" s="13" t="b">
        <v>1</v>
      </c>
      <c r="T130" s="13" t="b">
        <v>1</v>
      </c>
      <c r="U130" s="13" t="b">
        <v>1</v>
      </c>
      <c r="V130" s="13" t="b">
        <v>1</v>
      </c>
      <c r="W130" s="13" t="b">
        <v>1</v>
      </c>
      <c r="X130" s="13" t="b">
        <v>0</v>
      </c>
      <c r="Y130" s="21" t="s">
        <v>443</v>
      </c>
      <c r="Z130" s="21" t="s">
        <v>844</v>
      </c>
      <c r="AA130" s="21" t="s">
        <v>845</v>
      </c>
      <c r="AB130" s="22"/>
      <c r="AC130" s="23"/>
      <c r="AD130" s="13"/>
      <c r="AE130" s="47" t="b">
        <v>1</v>
      </c>
      <c r="AF130" s="48">
        <v>45889</v>
      </c>
      <c r="AG130" s="55" t="s">
        <v>104</v>
      </c>
      <c r="AH130" s="27" t="b">
        <v>1</v>
      </c>
      <c r="AI130" s="48">
        <v>45922</v>
      </c>
      <c r="AJ130" s="39" t="s">
        <v>104</v>
      </c>
      <c r="AK130" s="39" t="b">
        <v>1</v>
      </c>
      <c r="AL130" s="30">
        <v>45987</v>
      </c>
      <c r="AM130" s="39" t="s">
        <v>590</v>
      </c>
      <c r="AN130" s="39"/>
      <c r="AO130" s="13"/>
      <c r="AP130" s="12"/>
      <c r="AQ130" s="16"/>
      <c r="AR130" s="32"/>
      <c r="AS130" s="33"/>
      <c r="AT130" s="32"/>
      <c r="AU130" s="33"/>
      <c r="AV130" s="34"/>
      <c r="AW130" s="33"/>
      <c r="AX130" s="37"/>
      <c r="AY130" s="38"/>
      <c r="AZ130" s="35" t="b">
        <v>1</v>
      </c>
      <c r="BA130" s="36">
        <f>IF(MOD(H130,4)=0,H130/4,ROUNDUP(H130/4,0))</f>
        <v>46050313</v>
      </c>
      <c r="BB130" s="41"/>
      <c r="BC130" s="36"/>
      <c r="BD130" s="41"/>
      <c r="BE130" s="36"/>
      <c r="BF130" s="41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5" t="b">
        <v>1</v>
      </c>
      <c r="BU130" s="36">
        <f t="shared" ref="BU130:BU131" si="55">IF(MOD(H130,4)=0,H130/4,ROUNDDOWN(H130/4,0))</f>
        <v>46050312</v>
      </c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5" t="b">
        <v>1</v>
      </c>
      <c r="CM130" s="41">
        <f>IF(MOD(H130,4)=0,H130/4,ROUNDUP(H130/4,0))</f>
        <v>46050313</v>
      </c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</row>
    <row r="131" spans="1:101" ht="32.25" customHeight="1" x14ac:dyDescent="0.25">
      <c r="A131" s="12">
        <f t="shared" si="0"/>
        <v>130</v>
      </c>
      <c r="B131" s="13" t="s">
        <v>94</v>
      </c>
      <c r="C131" s="13" t="s">
        <v>731</v>
      </c>
      <c r="D131" s="14" t="s">
        <v>846</v>
      </c>
      <c r="E131" s="15" t="s">
        <v>847</v>
      </c>
      <c r="F131" s="15" t="s">
        <v>848</v>
      </c>
      <c r="G131" s="16">
        <v>232</v>
      </c>
      <c r="H131" s="17">
        <v>371606000</v>
      </c>
      <c r="I131" s="18"/>
      <c r="J131" s="18"/>
      <c r="K131" s="18"/>
      <c r="L131" s="18" t="s">
        <v>99</v>
      </c>
      <c r="M131" s="19">
        <v>17193</v>
      </c>
      <c r="N131" s="20" t="s">
        <v>100</v>
      </c>
      <c r="O131" s="13" t="b">
        <v>1</v>
      </c>
      <c r="P131" s="20" t="b">
        <v>1</v>
      </c>
      <c r="Q131" s="20" t="b">
        <v>1</v>
      </c>
      <c r="R131" s="13" t="b">
        <v>1</v>
      </c>
      <c r="S131" s="13" t="b">
        <v>1</v>
      </c>
      <c r="T131" s="13" t="b">
        <v>1</v>
      </c>
      <c r="U131" s="13" t="b">
        <v>1</v>
      </c>
      <c r="V131" s="13" t="b">
        <v>1</v>
      </c>
      <c r="W131" s="13" t="b">
        <v>1</v>
      </c>
      <c r="X131" s="13" t="b">
        <v>0</v>
      </c>
      <c r="Y131" s="21" t="s">
        <v>101</v>
      </c>
      <c r="Z131" s="21" t="s">
        <v>849</v>
      </c>
      <c r="AA131" s="21" t="s">
        <v>850</v>
      </c>
      <c r="AB131" s="22"/>
      <c r="AC131" s="23"/>
      <c r="AD131" s="13"/>
      <c r="AE131" s="47" t="b">
        <v>1</v>
      </c>
      <c r="AF131" s="48">
        <v>45880</v>
      </c>
      <c r="AG131" s="55"/>
      <c r="AH131" s="27" t="b">
        <v>1</v>
      </c>
      <c r="AI131" s="48">
        <v>45938</v>
      </c>
      <c r="AJ131" s="39" t="s">
        <v>851</v>
      </c>
      <c r="AK131" s="27" t="b">
        <v>1</v>
      </c>
      <c r="AL131" s="30">
        <v>45989</v>
      </c>
      <c r="AM131" s="39" t="s">
        <v>104</v>
      </c>
      <c r="AN131" s="39"/>
      <c r="AO131" s="13"/>
      <c r="AP131" s="12"/>
      <c r="AQ131" s="16"/>
      <c r="AR131" s="12"/>
      <c r="AS131" s="33"/>
      <c r="AT131" s="32"/>
      <c r="AU131" s="33"/>
      <c r="AV131" s="34"/>
      <c r="AW131" s="33"/>
      <c r="AX131" s="35" t="b">
        <v>1</v>
      </c>
      <c r="AY131" s="36">
        <f>IF(MOD(H131,4)=0,H131/4,ROUNDUP(H131/4,0))</f>
        <v>92901500</v>
      </c>
      <c r="AZ131" s="37"/>
      <c r="BA131" s="38"/>
      <c r="BB131" s="37"/>
      <c r="BC131" s="38"/>
      <c r="BD131" s="37"/>
      <c r="BE131" s="38"/>
      <c r="BF131" s="37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5" t="b">
        <v>1</v>
      </c>
      <c r="BU131" s="36">
        <f t="shared" si="55"/>
        <v>92901500</v>
      </c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5" t="b">
        <v>1</v>
      </c>
      <c r="CO131" s="36">
        <f>IF(MOD(H131,4)=0,H131/4,ROUNDUP(H131/4,0))</f>
        <v>92901500</v>
      </c>
      <c r="CP131" s="36"/>
      <c r="CQ131" s="36"/>
      <c r="CR131" s="36"/>
      <c r="CS131" s="36"/>
      <c r="CT131" s="36"/>
      <c r="CU131" s="36"/>
      <c r="CV131" s="36"/>
      <c r="CW131" s="36"/>
    </row>
    <row r="132" spans="1:101" ht="32.25" customHeight="1" x14ac:dyDescent="0.25">
      <c r="A132" s="12">
        <f t="shared" si="0"/>
        <v>131</v>
      </c>
      <c r="B132" s="13" t="s">
        <v>94</v>
      </c>
      <c r="C132" s="13" t="s">
        <v>731</v>
      </c>
      <c r="D132" s="14" t="s">
        <v>852</v>
      </c>
      <c r="E132" s="15" t="s">
        <v>853</v>
      </c>
      <c r="F132" s="15" t="s">
        <v>854</v>
      </c>
      <c r="G132" s="16">
        <v>72</v>
      </c>
      <c r="H132" s="17">
        <v>115326000</v>
      </c>
      <c r="I132" s="18"/>
      <c r="J132" s="18"/>
      <c r="K132" s="18"/>
      <c r="L132" s="18" t="s">
        <v>99</v>
      </c>
      <c r="M132" s="19">
        <v>17194</v>
      </c>
      <c r="N132" s="20" t="s">
        <v>100</v>
      </c>
      <c r="O132" s="13" t="b">
        <v>1</v>
      </c>
      <c r="P132" s="20" t="b">
        <v>1</v>
      </c>
      <c r="Q132" s="20" t="b">
        <v>1</v>
      </c>
      <c r="R132" s="13" t="b">
        <v>0</v>
      </c>
      <c r="S132" s="13" t="b">
        <v>0</v>
      </c>
      <c r="T132" s="13" t="b">
        <v>1</v>
      </c>
      <c r="U132" s="13" t="b">
        <v>1</v>
      </c>
      <c r="V132" s="13" t="b">
        <v>1</v>
      </c>
      <c r="W132" s="13" t="b">
        <v>1</v>
      </c>
      <c r="X132" s="13" t="b">
        <v>0</v>
      </c>
      <c r="Y132" s="21" t="s">
        <v>443</v>
      </c>
      <c r="Z132" s="21" t="s">
        <v>855</v>
      </c>
      <c r="AA132" s="21" t="s">
        <v>856</v>
      </c>
      <c r="AB132" s="22"/>
      <c r="AC132" s="23"/>
      <c r="AD132" s="13"/>
      <c r="AE132" s="13" t="b">
        <v>1</v>
      </c>
      <c r="AF132" s="48">
        <v>45994</v>
      </c>
      <c r="AG132" s="55"/>
      <c r="AH132" s="39" t="b">
        <v>1</v>
      </c>
      <c r="AI132" s="48">
        <v>46015</v>
      </c>
      <c r="AJ132" s="39" t="s">
        <v>104</v>
      </c>
      <c r="AK132" s="39" t="b">
        <v>0</v>
      </c>
      <c r="AL132" s="39"/>
      <c r="AM132" s="39"/>
      <c r="AN132" s="39"/>
      <c r="AO132" s="13"/>
      <c r="AP132" s="12"/>
      <c r="AQ132" s="16"/>
      <c r="AR132" s="32"/>
      <c r="AS132" s="33"/>
      <c r="AT132" s="32"/>
      <c r="AU132" s="33"/>
      <c r="AV132" s="34"/>
      <c r="AW132" s="33"/>
      <c r="AX132" s="37"/>
      <c r="AY132" s="38"/>
      <c r="AZ132" s="37"/>
      <c r="BA132" s="38"/>
      <c r="BB132" s="37"/>
      <c r="BC132" s="38"/>
      <c r="BD132" s="37"/>
      <c r="BE132" s="38"/>
      <c r="BF132" s="37"/>
      <c r="BG132" s="38"/>
      <c r="BH132" s="38"/>
      <c r="BI132" s="38"/>
      <c r="BJ132" s="38"/>
      <c r="BK132" s="38"/>
      <c r="BL132" s="38"/>
      <c r="BM132" s="38"/>
      <c r="BN132" s="42" t="b">
        <v>1</v>
      </c>
      <c r="BO132" s="38">
        <f>IF(MOD(H132,4)=0,H132/4,ROUNDUP(H132/4,0))</f>
        <v>28831500</v>
      </c>
      <c r="BP132" s="38"/>
      <c r="BQ132" s="38"/>
      <c r="BR132" s="38"/>
      <c r="BS132" s="38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42" t="b">
        <v>1</v>
      </c>
      <c r="CI132" s="38">
        <f>IF(MOD(H132,4)=0,H132/4,ROUNDDOWN(H132/4,0))</f>
        <v>28831500</v>
      </c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</row>
    <row r="133" spans="1:101" ht="32.25" customHeight="1" x14ac:dyDescent="0.25">
      <c r="A133" s="12">
        <f t="shared" si="0"/>
        <v>132</v>
      </c>
      <c r="B133" s="13" t="s">
        <v>94</v>
      </c>
      <c r="C133" s="13" t="s">
        <v>731</v>
      </c>
      <c r="D133" s="14" t="s">
        <v>857</v>
      </c>
      <c r="E133" s="15" t="s">
        <v>858</v>
      </c>
      <c r="F133" s="15" t="s">
        <v>859</v>
      </c>
      <c r="G133" s="16">
        <v>246</v>
      </c>
      <c r="H133" s="17">
        <v>394030500</v>
      </c>
      <c r="I133" s="18"/>
      <c r="J133" s="18"/>
      <c r="K133" s="18"/>
      <c r="L133" s="18" t="s">
        <v>99</v>
      </c>
      <c r="M133" s="19">
        <v>17195</v>
      </c>
      <c r="N133" s="20" t="s">
        <v>100</v>
      </c>
      <c r="O133" s="13" t="b">
        <v>1</v>
      </c>
      <c r="P133" s="20" t="b">
        <v>0</v>
      </c>
      <c r="Q133" s="20" t="b">
        <v>1</v>
      </c>
      <c r="R133" s="13" t="b">
        <v>1</v>
      </c>
      <c r="S133" s="13" t="b">
        <v>1</v>
      </c>
      <c r="T133" s="13" t="b">
        <v>1</v>
      </c>
      <c r="U133" s="13" t="b">
        <v>1</v>
      </c>
      <c r="V133" s="13" t="b">
        <v>1</v>
      </c>
      <c r="W133" s="13" t="b">
        <v>1</v>
      </c>
      <c r="X133" s="13" t="b">
        <v>1</v>
      </c>
      <c r="Y133" s="21" t="s">
        <v>443</v>
      </c>
      <c r="Z133" s="21" t="s">
        <v>860</v>
      </c>
      <c r="AA133" s="21" t="s">
        <v>861</v>
      </c>
      <c r="AB133" s="22"/>
      <c r="AC133" s="23"/>
      <c r="AD133" s="13"/>
      <c r="AE133" s="13" t="b">
        <v>1</v>
      </c>
      <c r="AF133" s="48">
        <v>45896</v>
      </c>
      <c r="AG133" s="55" t="s">
        <v>590</v>
      </c>
      <c r="AH133" s="27" t="b">
        <v>1</v>
      </c>
      <c r="AI133" s="48">
        <v>45924</v>
      </c>
      <c r="AJ133" s="39" t="s">
        <v>104</v>
      </c>
      <c r="AK133" s="27" t="b">
        <v>1</v>
      </c>
      <c r="AL133" s="30">
        <v>45973</v>
      </c>
      <c r="AM133" s="39" t="s">
        <v>304</v>
      </c>
      <c r="AN133" s="39"/>
      <c r="AO133" s="13"/>
      <c r="AP133" s="12"/>
      <c r="AQ133" s="16"/>
      <c r="AR133" s="32"/>
      <c r="AS133" s="33"/>
      <c r="AT133" s="32"/>
      <c r="AU133" s="33"/>
      <c r="AV133" s="34"/>
      <c r="AW133" s="33"/>
      <c r="AX133" s="37"/>
      <c r="AY133" s="38"/>
      <c r="AZ133" s="35" t="b">
        <v>1</v>
      </c>
      <c r="BA133" s="36">
        <f>IF(MOD(H133,4)=0,H133/4,ROUNDUP(H133/4,0))</f>
        <v>98507625</v>
      </c>
      <c r="BB133" s="41"/>
      <c r="BC133" s="36"/>
      <c r="BD133" s="41"/>
      <c r="BE133" s="36"/>
      <c r="BF133" s="41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5" t="b">
        <v>1</v>
      </c>
      <c r="BU133" s="36">
        <f t="shared" ref="BU133:BU134" si="56">IF(MOD(H133,4)=0,H133/4,ROUNDDOWN(H133/4,0))</f>
        <v>98507625</v>
      </c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5" t="b">
        <v>1</v>
      </c>
      <c r="CK133" s="36">
        <f t="shared" ref="CK133:CK134" si="57">IF(MOD(H133,4)=0,H133/4,ROUNDUP(H133/4,0))</f>
        <v>98507625</v>
      </c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</row>
    <row r="134" spans="1:101" ht="32.25" customHeight="1" x14ac:dyDescent="0.25">
      <c r="A134" s="12">
        <f t="shared" si="0"/>
        <v>133</v>
      </c>
      <c r="B134" s="13" t="s">
        <v>94</v>
      </c>
      <c r="C134" s="13" t="s">
        <v>731</v>
      </c>
      <c r="D134" s="14" t="s">
        <v>862</v>
      </c>
      <c r="E134" s="15" t="s">
        <v>863</v>
      </c>
      <c r="F134" s="15" t="s">
        <v>864</v>
      </c>
      <c r="G134" s="16">
        <v>202</v>
      </c>
      <c r="H134" s="17">
        <v>323553500</v>
      </c>
      <c r="I134" s="18"/>
      <c r="J134" s="18"/>
      <c r="K134" s="18"/>
      <c r="L134" s="18" t="s">
        <v>99</v>
      </c>
      <c r="M134" s="19">
        <v>17196</v>
      </c>
      <c r="N134" s="20" t="s">
        <v>100</v>
      </c>
      <c r="O134" s="13" t="b">
        <v>1</v>
      </c>
      <c r="P134" s="20" t="b">
        <v>1</v>
      </c>
      <c r="Q134" s="20" t="b">
        <v>1</v>
      </c>
      <c r="R134" s="13" t="b">
        <v>1</v>
      </c>
      <c r="S134" s="13" t="b">
        <v>1</v>
      </c>
      <c r="T134" s="13" t="b">
        <v>1</v>
      </c>
      <c r="U134" s="13" t="b">
        <v>1</v>
      </c>
      <c r="V134" s="13" t="b">
        <v>1</v>
      </c>
      <c r="W134" s="13" t="b">
        <v>1</v>
      </c>
      <c r="X134" s="13" t="b">
        <v>0</v>
      </c>
      <c r="Y134" s="21" t="s">
        <v>443</v>
      </c>
      <c r="Z134" s="21" t="s">
        <v>865</v>
      </c>
      <c r="AA134" s="21" t="s">
        <v>866</v>
      </c>
      <c r="AB134" s="22"/>
      <c r="AC134" s="23"/>
      <c r="AD134" s="13"/>
      <c r="AE134" s="47" t="b">
        <v>1</v>
      </c>
      <c r="AF134" s="48">
        <v>45880</v>
      </c>
      <c r="AG134" s="55" t="s">
        <v>104</v>
      </c>
      <c r="AH134" s="27" t="b">
        <v>1</v>
      </c>
      <c r="AI134" s="48">
        <v>45919</v>
      </c>
      <c r="AJ134" s="39" t="s">
        <v>304</v>
      </c>
      <c r="AK134" s="27" t="b">
        <v>1</v>
      </c>
      <c r="AL134" s="28">
        <v>45979</v>
      </c>
      <c r="AM134" s="60"/>
      <c r="AN134" s="39"/>
      <c r="AO134" s="13"/>
      <c r="AP134" s="12"/>
      <c r="AQ134" s="16"/>
      <c r="AR134" s="12"/>
      <c r="AS134" s="33"/>
      <c r="AT134" s="32"/>
      <c r="AU134" s="33"/>
      <c r="AV134" s="34"/>
      <c r="AW134" s="33"/>
      <c r="AX134" s="35" t="b">
        <v>1</v>
      </c>
      <c r="AY134" s="36">
        <f>IF(MOD(H134,4)=0,H134/4,ROUNDUP(H134/4,0))</f>
        <v>80888375</v>
      </c>
      <c r="AZ134" s="37"/>
      <c r="BA134" s="38"/>
      <c r="BB134" s="37"/>
      <c r="BC134" s="38"/>
      <c r="BD134" s="37"/>
      <c r="BE134" s="38"/>
      <c r="BF134" s="37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5" t="b">
        <v>1</v>
      </c>
      <c r="BU134" s="36">
        <f t="shared" si="56"/>
        <v>80888375</v>
      </c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5" t="b">
        <v>1</v>
      </c>
      <c r="CK134" s="36">
        <f t="shared" si="57"/>
        <v>80888375</v>
      </c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</row>
    <row r="135" spans="1:101" ht="32.25" customHeight="1" x14ac:dyDescent="0.25">
      <c r="A135" s="12">
        <f t="shared" si="0"/>
        <v>134</v>
      </c>
      <c r="B135" s="13" t="s">
        <v>151</v>
      </c>
      <c r="C135" s="13" t="s">
        <v>731</v>
      </c>
      <c r="D135" s="14" t="s">
        <v>867</v>
      </c>
      <c r="E135" s="15" t="s">
        <v>868</v>
      </c>
      <c r="F135" s="15" t="s">
        <v>869</v>
      </c>
      <c r="G135" s="16">
        <v>44</v>
      </c>
      <c r="H135" s="17">
        <v>98439000</v>
      </c>
      <c r="I135" s="18"/>
      <c r="J135" s="18"/>
      <c r="K135" s="18"/>
      <c r="L135" s="18" t="s">
        <v>99</v>
      </c>
      <c r="M135" s="19">
        <v>17197</v>
      </c>
      <c r="N135" s="20" t="s">
        <v>100</v>
      </c>
      <c r="O135" s="13" t="b">
        <v>1</v>
      </c>
      <c r="P135" s="20" t="b">
        <v>1</v>
      </c>
      <c r="Q135" s="20" t="b">
        <v>1</v>
      </c>
      <c r="R135" s="13" t="b">
        <v>1</v>
      </c>
      <c r="S135" s="13" t="b">
        <v>1</v>
      </c>
      <c r="T135" s="13" t="b">
        <v>1</v>
      </c>
      <c r="U135" s="13" t="b">
        <v>1</v>
      </c>
      <c r="V135" s="13" t="b">
        <v>1</v>
      </c>
      <c r="W135" s="13" t="b">
        <v>1</v>
      </c>
      <c r="X135" s="13" t="b">
        <v>1</v>
      </c>
      <c r="Y135" s="21" t="s">
        <v>101</v>
      </c>
      <c r="Z135" s="21" t="s">
        <v>870</v>
      </c>
      <c r="AA135" s="21" t="s">
        <v>871</v>
      </c>
      <c r="AB135" s="22"/>
      <c r="AC135" s="13"/>
      <c r="AD135" s="13"/>
      <c r="AE135" s="47" t="b">
        <v>1</v>
      </c>
      <c r="AF135" s="48">
        <v>45924</v>
      </c>
      <c r="AG135" s="26" t="s">
        <v>872</v>
      </c>
      <c r="AH135" s="27" t="b">
        <v>1</v>
      </c>
      <c r="AI135" s="48">
        <v>45924</v>
      </c>
      <c r="AJ135" s="29" t="s">
        <v>590</v>
      </c>
      <c r="AK135" s="39" t="b">
        <v>1</v>
      </c>
      <c r="AL135" s="40">
        <v>46015</v>
      </c>
      <c r="AM135" s="60" t="s">
        <v>873</v>
      </c>
      <c r="AN135" s="29"/>
      <c r="AO135" s="13"/>
      <c r="AP135" s="12"/>
      <c r="AQ135" s="16"/>
      <c r="AR135" s="32"/>
      <c r="AS135" s="33"/>
      <c r="AT135" s="32"/>
      <c r="AU135" s="33"/>
      <c r="AV135" s="34"/>
      <c r="AW135" s="33"/>
      <c r="AX135" s="37"/>
      <c r="AY135" s="38"/>
      <c r="AZ135" s="37"/>
      <c r="BA135" s="38"/>
      <c r="BB135" s="37"/>
      <c r="BC135" s="38"/>
      <c r="BD135" s="42" t="b">
        <v>1</v>
      </c>
      <c r="BE135" s="36">
        <f>IF(MOD(H135,4)=0,H135/4,ROUNDUP(H135/4,0))</f>
        <v>24609750</v>
      </c>
      <c r="BF135" s="41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41"/>
      <c r="BU135" s="41"/>
      <c r="BV135" s="41"/>
      <c r="BW135" s="41"/>
      <c r="BX135" s="42" t="b">
        <v>1</v>
      </c>
      <c r="BY135" s="41">
        <f>IF(MOD(H135,4)=0,H135/4,ROUNDDOWN(H135/4,0))</f>
        <v>24609750</v>
      </c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37" t="b">
        <v>1</v>
      </c>
      <c r="CU135" s="38">
        <f>IF(MOD(H135,4)=0,H135/4,ROUNDUP(H135/4,0))</f>
        <v>24609750</v>
      </c>
      <c r="CV135" s="38"/>
      <c r="CW135" s="38"/>
    </row>
    <row r="136" spans="1:101" ht="32.25" customHeight="1" x14ac:dyDescent="0.25">
      <c r="A136" s="12">
        <f t="shared" si="0"/>
        <v>135</v>
      </c>
      <c r="B136" s="13" t="s">
        <v>151</v>
      </c>
      <c r="C136" s="13" t="s">
        <v>731</v>
      </c>
      <c r="D136" s="14" t="s">
        <v>874</v>
      </c>
      <c r="E136" s="15" t="s">
        <v>875</v>
      </c>
      <c r="F136" s="15" t="s">
        <v>876</v>
      </c>
      <c r="G136" s="16">
        <v>12</v>
      </c>
      <c r="H136" s="17">
        <v>26847000</v>
      </c>
      <c r="I136" s="18"/>
      <c r="J136" s="18"/>
      <c r="K136" s="18"/>
      <c r="L136" s="18" t="s">
        <v>99</v>
      </c>
      <c r="M136" s="19">
        <v>17198</v>
      </c>
      <c r="N136" s="20" t="s">
        <v>100</v>
      </c>
      <c r="O136" s="13" t="b">
        <v>1</v>
      </c>
      <c r="P136" s="20" t="b">
        <v>1</v>
      </c>
      <c r="Q136" s="20" t="b">
        <v>1</v>
      </c>
      <c r="R136" s="13" t="b">
        <v>0</v>
      </c>
      <c r="S136" s="13" t="b">
        <v>0</v>
      </c>
      <c r="T136" s="13" t="b">
        <v>1</v>
      </c>
      <c r="U136" s="13" t="b">
        <v>1</v>
      </c>
      <c r="V136" s="13" t="b">
        <v>1</v>
      </c>
      <c r="W136" s="13" t="b">
        <v>1</v>
      </c>
      <c r="X136" s="13" t="b">
        <v>0</v>
      </c>
      <c r="Y136" s="21" t="s">
        <v>101</v>
      </c>
      <c r="Z136" s="21" t="s">
        <v>877</v>
      </c>
      <c r="AA136" s="21" t="s">
        <v>878</v>
      </c>
      <c r="AB136" s="22"/>
      <c r="AC136" s="23"/>
      <c r="AD136" s="13"/>
      <c r="AE136" s="47" t="b">
        <v>1</v>
      </c>
      <c r="AF136" s="48">
        <v>45978</v>
      </c>
      <c r="AG136" s="26" t="s">
        <v>879</v>
      </c>
      <c r="AH136" s="39" t="b">
        <v>0</v>
      </c>
      <c r="AI136" s="28"/>
      <c r="AJ136" s="29"/>
      <c r="AK136" s="39" t="b">
        <v>0</v>
      </c>
      <c r="AL136" s="29"/>
      <c r="AM136" s="29"/>
      <c r="AN136" s="29"/>
      <c r="AO136" s="13"/>
      <c r="AP136" s="12"/>
      <c r="AQ136" s="16"/>
      <c r="AR136" s="32"/>
      <c r="AS136" s="33"/>
      <c r="AT136" s="32"/>
      <c r="AU136" s="33"/>
      <c r="AV136" s="34"/>
      <c r="AW136" s="33"/>
      <c r="AX136" s="37"/>
      <c r="AY136" s="38"/>
      <c r="AZ136" s="37"/>
      <c r="BA136" s="38"/>
      <c r="BB136" s="37"/>
      <c r="BC136" s="38"/>
      <c r="BD136" s="37"/>
      <c r="BE136" s="38"/>
      <c r="BF136" s="37"/>
      <c r="BG136" s="38"/>
      <c r="BH136" s="38"/>
      <c r="BI136" s="38"/>
      <c r="BJ136" s="37" t="b">
        <v>1</v>
      </c>
      <c r="BK136" s="38">
        <f>IF(MOD(H136,4)=0,H136/4,ROUNDUP(H136/4,0))</f>
        <v>6711750</v>
      </c>
      <c r="BL136" s="38"/>
      <c r="BM136" s="38"/>
      <c r="BN136" s="38"/>
      <c r="BO136" s="38"/>
      <c r="BP136" s="38"/>
      <c r="BQ136" s="38"/>
      <c r="BR136" s="38"/>
      <c r="BS136" s="38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</row>
    <row r="137" spans="1:101" ht="32.25" customHeight="1" x14ac:dyDescent="0.25">
      <c r="A137" s="12">
        <f t="shared" si="0"/>
        <v>136</v>
      </c>
      <c r="B137" s="13" t="s">
        <v>151</v>
      </c>
      <c r="C137" s="13" t="s">
        <v>731</v>
      </c>
      <c r="D137" s="14" t="s">
        <v>880</v>
      </c>
      <c r="E137" s="15" t="s">
        <v>881</v>
      </c>
      <c r="F137" s="15" t="s">
        <v>882</v>
      </c>
      <c r="G137" s="16">
        <v>40</v>
      </c>
      <c r="H137" s="17">
        <v>89490000</v>
      </c>
      <c r="I137" s="18"/>
      <c r="J137" s="18"/>
      <c r="K137" s="18"/>
      <c r="L137" s="18" t="s">
        <v>99</v>
      </c>
      <c r="M137" s="19">
        <v>17199</v>
      </c>
      <c r="N137" s="20" t="s">
        <v>100</v>
      </c>
      <c r="O137" s="13" t="b">
        <v>1</v>
      </c>
      <c r="P137" s="20" t="b">
        <v>1</v>
      </c>
      <c r="Q137" s="20" t="b">
        <v>1</v>
      </c>
      <c r="R137" s="13" t="b">
        <v>0</v>
      </c>
      <c r="S137" s="13" t="b">
        <v>1</v>
      </c>
      <c r="T137" s="13" t="b">
        <v>1</v>
      </c>
      <c r="U137" s="13" t="b">
        <v>1</v>
      </c>
      <c r="V137" s="13" t="b">
        <v>1</v>
      </c>
      <c r="W137" s="13" t="b">
        <v>1</v>
      </c>
      <c r="X137" s="13" t="b">
        <v>1</v>
      </c>
      <c r="Y137" s="21" t="s">
        <v>101</v>
      </c>
      <c r="Z137" s="21" t="s">
        <v>883</v>
      </c>
      <c r="AA137" s="21" t="s">
        <v>884</v>
      </c>
      <c r="AB137" s="22"/>
      <c r="AC137" s="23"/>
      <c r="AD137" s="13"/>
      <c r="AE137" s="13" t="b">
        <v>1</v>
      </c>
      <c r="AF137" s="48">
        <v>45916</v>
      </c>
      <c r="AG137" s="26" t="s">
        <v>104</v>
      </c>
      <c r="AH137" s="39" t="b">
        <v>1</v>
      </c>
      <c r="AI137" s="28">
        <v>45992</v>
      </c>
      <c r="AJ137" s="29" t="s">
        <v>104</v>
      </c>
      <c r="AK137" s="39" t="b">
        <v>1</v>
      </c>
      <c r="AL137" s="40">
        <v>46007</v>
      </c>
      <c r="AM137" s="29" t="s">
        <v>104</v>
      </c>
      <c r="AN137" s="29"/>
      <c r="AO137" s="13"/>
      <c r="AP137" s="12"/>
      <c r="AQ137" s="16"/>
      <c r="AR137" s="12"/>
      <c r="AS137" s="33"/>
      <c r="AT137" s="32"/>
      <c r="AU137" s="33"/>
      <c r="AV137" s="34"/>
      <c r="AW137" s="33"/>
      <c r="AX137" s="37"/>
      <c r="AY137" s="38"/>
      <c r="AZ137" s="37"/>
      <c r="BA137" s="38"/>
      <c r="BB137" s="35" t="b">
        <v>1</v>
      </c>
      <c r="BC137" s="36">
        <f>IF(MOD(H137,4)=0,H137/4,ROUNDUP(H137/4,0))</f>
        <v>22372500</v>
      </c>
      <c r="BD137" s="41"/>
      <c r="BE137" s="36"/>
      <c r="BF137" s="41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41"/>
      <c r="BU137" s="41"/>
      <c r="BV137" s="41"/>
      <c r="BW137" s="41"/>
      <c r="BX137" s="41"/>
      <c r="BY137" s="41"/>
      <c r="BZ137" s="41"/>
      <c r="CA137" s="41"/>
      <c r="CB137" s="42" t="b">
        <v>1</v>
      </c>
      <c r="CC137" s="38">
        <f>IF(MOD(H137,4)=0,H137/4,ROUNDDOWN(H137/4,0))</f>
        <v>22372500</v>
      </c>
      <c r="CD137" s="38"/>
      <c r="CE137" s="38"/>
      <c r="CF137" s="38"/>
      <c r="CG137" s="38"/>
      <c r="CH137" s="38"/>
      <c r="CI137" s="38"/>
      <c r="CJ137" s="41"/>
      <c r="CK137" s="41"/>
      <c r="CL137" s="41"/>
      <c r="CM137" s="41"/>
      <c r="CN137" s="41"/>
      <c r="CO137" s="41"/>
      <c r="CP137" s="41"/>
      <c r="CQ137" s="41"/>
      <c r="CR137" s="12" t="b">
        <v>1</v>
      </c>
      <c r="CS137" s="36">
        <f>IF(MOD(H137,4)=0,H137/4,ROUNDUP(H137/4,0))</f>
        <v>22372500</v>
      </c>
      <c r="CT137" s="36"/>
      <c r="CU137" s="36"/>
      <c r="CV137" s="36"/>
      <c r="CW137" s="36"/>
    </row>
    <row r="138" spans="1:101" ht="32.25" customHeight="1" x14ac:dyDescent="0.25">
      <c r="A138" s="12">
        <f t="shared" si="0"/>
        <v>137</v>
      </c>
      <c r="B138" s="13" t="s">
        <v>151</v>
      </c>
      <c r="C138" s="13" t="s">
        <v>731</v>
      </c>
      <c r="D138" s="14" t="s">
        <v>885</v>
      </c>
      <c r="E138" s="15" t="s">
        <v>886</v>
      </c>
      <c r="F138" s="15" t="s">
        <v>887</v>
      </c>
      <c r="G138" s="16">
        <v>9</v>
      </c>
      <c r="H138" s="17">
        <v>20135250</v>
      </c>
      <c r="I138" s="18"/>
      <c r="J138" s="18"/>
      <c r="K138" s="18"/>
      <c r="L138" s="18" t="s">
        <v>99</v>
      </c>
      <c r="M138" s="19">
        <v>17200</v>
      </c>
      <c r="N138" s="20" t="s">
        <v>100</v>
      </c>
      <c r="O138" s="13" t="b">
        <v>1</v>
      </c>
      <c r="P138" s="20" t="b">
        <v>1</v>
      </c>
      <c r="Q138" s="20" t="b">
        <v>1</v>
      </c>
      <c r="R138" s="13" t="b">
        <v>1</v>
      </c>
      <c r="S138" s="13" t="b">
        <v>1</v>
      </c>
      <c r="T138" s="13" t="b">
        <v>1</v>
      </c>
      <c r="U138" s="13" t="b">
        <v>1</v>
      </c>
      <c r="V138" s="13" t="b">
        <v>1</v>
      </c>
      <c r="W138" s="13" t="b">
        <v>1</v>
      </c>
      <c r="X138" s="13" t="b">
        <v>1</v>
      </c>
      <c r="Y138" s="21" t="s">
        <v>101</v>
      </c>
      <c r="Z138" s="21" t="s">
        <v>888</v>
      </c>
      <c r="AA138" s="21" t="s">
        <v>889</v>
      </c>
      <c r="AB138" s="22"/>
      <c r="AC138" s="13"/>
      <c r="AD138" s="13"/>
      <c r="AE138" s="13" t="b">
        <v>0</v>
      </c>
      <c r="AF138" s="48"/>
      <c r="AG138" s="26"/>
      <c r="AH138" s="39" t="b">
        <v>0</v>
      </c>
      <c r="AI138" s="28"/>
      <c r="AJ138" s="29"/>
      <c r="AK138" s="39" t="b">
        <v>0</v>
      </c>
      <c r="AL138" s="29"/>
      <c r="AM138" s="29"/>
      <c r="AN138" s="29"/>
      <c r="AO138" s="13"/>
      <c r="AP138" s="32"/>
      <c r="AQ138" s="33"/>
      <c r="AR138" s="32"/>
      <c r="AS138" s="33"/>
      <c r="AT138" s="32"/>
      <c r="AU138" s="33"/>
      <c r="AV138" s="34"/>
      <c r="AW138" s="33"/>
      <c r="AX138" s="37"/>
      <c r="AY138" s="38"/>
      <c r="AZ138" s="37"/>
      <c r="BA138" s="38"/>
      <c r="BB138" s="37"/>
      <c r="BC138" s="38"/>
      <c r="BD138" s="37"/>
      <c r="BE138" s="38"/>
      <c r="BF138" s="37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</row>
    <row r="139" spans="1:101" ht="32.25" customHeight="1" x14ac:dyDescent="0.25">
      <c r="A139" s="12">
        <f t="shared" si="0"/>
        <v>138</v>
      </c>
      <c r="B139" s="13" t="s">
        <v>151</v>
      </c>
      <c r="C139" s="13" t="s">
        <v>731</v>
      </c>
      <c r="D139" s="14" t="s">
        <v>890</v>
      </c>
      <c r="E139" s="15" t="s">
        <v>891</v>
      </c>
      <c r="F139" s="15" t="s">
        <v>892</v>
      </c>
      <c r="G139" s="16">
        <v>47</v>
      </c>
      <c r="H139" s="17">
        <v>105150750</v>
      </c>
      <c r="I139" s="18"/>
      <c r="J139" s="18"/>
      <c r="K139" s="18"/>
      <c r="L139" s="18" t="s">
        <v>99</v>
      </c>
      <c r="M139" s="19">
        <v>17201</v>
      </c>
      <c r="N139" s="20" t="s">
        <v>100</v>
      </c>
      <c r="O139" s="13" t="b">
        <v>1</v>
      </c>
      <c r="P139" s="20" t="b">
        <v>1</v>
      </c>
      <c r="Q139" s="20" t="b">
        <v>1</v>
      </c>
      <c r="R139" s="13" t="b">
        <v>1</v>
      </c>
      <c r="S139" s="13" t="b">
        <v>1</v>
      </c>
      <c r="T139" s="13" t="b">
        <v>1</v>
      </c>
      <c r="U139" s="13" t="b">
        <v>1</v>
      </c>
      <c r="V139" s="13" t="b">
        <v>1</v>
      </c>
      <c r="W139" s="13" t="b">
        <v>1</v>
      </c>
      <c r="X139" s="13" t="b">
        <v>1</v>
      </c>
      <c r="Y139" s="21" t="s">
        <v>101</v>
      </c>
      <c r="Z139" s="21" t="s">
        <v>893</v>
      </c>
      <c r="AA139" s="21" t="s">
        <v>894</v>
      </c>
      <c r="AB139" s="22"/>
      <c r="AC139" s="61"/>
      <c r="AD139" s="13"/>
      <c r="AE139" s="47" t="b">
        <v>1</v>
      </c>
      <c r="AF139" s="48">
        <v>45916</v>
      </c>
      <c r="AG139" s="26" t="s">
        <v>895</v>
      </c>
      <c r="AH139" s="27" t="b">
        <v>1</v>
      </c>
      <c r="AI139" s="28">
        <v>45957</v>
      </c>
      <c r="AJ139" s="49" t="s">
        <v>896</v>
      </c>
      <c r="AK139" s="39" t="b">
        <v>1</v>
      </c>
      <c r="AL139" s="40">
        <v>46003</v>
      </c>
      <c r="AM139" s="29" t="s">
        <v>897</v>
      </c>
      <c r="AN139" s="29"/>
      <c r="AO139" s="13"/>
      <c r="AP139" s="12"/>
      <c r="AQ139" s="16"/>
      <c r="AR139" s="32"/>
      <c r="AS139" s="33"/>
      <c r="AT139" s="32"/>
      <c r="AU139" s="33"/>
      <c r="AV139" s="34"/>
      <c r="AW139" s="33"/>
      <c r="AX139" s="37"/>
      <c r="AY139" s="38"/>
      <c r="AZ139" s="37"/>
      <c r="BA139" s="38"/>
      <c r="BB139" s="35" t="b">
        <v>1</v>
      </c>
      <c r="BC139" s="36">
        <f t="shared" ref="BC139:BC140" si="58">IF(MOD(H139,4)=0,H139/4,ROUNDUP(H139/4,0))</f>
        <v>26287688</v>
      </c>
      <c r="BD139" s="41"/>
      <c r="BE139" s="36"/>
      <c r="BF139" s="41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41"/>
      <c r="BU139" s="41"/>
      <c r="BV139" s="35" t="b">
        <v>1</v>
      </c>
      <c r="BW139" s="41">
        <f>IF(MOD(H139,4)=0,H139/4,ROUNDDOWN(H139/4,0))</f>
        <v>26287687</v>
      </c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12" t="b">
        <v>1</v>
      </c>
      <c r="CS139" s="36">
        <f>IF(MOD(H139,4)=0,H139/4,ROUNDUP(H139/4,0))</f>
        <v>26287688</v>
      </c>
      <c r="CT139" s="36"/>
      <c r="CU139" s="36"/>
      <c r="CV139" s="36"/>
      <c r="CW139" s="36"/>
    </row>
    <row r="140" spans="1:101" ht="32.25" customHeight="1" x14ac:dyDescent="0.25">
      <c r="A140" s="12">
        <f t="shared" si="0"/>
        <v>139</v>
      </c>
      <c r="B140" s="13" t="s">
        <v>134</v>
      </c>
      <c r="C140" s="13" t="s">
        <v>731</v>
      </c>
      <c r="D140" s="14" t="s">
        <v>898</v>
      </c>
      <c r="E140" s="15" t="s">
        <v>899</v>
      </c>
      <c r="F140" s="15" t="s">
        <v>900</v>
      </c>
      <c r="G140" s="16">
        <v>68</v>
      </c>
      <c r="H140" s="17">
        <v>108919000</v>
      </c>
      <c r="I140" s="18"/>
      <c r="J140" s="18"/>
      <c r="K140" s="18"/>
      <c r="L140" s="18" t="s">
        <v>99</v>
      </c>
      <c r="M140" s="19">
        <v>17202</v>
      </c>
      <c r="N140" s="20" t="s">
        <v>100</v>
      </c>
      <c r="O140" s="13" t="b">
        <v>1</v>
      </c>
      <c r="P140" s="20" t="b">
        <v>1</v>
      </c>
      <c r="Q140" s="20" t="b">
        <v>1</v>
      </c>
      <c r="R140" s="13" t="b">
        <v>1</v>
      </c>
      <c r="S140" s="13" t="b">
        <v>1</v>
      </c>
      <c r="T140" s="13" t="b">
        <v>1</v>
      </c>
      <c r="U140" s="13" t="b">
        <v>1</v>
      </c>
      <c r="V140" s="13" t="b">
        <v>1</v>
      </c>
      <c r="W140" s="13" t="b">
        <v>1</v>
      </c>
      <c r="X140" s="13" t="b">
        <v>1</v>
      </c>
      <c r="Y140" s="21" t="s">
        <v>182</v>
      </c>
      <c r="Z140" s="21" t="s">
        <v>901</v>
      </c>
      <c r="AA140" s="21" t="s">
        <v>902</v>
      </c>
      <c r="AB140" s="22"/>
      <c r="AC140" s="61"/>
      <c r="AD140" s="13"/>
      <c r="AE140" s="13" t="b">
        <v>1</v>
      </c>
      <c r="AF140" s="48">
        <v>45898</v>
      </c>
      <c r="AG140" s="26" t="s">
        <v>903</v>
      </c>
      <c r="AH140" s="27" t="b">
        <v>1</v>
      </c>
      <c r="AI140" s="28">
        <v>45931</v>
      </c>
      <c r="AJ140" s="29" t="s">
        <v>104</v>
      </c>
      <c r="AK140" s="27" t="b">
        <v>1</v>
      </c>
      <c r="AL140" s="40">
        <v>45967</v>
      </c>
      <c r="AM140" s="29" t="s">
        <v>590</v>
      </c>
      <c r="AN140" s="29"/>
      <c r="AO140" s="13"/>
      <c r="AP140" s="12"/>
      <c r="AQ140" s="16"/>
      <c r="AR140" s="32"/>
      <c r="AS140" s="33"/>
      <c r="AT140" s="32"/>
      <c r="AU140" s="33"/>
      <c r="AV140" s="34"/>
      <c r="AW140" s="33"/>
      <c r="AX140" s="37"/>
      <c r="AY140" s="38"/>
      <c r="AZ140" s="37"/>
      <c r="BA140" s="38"/>
      <c r="BB140" s="35" t="b">
        <v>1</v>
      </c>
      <c r="BC140" s="36">
        <f t="shared" si="58"/>
        <v>27229750</v>
      </c>
      <c r="BD140" s="41"/>
      <c r="BE140" s="36"/>
      <c r="BF140" s="41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5" t="b">
        <v>1</v>
      </c>
      <c r="BU140" s="36">
        <f>IF(MOD(H140,4)=0,H140/4,ROUNDDOWN(H140/4,0))</f>
        <v>27229750</v>
      </c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5" t="b">
        <v>1</v>
      </c>
      <c r="CK140" s="36">
        <f>IF(MOD(H140,4)=0,H140/4,ROUNDUP(H140/4,0))</f>
        <v>27229750</v>
      </c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</row>
    <row r="141" spans="1:101" ht="32.25" customHeight="1" x14ac:dyDescent="0.25">
      <c r="A141" s="12">
        <f t="shared" si="0"/>
        <v>140</v>
      </c>
      <c r="B141" s="13" t="s">
        <v>134</v>
      </c>
      <c r="C141" s="13" t="s">
        <v>731</v>
      </c>
      <c r="D141" s="14" t="s">
        <v>904</v>
      </c>
      <c r="E141" s="15" t="s">
        <v>905</v>
      </c>
      <c r="F141" s="15" t="s">
        <v>906</v>
      </c>
      <c r="G141" s="16">
        <v>68</v>
      </c>
      <c r="H141" s="17">
        <v>108919000</v>
      </c>
      <c r="I141" s="18"/>
      <c r="J141" s="18"/>
      <c r="K141" s="18"/>
      <c r="L141" s="18" t="s">
        <v>99</v>
      </c>
      <c r="M141" s="19">
        <v>17203</v>
      </c>
      <c r="N141" s="20" t="s">
        <v>100</v>
      </c>
      <c r="O141" s="13" t="b">
        <v>0</v>
      </c>
      <c r="P141" s="20" t="b">
        <v>0</v>
      </c>
      <c r="Q141" s="20" t="b">
        <v>0</v>
      </c>
      <c r="R141" s="13" t="b">
        <v>0</v>
      </c>
      <c r="S141" s="13" t="b">
        <v>0</v>
      </c>
      <c r="T141" s="13" t="b">
        <v>0</v>
      </c>
      <c r="U141" s="13" t="b">
        <v>0</v>
      </c>
      <c r="V141" s="13" t="b">
        <v>0</v>
      </c>
      <c r="W141" s="13" t="b">
        <v>0</v>
      </c>
      <c r="X141" s="13" t="b">
        <v>0</v>
      </c>
      <c r="Y141" s="21" t="s">
        <v>101</v>
      </c>
      <c r="Z141" s="21" t="s">
        <v>907</v>
      </c>
      <c r="AA141" s="21" t="s">
        <v>908</v>
      </c>
      <c r="AB141" s="22"/>
      <c r="AC141" s="13"/>
      <c r="AD141" s="13"/>
      <c r="AE141" s="13" t="b">
        <v>0</v>
      </c>
      <c r="AF141" s="48"/>
      <c r="AG141" s="26"/>
      <c r="AH141" s="39" t="b">
        <v>0</v>
      </c>
      <c r="AI141" s="28"/>
      <c r="AJ141" s="29"/>
      <c r="AK141" s="39" t="b">
        <v>0</v>
      </c>
      <c r="AL141" s="29"/>
      <c r="AM141" s="29"/>
      <c r="AN141" s="29"/>
      <c r="AO141" s="13"/>
      <c r="AP141" s="32"/>
      <c r="AQ141" s="33"/>
      <c r="AR141" s="32"/>
      <c r="AS141" s="33"/>
      <c r="AT141" s="32"/>
      <c r="AU141" s="33"/>
      <c r="AV141" s="34"/>
      <c r="AW141" s="16"/>
      <c r="AX141" s="37"/>
      <c r="AY141" s="38"/>
      <c r="AZ141" s="37"/>
      <c r="BA141" s="38"/>
      <c r="BB141" s="37"/>
      <c r="BC141" s="38"/>
      <c r="BD141" s="37"/>
      <c r="BE141" s="38"/>
      <c r="BF141" s="37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</row>
    <row r="142" spans="1:101" ht="32.25" customHeight="1" x14ac:dyDescent="0.25">
      <c r="A142" s="12">
        <f t="shared" si="0"/>
        <v>141</v>
      </c>
      <c r="B142" s="13" t="s">
        <v>134</v>
      </c>
      <c r="C142" s="13" t="s">
        <v>731</v>
      </c>
      <c r="D142" s="14" t="s">
        <v>909</v>
      </c>
      <c r="E142" s="15" t="s">
        <v>910</v>
      </c>
      <c r="F142" s="15" t="s">
        <v>911</v>
      </c>
      <c r="G142" s="16">
        <v>99</v>
      </c>
      <c r="H142" s="17">
        <v>158573250</v>
      </c>
      <c r="I142" s="18"/>
      <c r="J142" s="18"/>
      <c r="K142" s="18"/>
      <c r="L142" s="18" t="s">
        <v>99</v>
      </c>
      <c r="M142" s="19">
        <v>17204</v>
      </c>
      <c r="N142" s="20" t="s">
        <v>100</v>
      </c>
      <c r="O142" s="13" t="b">
        <v>1</v>
      </c>
      <c r="P142" s="20" t="b">
        <v>1</v>
      </c>
      <c r="Q142" s="20" t="b">
        <v>1</v>
      </c>
      <c r="R142" s="13" t="b">
        <v>1</v>
      </c>
      <c r="S142" s="13" t="b">
        <v>1</v>
      </c>
      <c r="T142" s="13" t="b">
        <v>1</v>
      </c>
      <c r="U142" s="13" t="b">
        <v>1</v>
      </c>
      <c r="V142" s="13" t="b">
        <v>1</v>
      </c>
      <c r="W142" s="13" t="b">
        <v>1</v>
      </c>
      <c r="X142" s="13" t="b">
        <v>1</v>
      </c>
      <c r="Y142" s="21" t="s">
        <v>101</v>
      </c>
      <c r="Z142" s="21" t="s">
        <v>912</v>
      </c>
      <c r="AA142" s="21" t="s">
        <v>913</v>
      </c>
      <c r="AB142" s="22"/>
      <c r="AC142" s="23"/>
      <c r="AD142" s="13"/>
      <c r="AE142" s="47" t="b">
        <v>1</v>
      </c>
      <c r="AF142" s="48">
        <v>45894</v>
      </c>
      <c r="AG142" s="26" t="s">
        <v>914</v>
      </c>
      <c r="AH142" s="27" t="b">
        <v>1</v>
      </c>
      <c r="AI142" s="28">
        <v>45946</v>
      </c>
      <c r="AJ142" s="49" t="s">
        <v>915</v>
      </c>
      <c r="AK142" s="39" t="b">
        <v>1</v>
      </c>
      <c r="AL142" s="40">
        <v>46003</v>
      </c>
      <c r="AM142" s="29" t="s">
        <v>485</v>
      </c>
      <c r="AN142" s="29"/>
      <c r="AO142" s="13"/>
      <c r="AP142" s="12"/>
      <c r="AQ142" s="16"/>
      <c r="AR142" s="32"/>
      <c r="AS142" s="33"/>
      <c r="AT142" s="32"/>
      <c r="AU142" s="33"/>
      <c r="AV142" s="34"/>
      <c r="AW142" s="33"/>
      <c r="AX142" s="37"/>
      <c r="AY142" s="38"/>
      <c r="AZ142" s="35" t="b">
        <v>1</v>
      </c>
      <c r="BA142" s="36">
        <f>IF(MOD(H142,4)=0,H142/4,ROUNDUP(H142/4,0))</f>
        <v>39643313</v>
      </c>
      <c r="BB142" s="41"/>
      <c r="BC142" s="36"/>
      <c r="BD142" s="41"/>
      <c r="BE142" s="36"/>
      <c r="BF142" s="41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41"/>
      <c r="BU142" s="41"/>
      <c r="BV142" s="35" t="b">
        <v>1</v>
      </c>
      <c r="BW142" s="41">
        <f>IF(MOD(H142,4)=0,H142/4,ROUNDDOWN(H142/4,0))</f>
        <v>39643312</v>
      </c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12" t="b">
        <v>1</v>
      </c>
      <c r="CS142" s="36">
        <f>IF(MOD(H142,4)=0,H142/4,ROUNDUP(H142/4,0))</f>
        <v>39643313</v>
      </c>
      <c r="CT142" s="36"/>
      <c r="CU142" s="36"/>
      <c r="CV142" s="36"/>
      <c r="CW142" s="36"/>
    </row>
    <row r="143" spans="1:101" ht="32.25" customHeight="1" x14ac:dyDescent="0.25">
      <c r="A143" s="12">
        <f t="shared" si="0"/>
        <v>142</v>
      </c>
      <c r="B143" s="13" t="s">
        <v>134</v>
      </c>
      <c r="C143" s="13" t="s">
        <v>731</v>
      </c>
      <c r="D143" s="14" t="s">
        <v>916</v>
      </c>
      <c r="E143" s="15" t="s">
        <v>917</v>
      </c>
      <c r="F143" s="15" t="s">
        <v>918</v>
      </c>
      <c r="G143" s="16">
        <v>21</v>
      </c>
      <c r="H143" s="17">
        <v>33636750</v>
      </c>
      <c r="I143" s="18"/>
      <c r="J143" s="18"/>
      <c r="K143" s="18"/>
      <c r="L143" s="18" t="s">
        <v>99</v>
      </c>
      <c r="M143" s="19">
        <v>17205</v>
      </c>
      <c r="N143" s="20" t="s">
        <v>100</v>
      </c>
      <c r="O143" s="13" t="b">
        <v>0</v>
      </c>
      <c r="P143" s="20" t="b">
        <v>0</v>
      </c>
      <c r="Q143" s="20" t="b">
        <v>0</v>
      </c>
      <c r="R143" s="13" t="b">
        <v>0</v>
      </c>
      <c r="S143" s="13" t="b">
        <v>0</v>
      </c>
      <c r="T143" s="13" t="b">
        <v>0</v>
      </c>
      <c r="U143" s="13" t="b">
        <v>0</v>
      </c>
      <c r="V143" s="13" t="b">
        <v>0</v>
      </c>
      <c r="W143" s="13" t="b">
        <v>0</v>
      </c>
      <c r="X143" s="13" t="b">
        <v>0</v>
      </c>
      <c r="Y143" s="21"/>
      <c r="Z143" s="21"/>
      <c r="AA143" s="21"/>
      <c r="AB143" s="15"/>
      <c r="AC143" s="13"/>
      <c r="AD143" s="13"/>
      <c r="AE143" s="13" t="b">
        <v>0</v>
      </c>
      <c r="AF143" s="48"/>
      <c r="AG143" s="26"/>
      <c r="AH143" s="39" t="b">
        <v>0</v>
      </c>
      <c r="AI143" s="28"/>
      <c r="AJ143" s="29"/>
      <c r="AK143" s="39" t="b">
        <v>0</v>
      </c>
      <c r="AL143" s="29"/>
      <c r="AM143" s="29"/>
      <c r="AN143" s="29"/>
      <c r="AO143" s="13"/>
      <c r="AP143" s="32"/>
      <c r="AQ143" s="33"/>
      <c r="AR143" s="32"/>
      <c r="AS143" s="33"/>
      <c r="AT143" s="32"/>
      <c r="AU143" s="33"/>
      <c r="AV143" s="34"/>
      <c r="AW143" s="33"/>
      <c r="AX143" s="37"/>
      <c r="AY143" s="38"/>
      <c r="AZ143" s="37"/>
      <c r="BA143" s="38"/>
      <c r="BB143" s="37"/>
      <c r="BC143" s="38"/>
      <c r="BD143" s="37"/>
      <c r="BE143" s="38"/>
      <c r="BF143" s="37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</row>
    <row r="144" spans="1:101" ht="32.25" customHeight="1" x14ac:dyDescent="0.25">
      <c r="A144" s="12">
        <f t="shared" si="0"/>
        <v>143</v>
      </c>
      <c r="B144" s="13" t="s">
        <v>134</v>
      </c>
      <c r="C144" s="13" t="s">
        <v>731</v>
      </c>
      <c r="D144" s="14" t="s">
        <v>919</v>
      </c>
      <c r="E144" s="15" t="s">
        <v>920</v>
      </c>
      <c r="F144" s="15" t="s">
        <v>921</v>
      </c>
      <c r="G144" s="16">
        <v>69</v>
      </c>
      <c r="H144" s="17">
        <v>110520750</v>
      </c>
      <c r="I144" s="18"/>
      <c r="J144" s="18"/>
      <c r="K144" s="18"/>
      <c r="L144" s="18" t="s">
        <v>99</v>
      </c>
      <c r="M144" s="19">
        <v>17206</v>
      </c>
      <c r="N144" s="20" t="s">
        <v>100</v>
      </c>
      <c r="O144" s="13" t="b">
        <v>0</v>
      </c>
      <c r="P144" s="20" t="b">
        <v>1</v>
      </c>
      <c r="Q144" s="20" t="b">
        <v>1</v>
      </c>
      <c r="R144" s="13" t="b">
        <v>1</v>
      </c>
      <c r="S144" s="13" t="b">
        <v>1</v>
      </c>
      <c r="T144" s="13" t="b">
        <v>1</v>
      </c>
      <c r="U144" s="13" t="b">
        <v>1</v>
      </c>
      <c r="V144" s="13" t="b">
        <v>1</v>
      </c>
      <c r="W144" s="13" t="b">
        <v>1</v>
      </c>
      <c r="X144" s="13" t="b">
        <v>1</v>
      </c>
      <c r="Y144" s="21" t="s">
        <v>101</v>
      </c>
      <c r="Z144" s="21" t="s">
        <v>922</v>
      </c>
      <c r="AA144" s="21" t="s">
        <v>920</v>
      </c>
      <c r="AB144" s="22"/>
      <c r="AC144" s="13"/>
      <c r="AD144" s="13"/>
      <c r="AE144" s="13" t="b">
        <v>1</v>
      </c>
      <c r="AF144" s="48">
        <v>45925</v>
      </c>
      <c r="AG144" s="62" t="s">
        <v>104</v>
      </c>
      <c r="AH144" s="27" t="b">
        <v>1</v>
      </c>
      <c r="AI144" s="28">
        <v>45967</v>
      </c>
      <c r="AJ144" s="29" t="s">
        <v>104</v>
      </c>
      <c r="AK144" s="39" t="b">
        <v>1</v>
      </c>
      <c r="AL144" s="40">
        <v>46008</v>
      </c>
      <c r="AM144" s="29" t="s">
        <v>104</v>
      </c>
      <c r="AN144" s="29"/>
      <c r="AO144" s="13"/>
      <c r="AP144" s="32"/>
      <c r="AQ144" s="33"/>
      <c r="AR144" s="12"/>
      <c r="AS144" s="33"/>
      <c r="AT144" s="32"/>
      <c r="AU144" s="33"/>
      <c r="AV144" s="34"/>
      <c r="AW144" s="33"/>
      <c r="AX144" s="37"/>
      <c r="AY144" s="38"/>
      <c r="AZ144" s="37"/>
      <c r="BA144" s="38"/>
      <c r="BB144" s="37"/>
      <c r="BC144" s="38"/>
      <c r="BD144" s="42" t="b">
        <v>1</v>
      </c>
      <c r="BE144" s="36">
        <f t="shared" ref="BE144:BE145" si="59">IF(MOD(H144,4)=0,H144/4,ROUNDUP(H144/4,0))</f>
        <v>27630188</v>
      </c>
      <c r="BF144" s="41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41"/>
      <c r="BU144" s="41"/>
      <c r="BV144" s="41"/>
      <c r="BW144" s="41"/>
      <c r="BX144" s="42" t="b">
        <v>1</v>
      </c>
      <c r="BY144" s="41">
        <f>IF(MOD(H144,4)=0,H144/4,ROUNDDOWN(H144/4,0))</f>
        <v>27630187</v>
      </c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12" t="b">
        <v>1</v>
      </c>
      <c r="CS144" s="36">
        <f>IF(MOD(H144,4)=0,H144/4,ROUNDUP(H144/4,0))</f>
        <v>27630188</v>
      </c>
      <c r="CT144" s="36"/>
      <c r="CU144" s="36"/>
      <c r="CV144" s="36"/>
      <c r="CW144" s="36"/>
    </row>
    <row r="145" spans="1:101" ht="32.25" customHeight="1" x14ac:dyDescent="0.25">
      <c r="A145" s="12">
        <f t="shared" si="0"/>
        <v>144</v>
      </c>
      <c r="B145" s="13" t="s">
        <v>134</v>
      </c>
      <c r="C145" s="13" t="s">
        <v>731</v>
      </c>
      <c r="D145" s="14" t="s">
        <v>923</v>
      </c>
      <c r="E145" s="15" t="s">
        <v>924</v>
      </c>
      <c r="F145" s="15" t="s">
        <v>925</v>
      </c>
      <c r="G145" s="16">
        <v>265</v>
      </c>
      <c r="H145" s="17">
        <v>424463750</v>
      </c>
      <c r="I145" s="18"/>
      <c r="J145" s="18"/>
      <c r="K145" s="18"/>
      <c r="L145" s="18" t="s">
        <v>99</v>
      </c>
      <c r="M145" s="19">
        <v>17207</v>
      </c>
      <c r="N145" s="20" t="s">
        <v>100</v>
      </c>
      <c r="O145" s="13" t="b">
        <v>1</v>
      </c>
      <c r="P145" s="20" t="b">
        <v>1</v>
      </c>
      <c r="Q145" s="20" t="b">
        <v>1</v>
      </c>
      <c r="R145" s="13" t="b">
        <v>1</v>
      </c>
      <c r="S145" s="13" t="b">
        <v>1</v>
      </c>
      <c r="T145" s="13" t="b">
        <v>1</v>
      </c>
      <c r="U145" s="13" t="b">
        <v>1</v>
      </c>
      <c r="V145" s="13" t="b">
        <v>1</v>
      </c>
      <c r="W145" s="13" t="b">
        <v>1</v>
      </c>
      <c r="X145" s="13" t="b">
        <v>1</v>
      </c>
      <c r="Y145" s="21" t="s">
        <v>101</v>
      </c>
      <c r="Z145" s="21" t="s">
        <v>926</v>
      </c>
      <c r="AA145" s="21" t="s">
        <v>927</v>
      </c>
      <c r="AB145" s="22"/>
      <c r="AC145" s="23"/>
      <c r="AD145" s="13"/>
      <c r="AE145" s="13" t="b">
        <v>1</v>
      </c>
      <c r="AF145" s="48">
        <v>45917</v>
      </c>
      <c r="AG145" s="26" t="s">
        <v>104</v>
      </c>
      <c r="AH145" s="39" t="b">
        <v>1</v>
      </c>
      <c r="AI145" s="28">
        <v>46001</v>
      </c>
      <c r="AJ145" s="29" t="s">
        <v>104</v>
      </c>
      <c r="AK145" s="39" t="b">
        <v>1</v>
      </c>
      <c r="AL145" s="40">
        <v>46013</v>
      </c>
      <c r="AM145" s="29" t="s">
        <v>104</v>
      </c>
      <c r="AN145" s="29"/>
      <c r="AO145" s="13"/>
      <c r="AP145" s="12"/>
      <c r="AQ145" s="16"/>
      <c r="AR145" s="32"/>
      <c r="AS145" s="33"/>
      <c r="AT145" s="32"/>
      <c r="AU145" s="33"/>
      <c r="AV145" s="34"/>
      <c r="AW145" s="33"/>
      <c r="AX145" s="37"/>
      <c r="AY145" s="38"/>
      <c r="AZ145" s="37"/>
      <c r="BA145" s="38"/>
      <c r="BB145" s="37"/>
      <c r="BC145" s="38"/>
      <c r="BD145" s="42" t="b">
        <v>1</v>
      </c>
      <c r="BE145" s="36">
        <f t="shared" si="59"/>
        <v>106115938</v>
      </c>
      <c r="BF145" s="41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37" t="b">
        <v>1</v>
      </c>
      <c r="CE145" s="38">
        <f>IF(MOD(H145,4)=0,H145/4,ROUNDDOWN(H145/4,0))</f>
        <v>106115937</v>
      </c>
      <c r="CF145" s="38"/>
      <c r="CG145" s="38"/>
      <c r="CH145" s="38"/>
      <c r="CI145" s="38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37" t="b">
        <v>1</v>
      </c>
      <c r="CU145" s="38">
        <f>IF(MOD(H145,4)=0,H145/4,ROUNDUP(H145/4,0))</f>
        <v>106115938</v>
      </c>
      <c r="CV145" s="38"/>
      <c r="CW145" s="38"/>
    </row>
    <row r="146" spans="1:101" ht="32.25" customHeight="1" x14ac:dyDescent="0.25">
      <c r="A146" s="12">
        <f t="shared" si="0"/>
        <v>145</v>
      </c>
      <c r="B146" s="13" t="s">
        <v>134</v>
      </c>
      <c r="C146" s="13" t="s">
        <v>731</v>
      </c>
      <c r="D146" s="14" t="s">
        <v>928</v>
      </c>
      <c r="E146" s="15" t="s">
        <v>929</v>
      </c>
      <c r="F146" s="15" t="s">
        <v>930</v>
      </c>
      <c r="G146" s="16">
        <v>74</v>
      </c>
      <c r="H146" s="17">
        <v>118529500</v>
      </c>
      <c r="I146" s="18"/>
      <c r="J146" s="18"/>
      <c r="K146" s="18"/>
      <c r="L146" s="18" t="s">
        <v>99</v>
      </c>
      <c r="M146" s="19">
        <v>17208</v>
      </c>
      <c r="N146" s="20" t="s">
        <v>100</v>
      </c>
      <c r="O146" s="13" t="b">
        <v>1</v>
      </c>
      <c r="P146" s="20" t="b">
        <v>1</v>
      </c>
      <c r="Q146" s="20" t="b">
        <v>1</v>
      </c>
      <c r="R146" s="13" t="b">
        <v>1</v>
      </c>
      <c r="S146" s="13" t="b">
        <v>1</v>
      </c>
      <c r="T146" s="13" t="b">
        <v>1</v>
      </c>
      <c r="U146" s="13" t="b">
        <v>1</v>
      </c>
      <c r="V146" s="13" t="b">
        <v>1</v>
      </c>
      <c r="W146" s="13" t="b">
        <v>1</v>
      </c>
      <c r="X146" s="13" t="b">
        <v>1</v>
      </c>
      <c r="Y146" s="21" t="s">
        <v>101</v>
      </c>
      <c r="Z146" s="21" t="s">
        <v>931</v>
      </c>
      <c r="AA146" s="21" t="s">
        <v>932</v>
      </c>
      <c r="AB146" s="22"/>
      <c r="AC146" s="23"/>
      <c r="AD146" s="13"/>
      <c r="AE146" s="47" t="b">
        <v>1</v>
      </c>
      <c r="AF146" s="48">
        <v>45915</v>
      </c>
      <c r="AG146" s="26" t="s">
        <v>104</v>
      </c>
      <c r="AH146" s="27" t="b">
        <v>1</v>
      </c>
      <c r="AI146" s="28">
        <v>45953</v>
      </c>
      <c r="AJ146" s="49" t="s">
        <v>590</v>
      </c>
      <c r="AK146" s="27" t="b">
        <v>1</v>
      </c>
      <c r="AL146" s="40">
        <v>45992</v>
      </c>
      <c r="AM146" s="29" t="s">
        <v>104</v>
      </c>
      <c r="AN146" s="29"/>
      <c r="AO146" s="13"/>
      <c r="AP146" s="12"/>
      <c r="AQ146" s="16"/>
      <c r="AR146" s="32"/>
      <c r="AS146" s="33"/>
      <c r="AT146" s="32"/>
      <c r="AU146" s="33"/>
      <c r="AV146" s="34"/>
      <c r="AW146" s="33"/>
      <c r="AX146" s="37"/>
      <c r="AY146" s="38"/>
      <c r="AZ146" s="37"/>
      <c r="BA146" s="38"/>
      <c r="BB146" s="35" t="b">
        <v>1</v>
      </c>
      <c r="BC146" s="36">
        <f>IF(MOD(H146,4)=0,H146/4,ROUNDUP(H146/4,0))</f>
        <v>29632375</v>
      </c>
      <c r="BD146" s="41"/>
      <c r="BE146" s="36"/>
      <c r="BF146" s="41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41"/>
      <c r="BU146" s="41"/>
      <c r="BV146" s="35" t="b">
        <v>1</v>
      </c>
      <c r="BW146" s="41">
        <f>IF(MOD(H146,4)=0,H146/4,ROUNDDOWN(H146/4,0))</f>
        <v>29632375</v>
      </c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35" t="b">
        <v>1</v>
      </c>
      <c r="CO146" s="36">
        <f>IF(MOD(H146,4)=0,H146/4,ROUNDUP(H146/4,0))</f>
        <v>29632375</v>
      </c>
      <c r="CP146" s="36"/>
      <c r="CQ146" s="36"/>
      <c r="CR146" s="36"/>
      <c r="CS146" s="36"/>
      <c r="CT146" s="36"/>
      <c r="CU146" s="36"/>
      <c r="CV146" s="36"/>
      <c r="CW146" s="36"/>
    </row>
    <row r="147" spans="1:101" ht="32.25" customHeight="1" x14ac:dyDescent="0.25">
      <c r="A147" s="12">
        <f t="shared" si="0"/>
        <v>146</v>
      </c>
      <c r="B147" s="13" t="s">
        <v>134</v>
      </c>
      <c r="C147" s="13" t="s">
        <v>731</v>
      </c>
      <c r="D147" s="14" t="s">
        <v>933</v>
      </c>
      <c r="E147" s="15" t="s">
        <v>934</v>
      </c>
      <c r="F147" s="15" t="s">
        <v>935</v>
      </c>
      <c r="G147" s="16">
        <v>122</v>
      </c>
      <c r="H147" s="17">
        <v>195413500</v>
      </c>
      <c r="I147" s="18"/>
      <c r="J147" s="18"/>
      <c r="K147" s="18"/>
      <c r="L147" s="18" t="s">
        <v>99</v>
      </c>
      <c r="M147" s="19">
        <v>17209</v>
      </c>
      <c r="N147" s="20" t="s">
        <v>100</v>
      </c>
      <c r="O147" s="13" t="b">
        <v>1</v>
      </c>
      <c r="P147" s="20" t="b">
        <v>1</v>
      </c>
      <c r="Q147" s="20" t="b">
        <v>1</v>
      </c>
      <c r="R147" s="13" t="b">
        <v>1</v>
      </c>
      <c r="S147" s="13" t="b">
        <v>1</v>
      </c>
      <c r="T147" s="13" t="b">
        <v>1</v>
      </c>
      <c r="U147" s="13" t="b">
        <v>1</v>
      </c>
      <c r="V147" s="13" t="b">
        <v>1</v>
      </c>
      <c r="W147" s="13" t="b">
        <v>1</v>
      </c>
      <c r="X147" s="13" t="b">
        <v>1</v>
      </c>
      <c r="Y147" s="21" t="s">
        <v>101</v>
      </c>
      <c r="Z147" s="21" t="s">
        <v>936</v>
      </c>
      <c r="AA147" s="21" t="s">
        <v>937</v>
      </c>
      <c r="AB147" s="22"/>
      <c r="AC147" s="13"/>
      <c r="AD147" s="21"/>
      <c r="AE147" s="13" t="b">
        <v>1</v>
      </c>
      <c r="AF147" s="52">
        <v>45953</v>
      </c>
      <c r="AG147" s="26" t="s">
        <v>938</v>
      </c>
      <c r="AH147" s="39" t="b">
        <v>1</v>
      </c>
      <c r="AI147" s="28">
        <v>45996</v>
      </c>
      <c r="AJ147" s="29" t="s">
        <v>939</v>
      </c>
      <c r="AK147" s="39" t="b">
        <v>1</v>
      </c>
      <c r="AL147" s="40">
        <v>46013</v>
      </c>
      <c r="AM147" s="29" t="s">
        <v>104</v>
      </c>
      <c r="AN147" s="29"/>
      <c r="AO147" s="13"/>
      <c r="AP147" s="12"/>
      <c r="AQ147" s="16"/>
      <c r="AR147" s="12"/>
      <c r="AS147" s="33"/>
      <c r="AT147" s="32"/>
      <c r="AU147" s="33"/>
      <c r="AV147" s="34"/>
      <c r="AW147" s="33"/>
      <c r="AX147" s="37"/>
      <c r="AY147" s="38"/>
      <c r="AZ147" s="37"/>
      <c r="BA147" s="38"/>
      <c r="BB147" s="37"/>
      <c r="BC147" s="38"/>
      <c r="BD147" s="37"/>
      <c r="BE147" s="38"/>
      <c r="BF147" s="37"/>
      <c r="BG147" s="38"/>
      <c r="BH147" s="42" t="b">
        <v>1</v>
      </c>
      <c r="BI147" s="38">
        <f>IF(MOD(H147,4)=0,H147/4,ROUNDUP(H147/4,0))</f>
        <v>48853375</v>
      </c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 t="b">
        <v>1</v>
      </c>
      <c r="CE147" s="38">
        <f>IF(MOD(H147,4)=0,H147/4,ROUNDDOWN(H147/4,0))</f>
        <v>48853375</v>
      </c>
      <c r="CF147" s="38"/>
      <c r="CG147" s="38"/>
      <c r="CH147" s="38"/>
      <c r="CI147" s="38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 t="b">
        <v>1</v>
      </c>
      <c r="CU147" s="38">
        <f t="shared" ref="CU147:CU148" si="60">IF(MOD(H147,4)=0,H147/4,ROUNDUP(H147/4,0))</f>
        <v>48853375</v>
      </c>
      <c r="CV147" s="38"/>
      <c r="CW147" s="38"/>
    </row>
    <row r="148" spans="1:101" ht="32.25" customHeight="1" x14ac:dyDescent="0.25">
      <c r="A148" s="12">
        <f t="shared" si="0"/>
        <v>147</v>
      </c>
      <c r="B148" s="13" t="s">
        <v>134</v>
      </c>
      <c r="C148" s="13" t="s">
        <v>731</v>
      </c>
      <c r="D148" s="14" t="s">
        <v>940</v>
      </c>
      <c r="E148" s="15" t="s">
        <v>941</v>
      </c>
      <c r="F148" s="15" t="s">
        <v>942</v>
      </c>
      <c r="G148" s="16">
        <v>59</v>
      </c>
      <c r="H148" s="17">
        <v>94503250</v>
      </c>
      <c r="I148" s="18"/>
      <c r="J148" s="18"/>
      <c r="K148" s="18"/>
      <c r="L148" s="18" t="s">
        <v>99</v>
      </c>
      <c r="M148" s="19">
        <v>17210</v>
      </c>
      <c r="N148" s="20" t="s">
        <v>100</v>
      </c>
      <c r="O148" s="13" t="b">
        <v>1</v>
      </c>
      <c r="P148" s="20" t="b">
        <v>1</v>
      </c>
      <c r="Q148" s="20" t="b">
        <v>1</v>
      </c>
      <c r="R148" s="13" t="b">
        <v>1</v>
      </c>
      <c r="S148" s="13" t="b">
        <v>1</v>
      </c>
      <c r="T148" s="13" t="b">
        <v>1</v>
      </c>
      <c r="U148" s="13" t="b">
        <v>1</v>
      </c>
      <c r="V148" s="13" t="b">
        <v>1</v>
      </c>
      <c r="W148" s="13" t="b">
        <v>1</v>
      </c>
      <c r="X148" s="13" t="b">
        <v>1</v>
      </c>
      <c r="Y148" s="21" t="s">
        <v>101</v>
      </c>
      <c r="Z148" s="21" t="s">
        <v>943</v>
      </c>
      <c r="AA148" s="21" t="s">
        <v>944</v>
      </c>
      <c r="AB148" s="22"/>
      <c r="AC148" s="23"/>
      <c r="AD148" s="13"/>
      <c r="AE148" s="13" t="b">
        <v>1</v>
      </c>
      <c r="AF148" s="48">
        <v>45929</v>
      </c>
      <c r="AG148" s="26" t="s">
        <v>419</v>
      </c>
      <c r="AH148" s="27" t="b">
        <v>1</v>
      </c>
      <c r="AI148" s="28">
        <v>45966</v>
      </c>
      <c r="AJ148" s="29" t="s">
        <v>104</v>
      </c>
      <c r="AK148" s="39" t="b">
        <v>1</v>
      </c>
      <c r="AL148" s="40">
        <v>46020</v>
      </c>
      <c r="AM148" s="29" t="s">
        <v>104</v>
      </c>
      <c r="AN148" s="29"/>
      <c r="AO148" s="13"/>
      <c r="AP148" s="12"/>
      <c r="AQ148" s="16"/>
      <c r="AR148" s="32"/>
      <c r="AS148" s="33"/>
      <c r="AT148" s="32"/>
      <c r="AU148" s="33"/>
      <c r="AV148" s="34"/>
      <c r="AW148" s="33"/>
      <c r="AX148" s="37"/>
      <c r="AY148" s="38"/>
      <c r="AZ148" s="37"/>
      <c r="BA148" s="38"/>
      <c r="BB148" s="37"/>
      <c r="BC148" s="38"/>
      <c r="BD148" s="42" t="b">
        <v>1</v>
      </c>
      <c r="BE148" s="36">
        <f>IF(MOD(H148,4)=0,H148/4,ROUNDUP(H148/4,0))</f>
        <v>23625813</v>
      </c>
      <c r="BF148" s="41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41"/>
      <c r="BU148" s="41"/>
      <c r="BV148" s="41"/>
      <c r="BW148" s="41"/>
      <c r="BX148" s="42" t="b">
        <v>1</v>
      </c>
      <c r="BY148" s="41">
        <f t="shared" ref="BY148:BY149" si="61">IF(MOD(H148,4)=0,H148/4,ROUNDDOWN(H148/4,0))</f>
        <v>23625812</v>
      </c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37" t="b">
        <v>1</v>
      </c>
      <c r="CU148" s="38">
        <f t="shared" si="60"/>
        <v>23625813</v>
      </c>
      <c r="CV148" s="38"/>
      <c r="CW148" s="38"/>
    </row>
    <row r="149" spans="1:101" ht="32.25" customHeight="1" x14ac:dyDescent="0.25">
      <c r="A149" s="12">
        <f t="shared" si="0"/>
        <v>148</v>
      </c>
      <c r="B149" s="13" t="s">
        <v>134</v>
      </c>
      <c r="C149" s="13" t="s">
        <v>731</v>
      </c>
      <c r="D149" s="14" t="s">
        <v>945</v>
      </c>
      <c r="E149" s="15" t="s">
        <v>946</v>
      </c>
      <c r="F149" s="15" t="s">
        <v>947</v>
      </c>
      <c r="G149" s="16">
        <v>57</v>
      </c>
      <c r="H149" s="17">
        <v>91299750</v>
      </c>
      <c r="I149" s="18"/>
      <c r="J149" s="18"/>
      <c r="K149" s="18"/>
      <c r="L149" s="18" t="s">
        <v>99</v>
      </c>
      <c r="M149" s="19">
        <v>17211</v>
      </c>
      <c r="N149" s="20" t="s">
        <v>100</v>
      </c>
      <c r="O149" s="13" t="b">
        <v>1</v>
      </c>
      <c r="P149" s="20" t="b">
        <v>1</v>
      </c>
      <c r="Q149" s="20" t="b">
        <v>1</v>
      </c>
      <c r="R149" s="13" t="b">
        <v>1</v>
      </c>
      <c r="S149" s="13" t="b">
        <v>1</v>
      </c>
      <c r="T149" s="13" t="b">
        <v>1</v>
      </c>
      <c r="U149" s="13" t="b">
        <v>1</v>
      </c>
      <c r="V149" s="13" t="b">
        <v>1</v>
      </c>
      <c r="W149" s="13" t="b">
        <v>1</v>
      </c>
      <c r="X149" s="13" t="b">
        <v>1</v>
      </c>
      <c r="Y149" s="21" t="s">
        <v>101</v>
      </c>
      <c r="Z149" s="21" t="s">
        <v>948</v>
      </c>
      <c r="AA149" s="21" t="s">
        <v>949</v>
      </c>
      <c r="AB149" s="22"/>
      <c r="AC149" s="13"/>
      <c r="AD149" s="13"/>
      <c r="AE149" s="13" t="b">
        <v>1</v>
      </c>
      <c r="AF149" s="48">
        <v>45902</v>
      </c>
      <c r="AG149" s="26" t="s">
        <v>104</v>
      </c>
      <c r="AH149" s="39" t="b">
        <v>1</v>
      </c>
      <c r="AI149" s="28">
        <v>45974</v>
      </c>
      <c r="AJ149" s="29" t="s">
        <v>950</v>
      </c>
      <c r="AK149" s="39" t="b">
        <v>1</v>
      </c>
      <c r="AL149" s="40">
        <v>46008</v>
      </c>
      <c r="AM149" s="29" t="s">
        <v>104</v>
      </c>
      <c r="AN149" s="29"/>
      <c r="AO149" s="13"/>
      <c r="AP149" s="12"/>
      <c r="AQ149" s="16"/>
      <c r="AR149" s="32"/>
      <c r="AS149" s="33"/>
      <c r="AT149" s="32"/>
      <c r="AU149" s="33"/>
      <c r="AV149" s="34"/>
      <c r="AW149" s="33"/>
      <c r="AX149" s="37"/>
      <c r="AY149" s="38"/>
      <c r="AZ149" s="37"/>
      <c r="BA149" s="38"/>
      <c r="BB149" s="35" t="b">
        <v>1</v>
      </c>
      <c r="BC149" s="36">
        <f t="shared" ref="BC149:BC150" si="62">IF(MOD(H149,4)=0,H149/4,ROUNDUP(H149/4,0))</f>
        <v>22824938</v>
      </c>
      <c r="BD149" s="41"/>
      <c r="BE149" s="36"/>
      <c r="BF149" s="41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41"/>
      <c r="BU149" s="41"/>
      <c r="BV149" s="41"/>
      <c r="BW149" s="41"/>
      <c r="BX149" s="42" t="b">
        <v>1</v>
      </c>
      <c r="BY149" s="41">
        <f t="shared" si="61"/>
        <v>22824937</v>
      </c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12" t="b">
        <v>1</v>
      </c>
      <c r="CS149" s="36">
        <f>IF(MOD(H149,4)=0,H149/4,ROUNDUP(H149/4,0))</f>
        <v>22824938</v>
      </c>
      <c r="CT149" s="36"/>
      <c r="CU149" s="36"/>
      <c r="CV149" s="36"/>
      <c r="CW149" s="36"/>
    </row>
    <row r="150" spans="1:101" ht="32.25" customHeight="1" x14ac:dyDescent="0.25">
      <c r="A150" s="12">
        <f t="shared" si="0"/>
        <v>149</v>
      </c>
      <c r="B150" s="13" t="s">
        <v>134</v>
      </c>
      <c r="C150" s="13" t="s">
        <v>731</v>
      </c>
      <c r="D150" s="14" t="s">
        <v>951</v>
      </c>
      <c r="E150" s="15" t="s">
        <v>952</v>
      </c>
      <c r="F150" s="15" t="s">
        <v>953</v>
      </c>
      <c r="G150" s="16">
        <v>59</v>
      </c>
      <c r="H150" s="17">
        <v>94503250</v>
      </c>
      <c r="I150" s="18"/>
      <c r="J150" s="18"/>
      <c r="K150" s="18"/>
      <c r="L150" s="18" t="s">
        <v>99</v>
      </c>
      <c r="M150" s="19">
        <v>17212</v>
      </c>
      <c r="N150" s="20" t="s">
        <v>100</v>
      </c>
      <c r="O150" s="13" t="b">
        <v>1</v>
      </c>
      <c r="P150" s="20" t="b">
        <v>1</v>
      </c>
      <c r="Q150" s="20" t="b">
        <v>1</v>
      </c>
      <c r="R150" s="13" t="b">
        <v>1</v>
      </c>
      <c r="S150" s="13" t="b">
        <v>1</v>
      </c>
      <c r="T150" s="13" t="b">
        <v>1</v>
      </c>
      <c r="U150" s="13" t="b">
        <v>1</v>
      </c>
      <c r="V150" s="13" t="b">
        <v>1</v>
      </c>
      <c r="W150" s="13" t="b">
        <v>1</v>
      </c>
      <c r="X150" s="13" t="b">
        <v>1</v>
      </c>
      <c r="Y150" s="21" t="s">
        <v>182</v>
      </c>
      <c r="Z150" s="21" t="s">
        <v>954</v>
      </c>
      <c r="AA150" s="21" t="s">
        <v>955</v>
      </c>
      <c r="AB150" s="22"/>
      <c r="AC150" s="61"/>
      <c r="AD150" s="13"/>
      <c r="AE150" s="13" t="b">
        <v>1</v>
      </c>
      <c r="AF150" s="48">
        <v>45898</v>
      </c>
      <c r="AG150" s="26" t="s">
        <v>104</v>
      </c>
      <c r="AH150" s="27" t="b">
        <v>1</v>
      </c>
      <c r="AI150" s="28">
        <v>45931</v>
      </c>
      <c r="AJ150" s="29" t="s">
        <v>104</v>
      </c>
      <c r="AK150" s="27" t="b">
        <v>1</v>
      </c>
      <c r="AL150" s="40">
        <v>45967</v>
      </c>
      <c r="AM150" s="29" t="s">
        <v>104</v>
      </c>
      <c r="AN150" s="29"/>
      <c r="AO150" s="13"/>
      <c r="AP150" s="12"/>
      <c r="AQ150" s="16"/>
      <c r="AR150" s="32"/>
      <c r="AS150" s="33"/>
      <c r="AT150" s="32"/>
      <c r="AU150" s="33"/>
      <c r="AV150" s="34"/>
      <c r="AW150" s="33"/>
      <c r="AX150" s="37"/>
      <c r="AY150" s="38"/>
      <c r="AZ150" s="37"/>
      <c r="BA150" s="38"/>
      <c r="BB150" s="35" t="b">
        <v>1</v>
      </c>
      <c r="BC150" s="36">
        <f t="shared" si="62"/>
        <v>23625813</v>
      </c>
      <c r="BD150" s="41"/>
      <c r="BE150" s="36"/>
      <c r="BF150" s="41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5" t="b">
        <v>1</v>
      </c>
      <c r="BU150" s="36">
        <f>IF(MOD(H150,4)=0,H150/4,ROUNDDOWN(H150/4,0))</f>
        <v>23625812</v>
      </c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5" t="b">
        <v>1</v>
      </c>
      <c r="CK150" s="36">
        <f>IF(MOD(H150,4)=0,H150/4,ROUNDUP(H150/4,0))</f>
        <v>23625813</v>
      </c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</row>
    <row r="151" spans="1:101" ht="32.25" customHeight="1" x14ac:dyDescent="0.25">
      <c r="A151" s="12">
        <f t="shared" si="0"/>
        <v>150</v>
      </c>
      <c r="B151" s="13" t="s">
        <v>134</v>
      </c>
      <c r="C151" s="13" t="s">
        <v>731</v>
      </c>
      <c r="D151" s="14" t="s">
        <v>956</v>
      </c>
      <c r="E151" s="15" t="s">
        <v>957</v>
      </c>
      <c r="F151" s="15" t="s">
        <v>958</v>
      </c>
      <c r="G151" s="16">
        <v>81</v>
      </c>
      <c r="H151" s="17">
        <v>129741750</v>
      </c>
      <c r="I151" s="18"/>
      <c r="J151" s="18"/>
      <c r="K151" s="18"/>
      <c r="L151" s="18" t="s">
        <v>99</v>
      </c>
      <c r="M151" s="19">
        <v>17213</v>
      </c>
      <c r="N151" s="20" t="s">
        <v>100</v>
      </c>
      <c r="O151" s="13" t="b">
        <v>1</v>
      </c>
      <c r="P151" s="20" t="b">
        <v>1</v>
      </c>
      <c r="Q151" s="20" t="b">
        <v>1</v>
      </c>
      <c r="R151" s="13" t="b">
        <v>1</v>
      </c>
      <c r="S151" s="13" t="b">
        <v>1</v>
      </c>
      <c r="T151" s="13" t="b">
        <v>1</v>
      </c>
      <c r="U151" s="13" t="b">
        <v>1</v>
      </c>
      <c r="V151" s="13" t="b">
        <v>1</v>
      </c>
      <c r="W151" s="13" t="b">
        <v>1</v>
      </c>
      <c r="X151" s="13" t="b">
        <v>1</v>
      </c>
      <c r="Y151" s="21" t="s">
        <v>101</v>
      </c>
      <c r="Z151" s="21" t="s">
        <v>959</v>
      </c>
      <c r="AA151" s="21" t="s">
        <v>960</v>
      </c>
      <c r="AB151" s="22"/>
      <c r="AC151" s="23"/>
      <c r="AD151" s="13"/>
      <c r="AE151" s="47" t="b">
        <v>1</v>
      </c>
      <c r="AF151" s="48">
        <v>45889</v>
      </c>
      <c r="AG151" s="26" t="s">
        <v>961</v>
      </c>
      <c r="AH151" s="39" t="b">
        <v>1</v>
      </c>
      <c r="AI151" s="28">
        <v>45978</v>
      </c>
      <c r="AJ151" s="29" t="s">
        <v>104</v>
      </c>
      <c r="AK151" s="39" t="b">
        <v>1</v>
      </c>
      <c r="AL151" s="40">
        <v>46008</v>
      </c>
      <c r="AM151" s="29" t="s">
        <v>104</v>
      </c>
      <c r="AN151" s="29"/>
      <c r="AO151" s="13"/>
      <c r="AP151" s="12"/>
      <c r="AQ151" s="16"/>
      <c r="AR151" s="32"/>
      <c r="AS151" s="33"/>
      <c r="AT151" s="32"/>
      <c r="AU151" s="33"/>
      <c r="AV151" s="34"/>
      <c r="AW151" s="33"/>
      <c r="AX151" s="37"/>
      <c r="AY151" s="38"/>
      <c r="AZ151" s="35" t="b">
        <v>1</v>
      </c>
      <c r="BA151" s="36">
        <f>IF(MOD(H151,4)=0,H151/4,ROUNDUP(H151/4,0))</f>
        <v>32435438</v>
      </c>
      <c r="BB151" s="41"/>
      <c r="BC151" s="36"/>
      <c r="BD151" s="41"/>
      <c r="BE151" s="36"/>
      <c r="BF151" s="41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41"/>
      <c r="BU151" s="41"/>
      <c r="BV151" s="41"/>
      <c r="BW151" s="41"/>
      <c r="BX151" s="42" t="b">
        <v>1</v>
      </c>
      <c r="BY151" s="41">
        <f>IF(MOD(H151,4)=0,H151/4,ROUNDDOWN(H151/4,0))</f>
        <v>32435437</v>
      </c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12" t="b">
        <v>1</v>
      </c>
      <c r="CS151" s="36">
        <f>IF(MOD(H151,4)=0,H151/4,ROUNDUP(H151/4,0))</f>
        <v>32435438</v>
      </c>
      <c r="CT151" s="36"/>
      <c r="CU151" s="36"/>
      <c r="CV151" s="36"/>
      <c r="CW151" s="36"/>
    </row>
    <row r="152" spans="1:101" ht="32.25" customHeight="1" x14ac:dyDescent="0.25">
      <c r="A152" s="12">
        <f t="shared" si="0"/>
        <v>151</v>
      </c>
      <c r="B152" s="13" t="s">
        <v>134</v>
      </c>
      <c r="C152" s="13" t="s">
        <v>731</v>
      </c>
      <c r="D152" s="14" t="s">
        <v>962</v>
      </c>
      <c r="E152" s="15" t="s">
        <v>963</v>
      </c>
      <c r="F152" s="15" t="s">
        <v>964</v>
      </c>
      <c r="G152" s="16">
        <v>164</v>
      </c>
      <c r="H152" s="17">
        <v>262687000</v>
      </c>
      <c r="I152" s="18"/>
      <c r="J152" s="18"/>
      <c r="K152" s="18"/>
      <c r="L152" s="18" t="s">
        <v>99</v>
      </c>
      <c r="M152" s="19">
        <v>17214</v>
      </c>
      <c r="N152" s="20" t="s">
        <v>100</v>
      </c>
      <c r="O152" s="13" t="b">
        <v>1</v>
      </c>
      <c r="P152" s="20" t="b">
        <v>0</v>
      </c>
      <c r="Q152" s="20" t="b">
        <v>1</v>
      </c>
      <c r="R152" s="13" t="b">
        <v>0</v>
      </c>
      <c r="S152" s="13" t="b">
        <v>0</v>
      </c>
      <c r="T152" s="13" t="b">
        <v>1</v>
      </c>
      <c r="U152" s="13" t="b">
        <v>1</v>
      </c>
      <c r="V152" s="13" t="b">
        <v>0</v>
      </c>
      <c r="W152" s="13" t="b">
        <v>1</v>
      </c>
      <c r="X152" s="13" t="b">
        <v>1</v>
      </c>
      <c r="Y152" s="21" t="s">
        <v>182</v>
      </c>
      <c r="Z152" s="21" t="s">
        <v>965</v>
      </c>
      <c r="AA152" s="21" t="s">
        <v>966</v>
      </c>
      <c r="AB152" s="22"/>
      <c r="AC152" s="13"/>
      <c r="AD152" s="13"/>
      <c r="AE152" s="13" t="b">
        <v>0</v>
      </c>
      <c r="AF152" s="48"/>
      <c r="AG152" s="26"/>
      <c r="AH152" s="39" t="b">
        <v>0</v>
      </c>
      <c r="AI152" s="28"/>
      <c r="AJ152" s="29"/>
      <c r="AK152" s="39" t="b">
        <v>0</v>
      </c>
      <c r="AL152" s="29"/>
      <c r="AM152" s="29"/>
      <c r="AN152" s="29"/>
      <c r="AO152" s="13"/>
      <c r="AP152" s="32"/>
      <c r="AQ152" s="33"/>
      <c r="AR152" s="32"/>
      <c r="AS152" s="33"/>
      <c r="AT152" s="32"/>
      <c r="AU152" s="33"/>
      <c r="AV152" s="34"/>
      <c r="AW152" s="33"/>
      <c r="AX152" s="37"/>
      <c r="AY152" s="38"/>
      <c r="AZ152" s="37"/>
      <c r="BA152" s="38"/>
      <c r="BB152" s="37"/>
      <c r="BC152" s="38"/>
      <c r="BD152" s="37"/>
      <c r="BE152" s="38"/>
      <c r="BF152" s="37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</row>
    <row r="153" spans="1:101" ht="32.25" customHeight="1" x14ac:dyDescent="0.4">
      <c r="A153" s="12">
        <f t="shared" si="0"/>
        <v>152</v>
      </c>
      <c r="B153" s="13" t="s">
        <v>134</v>
      </c>
      <c r="C153" s="13" t="s">
        <v>731</v>
      </c>
      <c r="D153" s="14" t="s">
        <v>967</v>
      </c>
      <c r="E153" s="15" t="s">
        <v>968</v>
      </c>
      <c r="F153" s="15" t="s">
        <v>969</v>
      </c>
      <c r="G153" s="16">
        <v>119</v>
      </c>
      <c r="H153" s="17">
        <v>190608250</v>
      </c>
      <c r="I153" s="18"/>
      <c r="J153" s="18"/>
      <c r="K153" s="18"/>
      <c r="L153" s="18" t="s">
        <v>99</v>
      </c>
      <c r="M153" s="19">
        <v>17215</v>
      </c>
      <c r="N153" s="20" t="s">
        <v>100</v>
      </c>
      <c r="O153" s="13" t="b">
        <v>1</v>
      </c>
      <c r="P153" s="20" t="b">
        <v>1</v>
      </c>
      <c r="Q153" s="20" t="b">
        <v>1</v>
      </c>
      <c r="R153" s="13" t="b">
        <v>1</v>
      </c>
      <c r="S153" s="13" t="b">
        <v>1</v>
      </c>
      <c r="T153" s="13" t="b">
        <v>1</v>
      </c>
      <c r="U153" s="13" t="b">
        <v>1</v>
      </c>
      <c r="V153" s="13" t="b">
        <v>1</v>
      </c>
      <c r="W153" s="13" t="b">
        <v>1</v>
      </c>
      <c r="X153" s="13" t="b">
        <v>1</v>
      </c>
      <c r="Y153" s="21" t="s">
        <v>101</v>
      </c>
      <c r="Z153" s="21" t="s">
        <v>970</v>
      </c>
      <c r="AA153" s="21" t="s">
        <v>971</v>
      </c>
      <c r="AB153" s="22"/>
      <c r="AC153" s="23"/>
      <c r="AD153" s="13"/>
      <c r="AE153" s="13" t="b">
        <v>1</v>
      </c>
      <c r="AF153" s="48">
        <v>45939</v>
      </c>
      <c r="AG153" s="26" t="s">
        <v>104</v>
      </c>
      <c r="AH153" s="63" t="b">
        <v>1</v>
      </c>
      <c r="AI153" s="28">
        <v>45985</v>
      </c>
      <c r="AJ153" s="29" t="s">
        <v>590</v>
      </c>
      <c r="AK153" s="39" t="b">
        <v>1</v>
      </c>
      <c r="AL153" s="40">
        <v>46001</v>
      </c>
      <c r="AM153" s="29" t="s">
        <v>104</v>
      </c>
      <c r="AN153" s="29"/>
      <c r="AO153" s="13"/>
      <c r="AP153" s="12"/>
      <c r="AQ153" s="16"/>
      <c r="AR153" s="32"/>
      <c r="AS153" s="33"/>
      <c r="AT153" s="32"/>
      <c r="AU153" s="33"/>
      <c r="AV153" s="34"/>
      <c r="AW153" s="33"/>
      <c r="AX153" s="37"/>
      <c r="AY153" s="38"/>
      <c r="AZ153" s="37"/>
      <c r="BA153" s="38"/>
      <c r="BB153" s="37"/>
      <c r="BC153" s="38"/>
      <c r="BD153" s="37"/>
      <c r="BE153" s="38"/>
      <c r="BF153" s="37"/>
      <c r="BG153" s="38"/>
      <c r="BH153" s="42" t="b">
        <v>1</v>
      </c>
      <c r="BI153" s="38">
        <f>IF(MOD(H153,4)=0,H153/4,ROUNDUP(H153/4,0))</f>
        <v>47652063</v>
      </c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7"/>
      <c r="BU153" s="37"/>
      <c r="BV153" s="37"/>
      <c r="BW153" s="37"/>
      <c r="BX153" s="42" t="b">
        <v>1</v>
      </c>
      <c r="BY153" s="41">
        <f>IF(MOD(H153,4)=0,H153/4,ROUNDDOWN(H153/4,0))</f>
        <v>47652062</v>
      </c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37"/>
      <c r="CK153" s="37"/>
      <c r="CL153" s="37"/>
      <c r="CM153" s="37"/>
      <c r="CN153" s="37"/>
      <c r="CO153" s="37"/>
      <c r="CP153" s="35" t="b">
        <v>1</v>
      </c>
      <c r="CQ153" s="41">
        <f>IF(MOD(H153,4)=0,H153/4,ROUNDUP(H153/4,0))</f>
        <v>47652063</v>
      </c>
      <c r="CR153" s="41"/>
      <c r="CS153" s="41"/>
      <c r="CT153" s="41"/>
      <c r="CU153" s="41"/>
      <c r="CV153" s="41"/>
      <c r="CW153" s="41"/>
    </row>
    <row r="154" spans="1:101" ht="32.25" customHeight="1" x14ac:dyDescent="0.25">
      <c r="A154" s="12">
        <f t="shared" si="0"/>
        <v>153</v>
      </c>
      <c r="B154" s="13" t="s">
        <v>134</v>
      </c>
      <c r="C154" s="13" t="s">
        <v>731</v>
      </c>
      <c r="D154" s="14" t="s">
        <v>972</v>
      </c>
      <c r="E154" s="15" t="s">
        <v>973</v>
      </c>
      <c r="F154" s="15" t="s">
        <v>974</v>
      </c>
      <c r="G154" s="16">
        <v>99</v>
      </c>
      <c r="H154" s="17">
        <v>158573250</v>
      </c>
      <c r="I154" s="18"/>
      <c r="J154" s="18"/>
      <c r="K154" s="18"/>
      <c r="L154" s="18" t="s">
        <v>99</v>
      </c>
      <c r="M154" s="19">
        <v>17216</v>
      </c>
      <c r="N154" s="20" t="s">
        <v>100</v>
      </c>
      <c r="O154" s="13" t="b">
        <v>1</v>
      </c>
      <c r="P154" s="20" t="b">
        <v>1</v>
      </c>
      <c r="Q154" s="20" t="b">
        <v>1</v>
      </c>
      <c r="R154" s="13" t="b">
        <v>1</v>
      </c>
      <c r="S154" s="13" t="b">
        <v>1</v>
      </c>
      <c r="T154" s="13" t="b">
        <v>1</v>
      </c>
      <c r="U154" s="13" t="b">
        <v>1</v>
      </c>
      <c r="V154" s="13" t="b">
        <v>1</v>
      </c>
      <c r="W154" s="13" t="b">
        <v>1</v>
      </c>
      <c r="X154" s="13" t="b">
        <v>1</v>
      </c>
      <c r="Y154" s="21" t="s">
        <v>182</v>
      </c>
      <c r="Z154" s="21" t="s">
        <v>975</v>
      </c>
      <c r="AA154" s="21" t="s">
        <v>976</v>
      </c>
      <c r="AB154" s="22"/>
      <c r="AC154" s="23"/>
      <c r="AD154" s="13"/>
      <c r="AE154" s="47" t="b">
        <v>1</v>
      </c>
      <c r="AF154" s="48">
        <v>45968</v>
      </c>
      <c r="AG154" s="26" t="s">
        <v>104</v>
      </c>
      <c r="AH154" s="39" t="b">
        <v>1</v>
      </c>
      <c r="AI154" s="28">
        <v>45996</v>
      </c>
      <c r="AJ154" s="29" t="s">
        <v>977</v>
      </c>
      <c r="AK154" s="39" t="b">
        <v>1</v>
      </c>
      <c r="AL154" s="40">
        <v>46013</v>
      </c>
      <c r="AM154" s="29" t="s">
        <v>485</v>
      </c>
      <c r="AN154" s="29"/>
      <c r="AO154" s="13"/>
      <c r="AP154" s="12"/>
      <c r="AQ154" s="16"/>
      <c r="AR154" s="32"/>
      <c r="AS154" s="33"/>
      <c r="AT154" s="32"/>
      <c r="AU154" s="33"/>
      <c r="AV154" s="34"/>
      <c r="AW154" s="33"/>
      <c r="AX154" s="37"/>
      <c r="AY154" s="38"/>
      <c r="AZ154" s="37"/>
      <c r="BA154" s="38"/>
      <c r="BB154" s="37"/>
      <c r="BC154" s="38"/>
      <c r="BD154" s="37"/>
      <c r="BE154" s="38"/>
      <c r="BF154" s="37"/>
      <c r="BG154" s="38"/>
      <c r="BH154" s="38"/>
      <c r="BI154" s="38"/>
      <c r="BJ154" s="37" t="b">
        <v>1</v>
      </c>
      <c r="BK154" s="38">
        <f>IF(MOD(H154,4)=0,H154/4,ROUNDUP(H154/4,0))</f>
        <v>39643313</v>
      </c>
      <c r="BL154" s="38"/>
      <c r="BM154" s="38"/>
      <c r="BN154" s="38"/>
      <c r="BO154" s="38"/>
      <c r="BP154" s="38"/>
      <c r="BQ154" s="38"/>
      <c r="BR154" s="38"/>
      <c r="BS154" s="38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 t="b">
        <v>1</v>
      </c>
      <c r="CE154" s="38">
        <f>IF(MOD(H154,4)=0,H154/4,ROUNDDOWN(H154/4,0))</f>
        <v>39643312</v>
      </c>
      <c r="CF154" s="38"/>
      <c r="CG154" s="38"/>
      <c r="CH154" s="38"/>
      <c r="CI154" s="38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 t="b">
        <v>1</v>
      </c>
      <c r="CU154" s="38">
        <f>IF(MOD(H154,4)=0,H154/4,ROUNDUP(H154/4,0))</f>
        <v>39643313</v>
      </c>
      <c r="CV154" s="38"/>
      <c r="CW154" s="38"/>
    </row>
    <row r="155" spans="1:101" ht="32.25" customHeight="1" x14ac:dyDescent="0.25">
      <c r="A155" s="12">
        <f t="shared" si="0"/>
        <v>154</v>
      </c>
      <c r="B155" s="13" t="s">
        <v>134</v>
      </c>
      <c r="C155" s="13" t="s">
        <v>731</v>
      </c>
      <c r="D155" s="14" t="s">
        <v>978</v>
      </c>
      <c r="E155" s="15" t="s">
        <v>979</v>
      </c>
      <c r="F155" s="15" t="s">
        <v>980</v>
      </c>
      <c r="G155" s="16">
        <v>14</v>
      </c>
      <c r="H155" s="17">
        <v>22424500</v>
      </c>
      <c r="I155" s="18"/>
      <c r="J155" s="18"/>
      <c r="K155" s="18"/>
      <c r="L155" s="18" t="s">
        <v>99</v>
      </c>
      <c r="M155" s="19">
        <v>17217</v>
      </c>
      <c r="N155" s="20" t="s">
        <v>100</v>
      </c>
      <c r="O155" s="13" t="b">
        <v>0</v>
      </c>
      <c r="P155" s="20" t="b">
        <v>0</v>
      </c>
      <c r="Q155" s="20" t="b">
        <v>0</v>
      </c>
      <c r="R155" s="13" t="b">
        <v>0</v>
      </c>
      <c r="S155" s="13" t="b">
        <v>0</v>
      </c>
      <c r="T155" s="13" t="b">
        <v>0</v>
      </c>
      <c r="U155" s="13" t="b">
        <v>0</v>
      </c>
      <c r="V155" s="13" t="b">
        <v>0</v>
      </c>
      <c r="W155" s="13" t="b">
        <v>0</v>
      </c>
      <c r="X155" s="13" t="b">
        <v>0</v>
      </c>
      <c r="Y155" s="21" t="s">
        <v>443</v>
      </c>
      <c r="Z155" s="21" t="s">
        <v>981</v>
      </c>
      <c r="AA155" s="21" t="s">
        <v>982</v>
      </c>
      <c r="AB155" s="15"/>
      <c r="AC155" s="13"/>
      <c r="AD155" s="13"/>
      <c r="AE155" s="13" t="b">
        <v>0</v>
      </c>
      <c r="AF155" s="48"/>
      <c r="AG155" s="26"/>
      <c r="AH155" s="39" t="b">
        <v>0</v>
      </c>
      <c r="AI155" s="28"/>
      <c r="AJ155" s="29"/>
      <c r="AK155" s="39" t="b">
        <v>0</v>
      </c>
      <c r="AL155" s="29"/>
      <c r="AM155" s="29"/>
      <c r="AN155" s="29"/>
      <c r="AO155" s="13"/>
      <c r="AP155" s="32"/>
      <c r="AQ155" s="33"/>
      <c r="AR155" s="32"/>
      <c r="AS155" s="33"/>
      <c r="AT155" s="32"/>
      <c r="AU155" s="33"/>
      <c r="AV155" s="34"/>
      <c r="AW155" s="33"/>
      <c r="AX155" s="37"/>
      <c r="AY155" s="38"/>
      <c r="AZ155" s="37"/>
      <c r="BA155" s="38"/>
      <c r="BB155" s="37"/>
      <c r="BC155" s="38"/>
      <c r="BD155" s="37"/>
      <c r="BE155" s="38"/>
      <c r="BF155" s="37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  <c r="BQ155" s="38"/>
      <c r="BR155" s="38"/>
      <c r="BS155" s="38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</row>
    <row r="156" spans="1:101" ht="32.25" customHeight="1" x14ac:dyDescent="0.25">
      <c r="A156" s="12">
        <f t="shared" si="0"/>
        <v>155</v>
      </c>
      <c r="B156" s="13" t="s">
        <v>134</v>
      </c>
      <c r="C156" s="13" t="s">
        <v>731</v>
      </c>
      <c r="D156" s="14" t="s">
        <v>983</v>
      </c>
      <c r="E156" s="15" t="s">
        <v>984</v>
      </c>
      <c r="F156" s="15" t="s">
        <v>985</v>
      </c>
      <c r="G156" s="16">
        <v>85</v>
      </c>
      <c r="H156" s="17">
        <v>136148750</v>
      </c>
      <c r="I156" s="18"/>
      <c r="J156" s="18"/>
      <c r="K156" s="18"/>
      <c r="L156" s="18" t="s">
        <v>99</v>
      </c>
      <c r="M156" s="19">
        <v>17218</v>
      </c>
      <c r="N156" s="20" t="s">
        <v>100</v>
      </c>
      <c r="O156" s="13" t="b">
        <v>1</v>
      </c>
      <c r="P156" s="20" t="b">
        <v>1</v>
      </c>
      <c r="Q156" s="20" t="b">
        <v>1</v>
      </c>
      <c r="R156" s="13" t="b">
        <v>1</v>
      </c>
      <c r="S156" s="13" t="b">
        <v>1</v>
      </c>
      <c r="T156" s="13" t="b">
        <v>1</v>
      </c>
      <c r="U156" s="13" t="b">
        <v>1</v>
      </c>
      <c r="V156" s="13" t="b">
        <v>1</v>
      </c>
      <c r="W156" s="13" t="b">
        <v>0</v>
      </c>
      <c r="X156" s="13" t="b">
        <v>1</v>
      </c>
      <c r="Y156" s="21" t="s">
        <v>101</v>
      </c>
      <c r="Z156" s="21" t="s">
        <v>986</v>
      </c>
      <c r="AA156" s="21" t="s">
        <v>984</v>
      </c>
      <c r="AB156" s="22"/>
      <c r="AC156" s="61"/>
      <c r="AD156" s="13"/>
      <c r="AE156" s="13" t="b">
        <v>1</v>
      </c>
      <c r="AF156" s="48">
        <v>45877</v>
      </c>
      <c r="AG156" s="26"/>
      <c r="AH156" s="27" t="b">
        <v>1</v>
      </c>
      <c r="AI156" s="40">
        <v>45929</v>
      </c>
      <c r="AJ156" s="54" t="s">
        <v>104</v>
      </c>
      <c r="AK156" s="39" t="b">
        <v>1</v>
      </c>
      <c r="AL156" s="40">
        <v>46001</v>
      </c>
      <c r="AM156" s="29" t="s">
        <v>104</v>
      </c>
      <c r="AN156" s="29"/>
      <c r="AO156" s="13"/>
      <c r="AP156" s="12"/>
      <c r="AQ156" s="16"/>
      <c r="AR156" s="32"/>
      <c r="AS156" s="33"/>
      <c r="AT156" s="32"/>
      <c r="AU156" s="33"/>
      <c r="AV156" s="34"/>
      <c r="AW156" s="33"/>
      <c r="AX156" s="35" t="b">
        <v>1</v>
      </c>
      <c r="AY156" s="36">
        <f>IF(MOD(H156,4)=0,H156/4,ROUNDUP(H156/4,0))</f>
        <v>34037188</v>
      </c>
      <c r="AZ156" s="37"/>
      <c r="BA156" s="38"/>
      <c r="BB156" s="37"/>
      <c r="BC156" s="38"/>
      <c r="BD156" s="37"/>
      <c r="BE156" s="38"/>
      <c r="BF156" s="37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  <c r="BQ156" s="38"/>
      <c r="BR156" s="38"/>
      <c r="BS156" s="38"/>
      <c r="BT156" s="35" t="b">
        <v>1</v>
      </c>
      <c r="BU156" s="36">
        <f>IF(MOD(H156,4)=0,H156/4,ROUNDDOWN(H156/4,0))</f>
        <v>34037187</v>
      </c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5" t="b">
        <v>1</v>
      </c>
      <c r="CQ156" s="41">
        <f>IF(MOD(H156,4)=0,H156/4,ROUNDUP(H156/4,0))</f>
        <v>34037188</v>
      </c>
      <c r="CR156" s="41"/>
      <c r="CS156" s="41"/>
      <c r="CT156" s="41"/>
      <c r="CU156" s="41"/>
      <c r="CV156" s="41"/>
      <c r="CW156" s="41"/>
    </row>
    <row r="157" spans="1:101" ht="32.25" customHeight="1" x14ac:dyDescent="0.25">
      <c r="A157" s="12">
        <f t="shared" si="0"/>
        <v>156</v>
      </c>
      <c r="B157" s="13" t="s">
        <v>134</v>
      </c>
      <c r="C157" s="13" t="s">
        <v>731</v>
      </c>
      <c r="D157" s="14" t="s">
        <v>987</v>
      </c>
      <c r="E157" s="15" t="s">
        <v>988</v>
      </c>
      <c r="F157" s="15" t="s">
        <v>989</v>
      </c>
      <c r="G157" s="16">
        <v>119</v>
      </c>
      <c r="H157" s="17">
        <v>190608250</v>
      </c>
      <c r="I157" s="18"/>
      <c r="J157" s="18"/>
      <c r="K157" s="18"/>
      <c r="L157" s="18" t="s">
        <v>99</v>
      </c>
      <c r="M157" s="19">
        <v>17219</v>
      </c>
      <c r="N157" s="20" t="s">
        <v>100</v>
      </c>
      <c r="O157" s="13" t="b">
        <v>1</v>
      </c>
      <c r="P157" s="20" t="b">
        <v>1</v>
      </c>
      <c r="Q157" s="20" t="b">
        <v>1</v>
      </c>
      <c r="R157" s="13" t="b">
        <v>1</v>
      </c>
      <c r="S157" s="13" t="b">
        <v>1</v>
      </c>
      <c r="T157" s="13" t="b">
        <v>1</v>
      </c>
      <c r="U157" s="13" t="b">
        <v>1</v>
      </c>
      <c r="V157" s="13" t="b">
        <v>1</v>
      </c>
      <c r="W157" s="13" t="b">
        <v>1</v>
      </c>
      <c r="X157" s="13" t="b">
        <v>1</v>
      </c>
      <c r="Y157" s="21" t="s">
        <v>182</v>
      </c>
      <c r="Z157" s="21" t="s">
        <v>990</v>
      </c>
      <c r="AA157" s="21" t="s">
        <v>991</v>
      </c>
      <c r="AB157" s="22"/>
      <c r="AC157" s="23"/>
      <c r="AD157" s="13"/>
      <c r="AE157" s="13" t="b">
        <v>1</v>
      </c>
      <c r="AF157" s="48">
        <v>45916</v>
      </c>
      <c r="AG157" s="26" t="s">
        <v>104</v>
      </c>
      <c r="AH157" s="27" t="b">
        <v>1</v>
      </c>
      <c r="AI157" s="28">
        <v>45950</v>
      </c>
      <c r="AJ157" s="49" t="s">
        <v>104</v>
      </c>
      <c r="AK157" s="39" t="b">
        <v>1</v>
      </c>
      <c r="AL157" s="40">
        <v>45967</v>
      </c>
      <c r="AM157" s="29" t="s">
        <v>104</v>
      </c>
      <c r="AN157" s="29"/>
      <c r="AO157" s="13"/>
      <c r="AP157" s="12"/>
      <c r="AQ157" s="16"/>
      <c r="AR157" s="32"/>
      <c r="AS157" s="33"/>
      <c r="AT157" s="32"/>
      <c r="AU157" s="33"/>
      <c r="AV157" s="34"/>
      <c r="AW157" s="33"/>
      <c r="AX157" s="37"/>
      <c r="AY157" s="38"/>
      <c r="AZ157" s="37"/>
      <c r="BA157" s="38"/>
      <c r="BB157" s="35" t="b">
        <v>1</v>
      </c>
      <c r="BC157" s="36">
        <f>IF(MOD(H157,4)=0,H157/4,ROUNDUP(H157/4,0))</f>
        <v>47652063</v>
      </c>
      <c r="BD157" s="41"/>
      <c r="BE157" s="36"/>
      <c r="BF157" s="41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41"/>
      <c r="BU157" s="41"/>
      <c r="BV157" s="35" t="b">
        <v>1</v>
      </c>
      <c r="BW157" s="41">
        <f>IF(MOD(H157,4)=0,H157/4,ROUNDDOWN(H157/4,0))</f>
        <v>47652062</v>
      </c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35" t="b">
        <v>1</v>
      </c>
      <c r="CK157" s="36">
        <f>IF(MOD(H157,4)=0,H157/4,ROUNDUP(H157/4,0))</f>
        <v>47652063</v>
      </c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</row>
    <row r="158" spans="1:101" ht="32.25" customHeight="1" x14ac:dyDescent="0.25">
      <c r="A158" s="12">
        <f t="shared" si="0"/>
        <v>157</v>
      </c>
      <c r="B158" s="13" t="s">
        <v>251</v>
      </c>
      <c r="C158" s="13" t="s">
        <v>731</v>
      </c>
      <c r="D158" s="14" t="s">
        <v>992</v>
      </c>
      <c r="E158" s="15" t="s">
        <v>993</v>
      </c>
      <c r="F158" s="15" t="s">
        <v>994</v>
      </c>
      <c r="G158" s="16">
        <v>24</v>
      </c>
      <c r="H158" s="17">
        <v>46044000</v>
      </c>
      <c r="I158" s="18"/>
      <c r="J158" s="18"/>
      <c r="K158" s="18"/>
      <c r="L158" s="18" t="s">
        <v>99</v>
      </c>
      <c r="M158" s="19">
        <v>17220</v>
      </c>
      <c r="N158" s="20" t="s">
        <v>100</v>
      </c>
      <c r="O158" s="13" t="b">
        <v>1</v>
      </c>
      <c r="P158" s="20" t="b">
        <v>1</v>
      </c>
      <c r="Q158" s="20" t="b">
        <v>1</v>
      </c>
      <c r="R158" s="13" t="b">
        <v>1</v>
      </c>
      <c r="S158" s="13" t="b">
        <v>1</v>
      </c>
      <c r="T158" s="13" t="b">
        <v>1</v>
      </c>
      <c r="U158" s="13" t="b">
        <v>1</v>
      </c>
      <c r="V158" s="13" t="b">
        <v>1</v>
      </c>
      <c r="W158" s="13" t="b">
        <v>1</v>
      </c>
      <c r="X158" s="13" t="b">
        <v>1</v>
      </c>
      <c r="Y158" s="21" t="s">
        <v>101</v>
      </c>
      <c r="Z158" s="21" t="s">
        <v>995</v>
      </c>
      <c r="AA158" s="21" t="s">
        <v>996</v>
      </c>
      <c r="AB158" s="22"/>
      <c r="AC158" s="23"/>
      <c r="AD158" s="13"/>
      <c r="AE158" s="47" t="b">
        <v>1</v>
      </c>
      <c r="AF158" s="48">
        <v>45880</v>
      </c>
      <c r="AG158" s="26"/>
      <c r="AH158" s="27" t="b">
        <v>1</v>
      </c>
      <c r="AI158" s="28">
        <v>45924</v>
      </c>
      <c r="AJ158" s="29" t="s">
        <v>104</v>
      </c>
      <c r="AK158" s="39" t="b">
        <v>1</v>
      </c>
      <c r="AL158" s="40">
        <v>45993</v>
      </c>
      <c r="AM158" s="29" t="s">
        <v>104</v>
      </c>
      <c r="AN158" s="29"/>
      <c r="AO158" s="13"/>
      <c r="AP158" s="12"/>
      <c r="AQ158" s="16"/>
      <c r="AR158" s="12"/>
      <c r="AS158" s="33"/>
      <c r="AT158" s="32"/>
      <c r="AU158" s="33"/>
      <c r="AV158" s="34"/>
      <c r="AW158" s="33"/>
      <c r="AX158" s="35" t="b">
        <v>1</v>
      </c>
      <c r="AY158" s="36">
        <f t="shared" ref="AY158:AY160" si="63">IF(MOD(H158,4)=0,H158/4,ROUNDUP(H158/4,0))</f>
        <v>11511000</v>
      </c>
      <c r="AZ158" s="37"/>
      <c r="BA158" s="38"/>
      <c r="BB158" s="37"/>
      <c r="BC158" s="38"/>
      <c r="BD158" s="37"/>
      <c r="BE158" s="38"/>
      <c r="BF158" s="37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5" t="b">
        <v>1</v>
      </c>
      <c r="BU158" s="36">
        <f t="shared" ref="BU158:BU159" si="64">IF(MOD(H158,4)=0,H158/4,ROUNDDOWN(H158/4,0))</f>
        <v>11511000</v>
      </c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5" t="b">
        <v>1</v>
      </c>
      <c r="CO158" s="36">
        <f>IF(MOD(H158,4)=0,H158/4,ROUNDUP(H158/4,0))</f>
        <v>11511000</v>
      </c>
      <c r="CP158" s="36"/>
      <c r="CQ158" s="36"/>
      <c r="CR158" s="36"/>
      <c r="CS158" s="36"/>
      <c r="CT158" s="36"/>
      <c r="CU158" s="36"/>
      <c r="CV158" s="36"/>
      <c r="CW158" s="36"/>
    </row>
    <row r="159" spans="1:101" ht="32.25" customHeight="1" x14ac:dyDescent="0.25">
      <c r="A159" s="12">
        <f t="shared" si="0"/>
        <v>158</v>
      </c>
      <c r="B159" s="13" t="s">
        <v>251</v>
      </c>
      <c r="C159" s="13" t="s">
        <v>731</v>
      </c>
      <c r="D159" s="14" t="s">
        <v>997</v>
      </c>
      <c r="E159" s="15" t="s">
        <v>998</v>
      </c>
      <c r="F159" s="15" t="s">
        <v>999</v>
      </c>
      <c r="G159" s="16">
        <v>57</v>
      </c>
      <c r="H159" s="17">
        <v>109354500</v>
      </c>
      <c r="I159" s="18"/>
      <c r="J159" s="18"/>
      <c r="K159" s="18"/>
      <c r="L159" s="18" t="s">
        <v>99</v>
      </c>
      <c r="M159" s="19">
        <v>17221</v>
      </c>
      <c r="N159" s="20" t="s">
        <v>100</v>
      </c>
      <c r="O159" s="13" t="b">
        <v>1</v>
      </c>
      <c r="P159" s="20" t="b">
        <v>1</v>
      </c>
      <c r="Q159" s="20" t="b">
        <v>1</v>
      </c>
      <c r="R159" s="13" t="b">
        <v>1</v>
      </c>
      <c r="S159" s="13" t="b">
        <v>1</v>
      </c>
      <c r="T159" s="13" t="b">
        <v>1</v>
      </c>
      <c r="U159" s="13" t="b">
        <v>1</v>
      </c>
      <c r="V159" s="13" t="b">
        <v>1</v>
      </c>
      <c r="W159" s="13" t="b">
        <v>1</v>
      </c>
      <c r="X159" s="13" t="b">
        <v>1</v>
      </c>
      <c r="Y159" s="21" t="s">
        <v>443</v>
      </c>
      <c r="Z159" s="21" t="s">
        <v>1000</v>
      </c>
      <c r="AA159" s="21" t="s">
        <v>1001</v>
      </c>
      <c r="AB159" s="22"/>
      <c r="AC159" s="23"/>
      <c r="AD159" s="13"/>
      <c r="AE159" s="13" t="b">
        <v>1</v>
      </c>
      <c r="AF159" s="30">
        <v>45874</v>
      </c>
      <c r="AG159" s="26"/>
      <c r="AH159" s="27" t="b">
        <v>1</v>
      </c>
      <c r="AI159" s="28">
        <v>45930</v>
      </c>
      <c r="AJ159" s="29" t="s">
        <v>104</v>
      </c>
      <c r="AK159" s="27" t="b">
        <v>1</v>
      </c>
      <c r="AL159" s="40">
        <v>45980</v>
      </c>
      <c r="AM159" s="29" t="s">
        <v>104</v>
      </c>
      <c r="AN159" s="29"/>
      <c r="AO159" s="13"/>
      <c r="AP159" s="12"/>
      <c r="AQ159" s="16"/>
      <c r="AR159" s="32"/>
      <c r="AS159" s="33"/>
      <c r="AT159" s="32"/>
      <c r="AU159" s="33"/>
      <c r="AV159" s="34"/>
      <c r="AW159" s="33"/>
      <c r="AX159" s="35" t="b">
        <v>1</v>
      </c>
      <c r="AY159" s="36">
        <f t="shared" si="63"/>
        <v>27338625</v>
      </c>
      <c r="AZ159" s="37"/>
      <c r="BA159" s="38"/>
      <c r="BB159" s="37"/>
      <c r="BC159" s="38"/>
      <c r="BD159" s="37"/>
      <c r="BE159" s="38"/>
      <c r="BF159" s="37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8"/>
      <c r="BS159" s="38"/>
      <c r="BT159" s="35" t="b">
        <v>1</v>
      </c>
      <c r="BU159" s="36">
        <f t="shared" si="64"/>
        <v>27338625</v>
      </c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5" t="b">
        <v>1</v>
      </c>
      <c r="CK159" s="36">
        <f>IF(MOD(H159,4)=0,H159/4,ROUNDUP(H159/4,0))</f>
        <v>27338625</v>
      </c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</row>
    <row r="160" spans="1:101" ht="32.25" customHeight="1" x14ac:dyDescent="0.25">
      <c r="A160" s="12">
        <f t="shared" si="0"/>
        <v>159</v>
      </c>
      <c r="B160" s="13" t="s">
        <v>251</v>
      </c>
      <c r="C160" s="13" t="s">
        <v>731</v>
      </c>
      <c r="D160" s="14" t="s">
        <v>1002</v>
      </c>
      <c r="E160" s="15" t="s">
        <v>1003</v>
      </c>
      <c r="F160" s="15" t="s">
        <v>1004</v>
      </c>
      <c r="G160" s="16">
        <v>114</v>
      </c>
      <c r="H160" s="17">
        <v>218709000</v>
      </c>
      <c r="I160" s="18"/>
      <c r="J160" s="18"/>
      <c r="K160" s="18"/>
      <c r="L160" s="18" t="s">
        <v>99</v>
      </c>
      <c r="M160" s="19">
        <v>17222</v>
      </c>
      <c r="N160" s="20" t="s">
        <v>100</v>
      </c>
      <c r="O160" s="13" t="b">
        <v>1</v>
      </c>
      <c r="P160" s="20" t="b">
        <v>1</v>
      </c>
      <c r="Q160" s="20" t="b">
        <v>1</v>
      </c>
      <c r="R160" s="13" t="b">
        <v>1</v>
      </c>
      <c r="S160" s="13" t="b">
        <v>1</v>
      </c>
      <c r="T160" s="13" t="b">
        <v>1</v>
      </c>
      <c r="U160" s="13" t="b">
        <v>0</v>
      </c>
      <c r="V160" s="13" t="b">
        <v>1</v>
      </c>
      <c r="W160" s="13" t="b">
        <v>1</v>
      </c>
      <c r="X160" s="13" t="b">
        <v>1</v>
      </c>
      <c r="Y160" s="21" t="s">
        <v>101</v>
      </c>
      <c r="Z160" s="21" t="s">
        <v>1005</v>
      </c>
      <c r="AA160" s="21" t="s">
        <v>1006</v>
      </c>
      <c r="AB160" s="22"/>
      <c r="AC160" s="23"/>
      <c r="AD160" s="21"/>
      <c r="AE160" s="47" t="b">
        <v>1</v>
      </c>
      <c r="AF160" s="52">
        <v>45873</v>
      </c>
      <c r="AG160" s="26" t="s">
        <v>1007</v>
      </c>
      <c r="AH160" s="27" t="b">
        <v>1</v>
      </c>
      <c r="AI160" s="28">
        <v>45978</v>
      </c>
      <c r="AJ160" s="29" t="s">
        <v>104</v>
      </c>
      <c r="AK160" s="39" t="b">
        <v>1</v>
      </c>
      <c r="AL160" s="40">
        <v>45996</v>
      </c>
      <c r="AM160" s="29"/>
      <c r="AN160" s="29"/>
      <c r="AO160" s="13"/>
      <c r="AP160" s="12"/>
      <c r="AQ160" s="16"/>
      <c r="AR160" s="32"/>
      <c r="AS160" s="33"/>
      <c r="AT160" s="32"/>
      <c r="AU160" s="33"/>
      <c r="AV160" s="34"/>
      <c r="AW160" s="33"/>
      <c r="AX160" s="35" t="b">
        <v>1</v>
      </c>
      <c r="AY160" s="36">
        <f t="shared" si="63"/>
        <v>54677250</v>
      </c>
      <c r="AZ160" s="37"/>
      <c r="BA160" s="38"/>
      <c r="BB160" s="37"/>
      <c r="BC160" s="38"/>
      <c r="BD160" s="37"/>
      <c r="BE160" s="38"/>
      <c r="BF160" s="37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  <c r="BS160" s="38"/>
      <c r="BT160" s="37"/>
      <c r="BU160" s="37"/>
      <c r="BV160" s="37"/>
      <c r="BW160" s="37"/>
      <c r="BX160" s="42" t="b">
        <v>1</v>
      </c>
      <c r="BY160" s="41">
        <f>IF(MOD(H160,4)=0,H160/4,ROUNDDOWN(H160/4,0))</f>
        <v>54677250</v>
      </c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35" t="b">
        <v>1</v>
      </c>
      <c r="CQ160" s="41">
        <f>IF(MOD(H160,4)=0,H160/4,ROUNDUP(H160/4,0))</f>
        <v>54677250</v>
      </c>
      <c r="CR160" s="41"/>
      <c r="CS160" s="41"/>
      <c r="CT160" s="41"/>
      <c r="CU160" s="41"/>
      <c r="CV160" s="41"/>
      <c r="CW160" s="41"/>
    </row>
    <row r="161" spans="1:101" ht="32.25" customHeight="1" x14ac:dyDescent="0.25">
      <c r="A161" s="12">
        <f t="shared" si="0"/>
        <v>160</v>
      </c>
      <c r="B161" s="13" t="s">
        <v>251</v>
      </c>
      <c r="C161" s="13" t="s">
        <v>731</v>
      </c>
      <c r="D161" s="14" t="s">
        <v>1008</v>
      </c>
      <c r="E161" s="15" t="s">
        <v>1009</v>
      </c>
      <c r="F161" s="15" t="s">
        <v>1010</v>
      </c>
      <c r="G161" s="16">
        <v>1236</v>
      </c>
      <c r="H161" s="17">
        <v>2371266000</v>
      </c>
      <c r="I161" s="18"/>
      <c r="J161" s="18"/>
      <c r="K161" s="18"/>
      <c r="L161" s="18" t="s">
        <v>99</v>
      </c>
      <c r="M161" s="19">
        <v>17223</v>
      </c>
      <c r="N161" s="20" t="s">
        <v>100</v>
      </c>
      <c r="O161" s="13" t="b">
        <v>1</v>
      </c>
      <c r="P161" s="20" t="b">
        <v>1</v>
      </c>
      <c r="Q161" s="20" t="b">
        <v>1</v>
      </c>
      <c r="R161" s="13" t="b">
        <v>1</v>
      </c>
      <c r="S161" s="13" t="b">
        <v>1</v>
      </c>
      <c r="T161" s="13" t="b">
        <v>1</v>
      </c>
      <c r="U161" s="13" t="b">
        <v>1</v>
      </c>
      <c r="V161" s="13" t="b">
        <v>1</v>
      </c>
      <c r="W161" s="13" t="b">
        <v>1</v>
      </c>
      <c r="X161" s="13" t="b">
        <v>1</v>
      </c>
      <c r="Y161" s="21" t="s">
        <v>101</v>
      </c>
      <c r="Z161" s="21" t="s">
        <v>1011</v>
      </c>
      <c r="AA161" s="21" t="s">
        <v>1009</v>
      </c>
      <c r="AB161" s="22"/>
      <c r="AC161" s="23"/>
      <c r="AD161" s="13"/>
      <c r="AE161" s="13" t="b">
        <v>1</v>
      </c>
      <c r="AF161" s="40">
        <v>45904</v>
      </c>
      <c r="AG161" s="64" t="s">
        <v>104</v>
      </c>
      <c r="AH161" s="27" t="b">
        <v>1</v>
      </c>
      <c r="AI161" s="28">
        <v>45957</v>
      </c>
      <c r="AJ161" s="49" t="s">
        <v>104</v>
      </c>
      <c r="AK161" s="39" t="b">
        <v>1</v>
      </c>
      <c r="AL161" s="40">
        <v>45985</v>
      </c>
      <c r="AM161" s="29" t="s">
        <v>1012</v>
      </c>
      <c r="AN161" s="29"/>
      <c r="AO161" s="13"/>
      <c r="AP161" s="12"/>
      <c r="AQ161" s="16"/>
      <c r="AR161" s="32"/>
      <c r="AS161" s="33"/>
      <c r="AT161" s="32"/>
      <c r="AU161" s="33"/>
      <c r="AV161" s="34"/>
      <c r="AW161" s="33"/>
      <c r="AX161" s="37"/>
      <c r="AY161" s="38"/>
      <c r="AZ161" s="37"/>
      <c r="BA161" s="38"/>
      <c r="BB161" s="35" t="b">
        <v>1</v>
      </c>
      <c r="BC161" s="36">
        <f>IF(MOD(H161,4)=0,H161/4,ROUNDUP(H161/4,0))</f>
        <v>592816500</v>
      </c>
      <c r="BD161" s="41"/>
      <c r="BE161" s="36"/>
      <c r="BF161" s="41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41"/>
      <c r="BU161" s="41"/>
      <c r="BV161" s="35" t="b">
        <v>1</v>
      </c>
      <c r="BW161" s="41">
        <f>IF(MOD(H161,4)=0,H161/4,ROUNDDOWN(H161/4,0))</f>
        <v>592816500</v>
      </c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35" t="b">
        <v>1</v>
      </c>
      <c r="CK161" s="36">
        <f>IF(MOD(H161,4)=0,H161/4,ROUNDUP(H161/4,0))</f>
        <v>592816500</v>
      </c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</row>
    <row r="162" spans="1:101" ht="32.25" customHeight="1" x14ac:dyDescent="0.25">
      <c r="A162" s="12">
        <f t="shared" si="0"/>
        <v>161</v>
      </c>
      <c r="B162" s="13" t="s">
        <v>251</v>
      </c>
      <c r="C162" s="13" t="s">
        <v>731</v>
      </c>
      <c r="D162" s="14" t="s">
        <v>1013</v>
      </c>
      <c r="E162" s="15" t="s">
        <v>1014</v>
      </c>
      <c r="F162" s="15" t="s">
        <v>1015</v>
      </c>
      <c r="G162" s="16">
        <v>31</v>
      </c>
      <c r="H162" s="17">
        <v>59473500</v>
      </c>
      <c r="I162" s="18"/>
      <c r="J162" s="18"/>
      <c r="K162" s="18"/>
      <c r="L162" s="18" t="s">
        <v>99</v>
      </c>
      <c r="M162" s="19">
        <v>17224</v>
      </c>
      <c r="N162" s="20" t="s">
        <v>100</v>
      </c>
      <c r="O162" s="13" t="b">
        <v>1</v>
      </c>
      <c r="P162" s="20" t="b">
        <v>1</v>
      </c>
      <c r="Q162" s="20" t="b">
        <v>1</v>
      </c>
      <c r="R162" s="13" t="b">
        <v>1</v>
      </c>
      <c r="S162" s="13" t="b">
        <v>1</v>
      </c>
      <c r="T162" s="13" t="b">
        <v>1</v>
      </c>
      <c r="U162" s="13" t="b">
        <v>1</v>
      </c>
      <c r="V162" s="13" t="b">
        <v>1</v>
      </c>
      <c r="W162" s="13" t="b">
        <v>1</v>
      </c>
      <c r="X162" s="13" t="b">
        <v>1</v>
      </c>
      <c r="Y162" s="21" t="s">
        <v>101</v>
      </c>
      <c r="Z162" s="21" t="s">
        <v>1016</v>
      </c>
      <c r="AA162" s="21" t="s">
        <v>1017</v>
      </c>
      <c r="AB162" s="22"/>
      <c r="AC162" s="23"/>
      <c r="AD162" s="13"/>
      <c r="AE162" s="13" t="b">
        <v>1</v>
      </c>
      <c r="AF162" s="48">
        <v>45898</v>
      </c>
      <c r="AG162" s="26" t="s">
        <v>104</v>
      </c>
      <c r="AH162" s="27" t="b">
        <v>1</v>
      </c>
      <c r="AI162" s="28">
        <v>45973</v>
      </c>
      <c r="AJ162" s="29" t="s">
        <v>939</v>
      </c>
      <c r="AK162" s="39" t="b">
        <v>1</v>
      </c>
      <c r="AL162" s="40">
        <v>46001</v>
      </c>
      <c r="AM162" s="29" t="s">
        <v>104</v>
      </c>
      <c r="AN162" s="29"/>
      <c r="AO162" s="13"/>
      <c r="AP162" s="12"/>
      <c r="AQ162" s="16"/>
      <c r="AR162" s="32"/>
      <c r="AS162" s="33"/>
      <c r="AT162" s="32"/>
      <c r="AU162" s="33"/>
      <c r="AV162" s="34"/>
      <c r="AW162" s="33"/>
      <c r="AX162" s="37"/>
      <c r="AY162" s="38"/>
      <c r="AZ162" s="37"/>
      <c r="BA162" s="38"/>
      <c r="BB162" s="37"/>
      <c r="BC162" s="38"/>
      <c r="BD162" s="42" t="b">
        <v>1</v>
      </c>
      <c r="BE162" s="36">
        <f>IF(MOD(H162,4)=0,H162/4,ROUNDUP(H162/4,0))</f>
        <v>14868375</v>
      </c>
      <c r="BF162" s="41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41"/>
      <c r="BU162" s="41"/>
      <c r="BV162" s="41"/>
      <c r="BW162" s="41"/>
      <c r="BX162" s="42" t="b">
        <v>1</v>
      </c>
      <c r="BY162" s="41">
        <f>IF(MOD(H162,4)=0,H162/4,ROUNDDOWN(H162/4,0))</f>
        <v>14868375</v>
      </c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35" t="b">
        <v>1</v>
      </c>
      <c r="CQ162" s="41">
        <f>IF(MOD(H162,4)=0,H162/4,ROUNDUP(H162/4,0))</f>
        <v>14868375</v>
      </c>
      <c r="CR162" s="41"/>
      <c r="CS162" s="41"/>
      <c r="CT162" s="41"/>
      <c r="CU162" s="41"/>
      <c r="CV162" s="41"/>
      <c r="CW162" s="41"/>
    </row>
    <row r="163" spans="1:101" ht="32.25" customHeight="1" x14ac:dyDescent="0.25">
      <c r="A163" s="12">
        <f t="shared" si="0"/>
        <v>162</v>
      </c>
      <c r="B163" s="13" t="s">
        <v>251</v>
      </c>
      <c r="C163" s="13" t="s">
        <v>731</v>
      </c>
      <c r="D163" s="14" t="s">
        <v>1018</v>
      </c>
      <c r="E163" s="15" t="s">
        <v>1019</v>
      </c>
      <c r="F163" s="15" t="s">
        <v>1020</v>
      </c>
      <c r="G163" s="16">
        <v>30</v>
      </c>
      <c r="H163" s="17">
        <v>57555000</v>
      </c>
      <c r="I163" s="18"/>
      <c r="J163" s="18"/>
      <c r="K163" s="18"/>
      <c r="L163" s="18" t="s">
        <v>99</v>
      </c>
      <c r="M163" s="19">
        <v>17225</v>
      </c>
      <c r="N163" s="20" t="s">
        <v>100</v>
      </c>
      <c r="O163" s="13" t="b">
        <v>1</v>
      </c>
      <c r="P163" s="20" t="b">
        <v>1</v>
      </c>
      <c r="Q163" s="20" t="b">
        <v>1</v>
      </c>
      <c r="R163" s="13" t="b">
        <v>1</v>
      </c>
      <c r="S163" s="13" t="b">
        <v>1</v>
      </c>
      <c r="T163" s="13" t="b">
        <v>1</v>
      </c>
      <c r="U163" s="13" t="b">
        <v>1</v>
      </c>
      <c r="V163" s="13" t="b">
        <v>1</v>
      </c>
      <c r="W163" s="13" t="b">
        <v>1</v>
      </c>
      <c r="X163" s="13" t="b">
        <v>1</v>
      </c>
      <c r="Y163" s="21" t="s">
        <v>101</v>
      </c>
      <c r="Z163" s="21" t="s">
        <v>1021</v>
      </c>
      <c r="AA163" s="21" t="s">
        <v>1019</v>
      </c>
      <c r="AB163" s="22"/>
      <c r="AC163" s="23"/>
      <c r="AD163" s="13"/>
      <c r="AE163" s="13" t="b">
        <v>1</v>
      </c>
      <c r="AF163" s="48">
        <v>45876</v>
      </c>
      <c r="AG163" s="26"/>
      <c r="AH163" s="27" t="b">
        <v>1</v>
      </c>
      <c r="AI163" s="28">
        <v>45936</v>
      </c>
      <c r="AJ163" s="29" t="s">
        <v>478</v>
      </c>
      <c r="AK163" s="39" t="b">
        <v>1</v>
      </c>
      <c r="AL163" s="40">
        <v>45986</v>
      </c>
      <c r="AM163" s="29" t="s">
        <v>104</v>
      </c>
      <c r="AN163" s="29"/>
      <c r="AO163" s="13"/>
      <c r="AP163" s="12"/>
      <c r="AQ163" s="16"/>
      <c r="AR163" s="12"/>
      <c r="AS163" s="33"/>
      <c r="AT163" s="32"/>
      <c r="AU163" s="33"/>
      <c r="AV163" s="34"/>
      <c r="AW163" s="33"/>
      <c r="AX163" s="35" t="b">
        <v>1</v>
      </c>
      <c r="AY163" s="36">
        <f>IF(MOD(H163,4)=0,H163/4,ROUNDUP(H163/4,0))</f>
        <v>14388750</v>
      </c>
      <c r="AZ163" s="37"/>
      <c r="BA163" s="38"/>
      <c r="BB163" s="37"/>
      <c r="BC163" s="38"/>
      <c r="BD163" s="37"/>
      <c r="BE163" s="38"/>
      <c r="BF163" s="37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  <c r="BS163" s="38"/>
      <c r="BT163" s="35" t="b">
        <v>1</v>
      </c>
      <c r="BU163" s="36">
        <f>IF(MOD(H163,4)=0,H163/4,ROUNDDOWN(H163/4,0))</f>
        <v>14388750</v>
      </c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5" t="b">
        <v>1</v>
      </c>
      <c r="CM163" s="41">
        <f>IF(MOD(H163,4)=0,H163/4,ROUNDUP(H163/4,0))</f>
        <v>14388750</v>
      </c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</row>
    <row r="164" spans="1:101" ht="32.25" customHeight="1" x14ac:dyDescent="0.25">
      <c r="A164" s="12">
        <f t="shared" si="0"/>
        <v>163</v>
      </c>
      <c r="B164" s="13" t="s">
        <v>251</v>
      </c>
      <c r="C164" s="13" t="s">
        <v>731</v>
      </c>
      <c r="D164" s="14" t="s">
        <v>1022</v>
      </c>
      <c r="E164" s="15" t="s">
        <v>1023</v>
      </c>
      <c r="F164" s="15" t="s">
        <v>1024</v>
      </c>
      <c r="G164" s="16">
        <v>225</v>
      </c>
      <c r="H164" s="17">
        <v>431662500</v>
      </c>
      <c r="I164" s="18"/>
      <c r="J164" s="18"/>
      <c r="K164" s="18"/>
      <c r="L164" s="18" t="s">
        <v>99</v>
      </c>
      <c r="M164" s="19">
        <v>17226</v>
      </c>
      <c r="N164" s="20" t="s">
        <v>100</v>
      </c>
      <c r="O164" s="13" t="b">
        <v>1</v>
      </c>
      <c r="P164" s="20" t="b">
        <v>1</v>
      </c>
      <c r="Q164" s="20" t="b">
        <v>1</v>
      </c>
      <c r="R164" s="13" t="b">
        <v>1</v>
      </c>
      <c r="S164" s="13" t="b">
        <v>1</v>
      </c>
      <c r="T164" s="13" t="b">
        <v>1</v>
      </c>
      <c r="U164" s="13" t="b">
        <v>0</v>
      </c>
      <c r="V164" s="13" t="b">
        <v>1</v>
      </c>
      <c r="W164" s="13" t="b">
        <v>1</v>
      </c>
      <c r="X164" s="13" t="b">
        <v>1</v>
      </c>
      <c r="Y164" s="21" t="s">
        <v>101</v>
      </c>
      <c r="Z164" s="21" t="s">
        <v>1025</v>
      </c>
      <c r="AA164" s="21" t="s">
        <v>1026</v>
      </c>
      <c r="AB164" s="22"/>
      <c r="AC164" s="23"/>
      <c r="AD164" s="13"/>
      <c r="AE164" s="13" t="b">
        <v>1</v>
      </c>
      <c r="AF164" s="28">
        <v>45919</v>
      </c>
      <c r="AG164" s="26" t="s">
        <v>104</v>
      </c>
      <c r="AH164" s="27" t="b">
        <v>1</v>
      </c>
      <c r="AI164" s="28">
        <v>45953</v>
      </c>
      <c r="AJ164" s="49" t="s">
        <v>104</v>
      </c>
      <c r="AK164" s="39" t="b">
        <v>1</v>
      </c>
      <c r="AL164" s="40">
        <v>45993</v>
      </c>
      <c r="AM164" s="29" t="s">
        <v>104</v>
      </c>
      <c r="AN164" s="29"/>
      <c r="AO164" s="13"/>
      <c r="AP164" s="12"/>
      <c r="AQ164" s="16"/>
      <c r="AR164" s="32"/>
      <c r="AS164" s="33"/>
      <c r="AT164" s="32"/>
      <c r="AU164" s="33"/>
      <c r="AV164" s="34"/>
      <c r="AW164" s="33"/>
      <c r="AX164" s="37"/>
      <c r="AY164" s="38"/>
      <c r="AZ164" s="37"/>
      <c r="BA164" s="38"/>
      <c r="BB164" s="35" t="b">
        <v>1</v>
      </c>
      <c r="BC164" s="36">
        <f t="shared" ref="BC164:BC166" si="65">IF(MOD(H164,4)=0,H164/4,ROUNDUP(H164/4,0))</f>
        <v>107915625</v>
      </c>
      <c r="BD164" s="41"/>
      <c r="BE164" s="36"/>
      <c r="BF164" s="41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41"/>
      <c r="BU164" s="41"/>
      <c r="BV164" s="35" t="b">
        <v>1</v>
      </c>
      <c r="BW164" s="41">
        <f t="shared" ref="BW164:BW165" si="66">IF(MOD(H164,4)=0,H164/4,ROUNDDOWN(H164/4,0))</f>
        <v>107915625</v>
      </c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35" t="b">
        <v>1</v>
      </c>
      <c r="CO164" s="36">
        <f>IF(MOD(H164,4)=0,H164/4,ROUNDUP(H164/4,0))</f>
        <v>107915625</v>
      </c>
      <c r="CP164" s="36"/>
      <c r="CQ164" s="36"/>
      <c r="CR164" s="36"/>
      <c r="CS164" s="36"/>
      <c r="CT164" s="36"/>
      <c r="CU164" s="36"/>
      <c r="CV164" s="36"/>
      <c r="CW164" s="36"/>
    </row>
    <row r="165" spans="1:101" ht="32.25" customHeight="1" x14ac:dyDescent="0.25">
      <c r="A165" s="12">
        <f t="shared" si="0"/>
        <v>164</v>
      </c>
      <c r="B165" s="13" t="s">
        <v>251</v>
      </c>
      <c r="C165" s="13" t="s">
        <v>731</v>
      </c>
      <c r="D165" s="14" t="s">
        <v>1027</v>
      </c>
      <c r="E165" s="15" t="s">
        <v>1028</v>
      </c>
      <c r="F165" s="15" t="s">
        <v>1029</v>
      </c>
      <c r="G165" s="16">
        <v>94</v>
      </c>
      <c r="H165" s="17">
        <v>180339000</v>
      </c>
      <c r="I165" s="18"/>
      <c r="J165" s="18"/>
      <c r="K165" s="18"/>
      <c r="L165" s="18" t="s">
        <v>99</v>
      </c>
      <c r="M165" s="19">
        <v>17227</v>
      </c>
      <c r="N165" s="20" t="s">
        <v>100</v>
      </c>
      <c r="O165" s="13" t="b">
        <v>1</v>
      </c>
      <c r="P165" s="20" t="b">
        <v>1</v>
      </c>
      <c r="Q165" s="20" t="b">
        <v>1</v>
      </c>
      <c r="R165" s="13" t="b">
        <v>1</v>
      </c>
      <c r="S165" s="13" t="b">
        <v>1</v>
      </c>
      <c r="T165" s="13" t="b">
        <v>1</v>
      </c>
      <c r="U165" s="13" t="b">
        <v>1</v>
      </c>
      <c r="V165" s="13" t="b">
        <v>1</v>
      </c>
      <c r="W165" s="13" t="b">
        <v>1</v>
      </c>
      <c r="X165" s="13" t="b">
        <v>0</v>
      </c>
      <c r="Y165" s="21" t="s">
        <v>101</v>
      </c>
      <c r="Z165" s="21" t="s">
        <v>1030</v>
      </c>
      <c r="AA165" s="21" t="s">
        <v>1031</v>
      </c>
      <c r="AB165" s="22"/>
      <c r="AC165" s="23"/>
      <c r="AD165" s="13"/>
      <c r="AE165" s="47" t="b">
        <v>1</v>
      </c>
      <c r="AF165" s="48">
        <v>45904</v>
      </c>
      <c r="AG165" s="26" t="s">
        <v>104</v>
      </c>
      <c r="AH165" s="27" t="b">
        <v>1</v>
      </c>
      <c r="AI165" s="28">
        <v>45943</v>
      </c>
      <c r="AJ165" s="49" t="s">
        <v>1032</v>
      </c>
      <c r="AK165" s="27" t="b">
        <v>1</v>
      </c>
      <c r="AL165" s="40">
        <v>45979</v>
      </c>
      <c r="AM165" s="29" t="s">
        <v>104</v>
      </c>
      <c r="AN165" s="29"/>
      <c r="AO165" s="13"/>
      <c r="AP165" s="12"/>
      <c r="AQ165" s="16"/>
      <c r="AR165" s="32"/>
      <c r="AS165" s="33"/>
      <c r="AT165" s="32"/>
      <c r="AU165" s="33"/>
      <c r="AV165" s="34"/>
      <c r="AW165" s="33"/>
      <c r="AX165" s="37"/>
      <c r="AY165" s="38"/>
      <c r="AZ165" s="37"/>
      <c r="BA165" s="38"/>
      <c r="BB165" s="35" t="b">
        <v>1</v>
      </c>
      <c r="BC165" s="36">
        <f t="shared" si="65"/>
        <v>45084750</v>
      </c>
      <c r="BD165" s="41"/>
      <c r="BE165" s="36"/>
      <c r="BF165" s="41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41"/>
      <c r="BU165" s="41"/>
      <c r="BV165" s="35" t="b">
        <v>1</v>
      </c>
      <c r="BW165" s="41">
        <f t="shared" si="66"/>
        <v>45084750</v>
      </c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35" t="b">
        <v>1</v>
      </c>
      <c r="CK165" s="36">
        <f>IF(MOD(H165,4)=0,H165/4,ROUNDUP(H165/4,0))</f>
        <v>45084750</v>
      </c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</row>
    <row r="166" spans="1:101" ht="32.25" customHeight="1" x14ac:dyDescent="0.25">
      <c r="A166" s="12">
        <f t="shared" si="0"/>
        <v>165</v>
      </c>
      <c r="B166" s="13" t="s">
        <v>251</v>
      </c>
      <c r="C166" s="13" t="s">
        <v>731</v>
      </c>
      <c r="D166" s="14" t="s">
        <v>1033</v>
      </c>
      <c r="E166" s="15" t="s">
        <v>1034</v>
      </c>
      <c r="F166" s="15" t="s">
        <v>1035</v>
      </c>
      <c r="G166" s="16">
        <v>658</v>
      </c>
      <c r="H166" s="17">
        <v>1262373000</v>
      </c>
      <c r="I166" s="18"/>
      <c r="J166" s="18"/>
      <c r="K166" s="18"/>
      <c r="L166" s="18" t="s">
        <v>99</v>
      </c>
      <c r="M166" s="19">
        <v>17228</v>
      </c>
      <c r="N166" s="20" t="s">
        <v>100</v>
      </c>
      <c r="O166" s="13" t="b">
        <v>1</v>
      </c>
      <c r="P166" s="20" t="b">
        <v>1</v>
      </c>
      <c r="Q166" s="20" t="b">
        <v>1</v>
      </c>
      <c r="R166" s="13" t="b">
        <v>1</v>
      </c>
      <c r="S166" s="13" t="b">
        <v>1</v>
      </c>
      <c r="T166" s="13" t="b">
        <v>1</v>
      </c>
      <c r="U166" s="13" t="b">
        <v>1</v>
      </c>
      <c r="V166" s="13" t="b">
        <v>1</v>
      </c>
      <c r="W166" s="13" t="b">
        <v>1</v>
      </c>
      <c r="X166" s="13" t="b">
        <v>1</v>
      </c>
      <c r="Y166" s="21" t="s">
        <v>443</v>
      </c>
      <c r="Z166" s="21" t="s">
        <v>1036</v>
      </c>
      <c r="AA166" s="21" t="s">
        <v>1034</v>
      </c>
      <c r="AB166" s="22"/>
      <c r="AC166" s="23"/>
      <c r="AD166" s="13"/>
      <c r="AE166" s="47" t="b">
        <v>1</v>
      </c>
      <c r="AF166" s="48">
        <v>45904</v>
      </c>
      <c r="AG166" s="26" t="s">
        <v>145</v>
      </c>
      <c r="AH166" s="39" t="b">
        <v>1</v>
      </c>
      <c r="AI166" s="28">
        <v>45971</v>
      </c>
      <c r="AJ166" s="29" t="s">
        <v>104</v>
      </c>
      <c r="AK166" s="39" t="b">
        <v>1</v>
      </c>
      <c r="AL166" s="40">
        <v>46020</v>
      </c>
      <c r="AM166" s="29" t="s">
        <v>104</v>
      </c>
      <c r="AN166" s="29"/>
      <c r="AO166" s="13"/>
      <c r="AP166" s="12"/>
      <c r="AQ166" s="16"/>
      <c r="AR166" s="12"/>
      <c r="AS166" s="33"/>
      <c r="AT166" s="32"/>
      <c r="AU166" s="33"/>
      <c r="AV166" s="34"/>
      <c r="AW166" s="33"/>
      <c r="AX166" s="37"/>
      <c r="AY166" s="38"/>
      <c r="AZ166" s="37"/>
      <c r="BA166" s="38"/>
      <c r="BB166" s="35" t="b">
        <v>1</v>
      </c>
      <c r="BC166" s="36">
        <f t="shared" si="65"/>
        <v>315593250</v>
      </c>
      <c r="BD166" s="41"/>
      <c r="BE166" s="36"/>
      <c r="BF166" s="41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41"/>
      <c r="BU166" s="41"/>
      <c r="BV166" s="41"/>
      <c r="BW166" s="41"/>
      <c r="BX166" s="42" t="b">
        <v>1</v>
      </c>
      <c r="BY166" s="41">
        <f t="shared" ref="BY166:BY167" si="67">IF(MOD(H166,4)=0,H166/4,ROUNDDOWN(H166/4,0))</f>
        <v>315593250</v>
      </c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37" t="b">
        <v>1</v>
      </c>
      <c r="CU166" s="38">
        <f>IF(MOD(H166,4)=0,H166/4,ROUNDUP(H166/4,0))</f>
        <v>315593250</v>
      </c>
      <c r="CV166" s="38"/>
      <c r="CW166" s="38"/>
    </row>
    <row r="167" spans="1:101" ht="32.25" customHeight="1" x14ac:dyDescent="0.25">
      <c r="A167" s="12">
        <f t="shared" si="0"/>
        <v>166</v>
      </c>
      <c r="B167" s="13" t="s">
        <v>251</v>
      </c>
      <c r="C167" s="13" t="s">
        <v>731</v>
      </c>
      <c r="D167" s="14" t="s">
        <v>1037</v>
      </c>
      <c r="E167" s="15" t="s">
        <v>1038</v>
      </c>
      <c r="F167" s="15" t="s">
        <v>1039</v>
      </c>
      <c r="G167" s="16">
        <v>344</v>
      </c>
      <c r="H167" s="17">
        <v>659964000</v>
      </c>
      <c r="I167" s="18"/>
      <c r="J167" s="18"/>
      <c r="K167" s="18"/>
      <c r="L167" s="18" t="s">
        <v>99</v>
      </c>
      <c r="M167" s="19">
        <v>17229</v>
      </c>
      <c r="N167" s="20" t="s">
        <v>100</v>
      </c>
      <c r="O167" s="13" t="b">
        <v>1</v>
      </c>
      <c r="P167" s="20" t="b">
        <v>1</v>
      </c>
      <c r="Q167" s="20" t="b">
        <v>1</v>
      </c>
      <c r="R167" s="13" t="b">
        <v>1</v>
      </c>
      <c r="S167" s="13" t="b">
        <v>1</v>
      </c>
      <c r="T167" s="13" t="b">
        <v>1</v>
      </c>
      <c r="U167" s="13" t="b">
        <v>1</v>
      </c>
      <c r="V167" s="13" t="b">
        <v>1</v>
      </c>
      <c r="W167" s="13" t="b">
        <v>1</v>
      </c>
      <c r="X167" s="13" t="b">
        <v>1</v>
      </c>
      <c r="Y167" s="21" t="s">
        <v>443</v>
      </c>
      <c r="Z167" s="21" t="s">
        <v>1040</v>
      </c>
      <c r="AA167" s="21" t="s">
        <v>1041</v>
      </c>
      <c r="AB167" s="22"/>
      <c r="AC167" s="23"/>
      <c r="AD167" s="13"/>
      <c r="AE167" s="13" t="b">
        <v>1</v>
      </c>
      <c r="AF167" s="48">
        <v>45926</v>
      </c>
      <c r="AG167" s="26" t="s">
        <v>1042</v>
      </c>
      <c r="AH167" s="27" t="b">
        <v>1</v>
      </c>
      <c r="AI167" s="28">
        <v>45972</v>
      </c>
      <c r="AJ167" s="29" t="s">
        <v>104</v>
      </c>
      <c r="AK167" s="39" t="b">
        <v>1</v>
      </c>
      <c r="AL167" s="40">
        <v>45972</v>
      </c>
      <c r="AM167" s="29" t="s">
        <v>104</v>
      </c>
      <c r="AN167" s="29"/>
      <c r="AO167" s="13"/>
      <c r="AP167" s="12"/>
      <c r="AQ167" s="16"/>
      <c r="AR167" s="12"/>
      <c r="AS167" s="33"/>
      <c r="AT167" s="32"/>
      <c r="AU167" s="33"/>
      <c r="AV167" s="34"/>
      <c r="AW167" s="33"/>
      <c r="AX167" s="37"/>
      <c r="AY167" s="38"/>
      <c r="AZ167" s="37"/>
      <c r="BA167" s="38"/>
      <c r="BB167" s="37"/>
      <c r="BC167" s="38"/>
      <c r="BD167" s="42" t="b">
        <v>1</v>
      </c>
      <c r="BE167" s="36">
        <f>IF(MOD(H167,4)=0,H167/4,ROUNDUP(H167/4,0))</f>
        <v>164991000</v>
      </c>
      <c r="BF167" s="41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41"/>
      <c r="BU167" s="41"/>
      <c r="BV167" s="41"/>
      <c r="BW167" s="41"/>
      <c r="BX167" s="42" t="b">
        <v>1</v>
      </c>
      <c r="BY167" s="41">
        <f t="shared" si="67"/>
        <v>164991000</v>
      </c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12" t="b">
        <v>1</v>
      </c>
      <c r="CS167" s="36">
        <f>IF(MOD(H167,4)=0,H167/4,ROUNDUP(H167/4,0))</f>
        <v>164991000</v>
      </c>
      <c r="CT167" s="36"/>
      <c r="CU167" s="36"/>
      <c r="CV167" s="36"/>
      <c r="CW167" s="36"/>
    </row>
    <row r="168" spans="1:101" ht="32.25" customHeight="1" x14ac:dyDescent="0.25">
      <c r="A168" s="12">
        <f t="shared" si="0"/>
        <v>167</v>
      </c>
      <c r="B168" s="13" t="s">
        <v>251</v>
      </c>
      <c r="C168" s="13" t="s">
        <v>731</v>
      </c>
      <c r="D168" s="14" t="s">
        <v>1043</v>
      </c>
      <c r="E168" s="15" t="s">
        <v>1044</v>
      </c>
      <c r="F168" s="15" t="s">
        <v>1045</v>
      </c>
      <c r="G168" s="16">
        <v>317</v>
      </c>
      <c r="H168" s="17">
        <v>608164500</v>
      </c>
      <c r="I168" s="18"/>
      <c r="J168" s="18"/>
      <c r="K168" s="18"/>
      <c r="L168" s="18" t="s">
        <v>99</v>
      </c>
      <c r="M168" s="19">
        <v>17230</v>
      </c>
      <c r="N168" s="20" t="s">
        <v>100</v>
      </c>
      <c r="O168" s="13" t="b">
        <v>1</v>
      </c>
      <c r="P168" s="20" t="b">
        <v>1</v>
      </c>
      <c r="Q168" s="20" t="b">
        <v>1</v>
      </c>
      <c r="R168" s="13" t="b">
        <v>1</v>
      </c>
      <c r="S168" s="13" t="b">
        <v>1</v>
      </c>
      <c r="T168" s="13" t="b">
        <v>1</v>
      </c>
      <c r="U168" s="13" t="b">
        <v>1</v>
      </c>
      <c r="V168" s="13" t="b">
        <v>1</v>
      </c>
      <c r="W168" s="13" t="b">
        <v>1</v>
      </c>
      <c r="X168" s="13" t="b">
        <v>1</v>
      </c>
      <c r="Y168" s="21" t="s">
        <v>101</v>
      </c>
      <c r="Z168" s="21" t="s">
        <v>1046</v>
      </c>
      <c r="AA168" s="21" t="s">
        <v>1047</v>
      </c>
      <c r="AB168" s="22"/>
      <c r="AC168" s="23"/>
      <c r="AD168" s="13"/>
      <c r="AE168" s="13" t="b">
        <v>1</v>
      </c>
      <c r="AF168" s="48">
        <v>45876</v>
      </c>
      <c r="AG168" s="26"/>
      <c r="AH168" s="27" t="b">
        <v>1</v>
      </c>
      <c r="AI168" s="48">
        <v>45915</v>
      </c>
      <c r="AJ168" s="29" t="s">
        <v>104</v>
      </c>
      <c r="AK168" s="27" t="b">
        <v>1</v>
      </c>
      <c r="AL168" s="40">
        <v>45974</v>
      </c>
      <c r="AM168" s="29" t="s">
        <v>104</v>
      </c>
      <c r="AN168" s="29"/>
      <c r="AO168" s="13"/>
      <c r="AP168" s="12"/>
      <c r="AQ168" s="16"/>
      <c r="AR168" s="32"/>
      <c r="AS168" s="33"/>
      <c r="AT168" s="32"/>
      <c r="AU168" s="33"/>
      <c r="AV168" s="34"/>
      <c r="AW168" s="33"/>
      <c r="AX168" s="35" t="b">
        <v>1</v>
      </c>
      <c r="AY168" s="36">
        <f t="shared" ref="AY168:AY169" si="68">IF(MOD(H168,4)=0,H168/4,ROUNDUP(H168/4,0))</f>
        <v>152041125</v>
      </c>
      <c r="AZ168" s="37"/>
      <c r="BA168" s="38"/>
      <c r="BB168" s="37"/>
      <c r="BC168" s="38"/>
      <c r="BD168" s="37"/>
      <c r="BE168" s="38"/>
      <c r="BF168" s="37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38"/>
      <c r="BS168" s="38"/>
      <c r="BT168" s="35" t="b">
        <v>1</v>
      </c>
      <c r="BU168" s="36">
        <f t="shared" ref="BU168:BU171" si="69">IF(MOD(H168,4)=0,H168/4,ROUNDDOWN(H168/4,0))</f>
        <v>152041125</v>
      </c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5" t="b">
        <v>1</v>
      </c>
      <c r="CK168" s="36">
        <f t="shared" ref="CK168:CK172" si="70">IF(MOD(H168,4)=0,H168/4,ROUNDUP(H168/4,0))</f>
        <v>152041125</v>
      </c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</row>
    <row r="169" spans="1:101" ht="32.25" customHeight="1" x14ac:dyDescent="0.25">
      <c r="A169" s="12">
        <f t="shared" si="0"/>
        <v>168</v>
      </c>
      <c r="B169" s="13" t="s">
        <v>251</v>
      </c>
      <c r="C169" s="13" t="s">
        <v>731</v>
      </c>
      <c r="D169" s="14" t="s">
        <v>1048</v>
      </c>
      <c r="E169" s="15" t="s">
        <v>1049</v>
      </c>
      <c r="F169" s="15" t="s">
        <v>1050</v>
      </c>
      <c r="G169" s="16">
        <v>266</v>
      </c>
      <c r="H169" s="17">
        <v>510321000</v>
      </c>
      <c r="I169" s="18"/>
      <c r="J169" s="18"/>
      <c r="K169" s="18"/>
      <c r="L169" s="18" t="s">
        <v>99</v>
      </c>
      <c r="M169" s="19">
        <v>17231</v>
      </c>
      <c r="N169" s="20" t="s">
        <v>100</v>
      </c>
      <c r="O169" s="13" t="b">
        <v>1</v>
      </c>
      <c r="P169" s="20" t="b">
        <v>1</v>
      </c>
      <c r="Q169" s="20" t="b">
        <v>1</v>
      </c>
      <c r="R169" s="13" t="b">
        <v>1</v>
      </c>
      <c r="S169" s="13" t="b">
        <v>1</v>
      </c>
      <c r="T169" s="13" t="b">
        <v>1</v>
      </c>
      <c r="U169" s="13" t="b">
        <v>1</v>
      </c>
      <c r="V169" s="13" t="b">
        <v>1</v>
      </c>
      <c r="W169" s="13" t="b">
        <v>1</v>
      </c>
      <c r="X169" s="13" t="b">
        <v>1</v>
      </c>
      <c r="Y169" s="21" t="s">
        <v>443</v>
      </c>
      <c r="Z169" s="21" t="s">
        <v>1051</v>
      </c>
      <c r="AA169" s="21" t="s">
        <v>1052</v>
      </c>
      <c r="AB169" s="22"/>
      <c r="AC169" s="23"/>
      <c r="AD169" s="13"/>
      <c r="AE169" s="13" t="b">
        <v>1</v>
      </c>
      <c r="AF169" s="48">
        <v>45873</v>
      </c>
      <c r="AG169" s="26"/>
      <c r="AH169" s="27" t="b">
        <v>1</v>
      </c>
      <c r="AI169" s="28">
        <v>45915</v>
      </c>
      <c r="AJ169" s="29" t="s">
        <v>104</v>
      </c>
      <c r="AK169" s="27" t="b">
        <v>1</v>
      </c>
      <c r="AL169" s="40">
        <v>45971</v>
      </c>
      <c r="AM169" s="29" t="s">
        <v>104</v>
      </c>
      <c r="AN169" s="29"/>
      <c r="AO169" s="13"/>
      <c r="AP169" s="12"/>
      <c r="AQ169" s="16"/>
      <c r="AR169" s="32"/>
      <c r="AS169" s="33"/>
      <c r="AT169" s="32"/>
      <c r="AU169" s="33"/>
      <c r="AV169" s="34"/>
      <c r="AW169" s="33"/>
      <c r="AX169" s="35" t="b">
        <v>1</v>
      </c>
      <c r="AY169" s="36">
        <f t="shared" si="68"/>
        <v>127580250</v>
      </c>
      <c r="AZ169" s="37"/>
      <c r="BA169" s="38"/>
      <c r="BB169" s="37"/>
      <c r="BC169" s="38"/>
      <c r="BD169" s="37"/>
      <c r="BE169" s="38"/>
      <c r="BF169" s="37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5" t="b">
        <v>1</v>
      </c>
      <c r="BU169" s="36">
        <f t="shared" si="69"/>
        <v>127580250</v>
      </c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5" t="b">
        <v>1</v>
      </c>
      <c r="CK169" s="36">
        <f t="shared" si="70"/>
        <v>127580250</v>
      </c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</row>
    <row r="170" spans="1:101" ht="32.25" customHeight="1" x14ac:dyDescent="0.25">
      <c r="A170" s="12">
        <f t="shared" si="0"/>
        <v>169</v>
      </c>
      <c r="B170" s="13" t="s">
        <v>251</v>
      </c>
      <c r="C170" s="13" t="s">
        <v>731</v>
      </c>
      <c r="D170" s="14" t="s">
        <v>1053</v>
      </c>
      <c r="E170" s="15" t="s">
        <v>1054</v>
      </c>
      <c r="F170" s="15" t="s">
        <v>1055</v>
      </c>
      <c r="G170" s="16">
        <v>803</v>
      </c>
      <c r="H170" s="17">
        <v>1540555500</v>
      </c>
      <c r="I170" s="18"/>
      <c r="J170" s="18"/>
      <c r="K170" s="18"/>
      <c r="L170" s="18" t="s">
        <v>99</v>
      </c>
      <c r="M170" s="19">
        <v>17232</v>
      </c>
      <c r="N170" s="20" t="s">
        <v>100</v>
      </c>
      <c r="O170" s="13" t="b">
        <v>1</v>
      </c>
      <c r="P170" s="20" t="b">
        <v>0</v>
      </c>
      <c r="Q170" s="20" t="b">
        <v>1</v>
      </c>
      <c r="R170" s="13" t="b">
        <v>1</v>
      </c>
      <c r="S170" s="13" t="b">
        <v>1</v>
      </c>
      <c r="T170" s="13" t="b">
        <v>1</v>
      </c>
      <c r="U170" s="13" t="b">
        <v>1</v>
      </c>
      <c r="V170" s="13" t="b">
        <v>0</v>
      </c>
      <c r="W170" s="13" t="b">
        <v>1</v>
      </c>
      <c r="X170" s="13" t="b">
        <v>0</v>
      </c>
      <c r="Y170" s="21" t="s">
        <v>443</v>
      </c>
      <c r="Z170" s="21" t="s">
        <v>1056</v>
      </c>
      <c r="AA170" s="21" t="s">
        <v>1054</v>
      </c>
      <c r="AB170" s="22"/>
      <c r="AC170" s="23"/>
      <c r="AD170" s="13"/>
      <c r="AE170" s="47" t="b">
        <v>1</v>
      </c>
      <c r="AF170" s="48">
        <v>45895</v>
      </c>
      <c r="AG170" s="26" t="s">
        <v>388</v>
      </c>
      <c r="AH170" s="27" t="b">
        <v>1</v>
      </c>
      <c r="AI170" s="28">
        <v>45936</v>
      </c>
      <c r="AJ170" s="29" t="s">
        <v>1057</v>
      </c>
      <c r="AK170" s="27" t="b">
        <v>1</v>
      </c>
      <c r="AL170" s="40">
        <v>45979</v>
      </c>
      <c r="AM170" s="29" t="s">
        <v>1058</v>
      </c>
      <c r="AN170" s="29"/>
      <c r="AO170" s="13"/>
      <c r="AP170" s="12"/>
      <c r="AQ170" s="16"/>
      <c r="AR170" s="32"/>
      <c r="AS170" s="33"/>
      <c r="AT170" s="32"/>
      <c r="AU170" s="33"/>
      <c r="AV170" s="34"/>
      <c r="AW170" s="33"/>
      <c r="AX170" s="37"/>
      <c r="AY170" s="38"/>
      <c r="AZ170" s="35" t="b">
        <v>1</v>
      </c>
      <c r="BA170" s="36">
        <f>IF(MOD(H170,4)=0,H170/4,ROUNDUP(H170/4,0))</f>
        <v>385138875</v>
      </c>
      <c r="BB170" s="41"/>
      <c r="BC170" s="36"/>
      <c r="BD170" s="41"/>
      <c r="BE170" s="36"/>
      <c r="BF170" s="41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5" t="b">
        <v>1</v>
      </c>
      <c r="BU170" s="36">
        <f t="shared" si="69"/>
        <v>385138875</v>
      </c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5" t="b">
        <v>1</v>
      </c>
      <c r="CK170" s="36">
        <f t="shared" si="70"/>
        <v>385138875</v>
      </c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</row>
    <row r="171" spans="1:101" ht="32.25" customHeight="1" x14ac:dyDescent="0.25">
      <c r="A171" s="12">
        <f t="shared" si="0"/>
        <v>170</v>
      </c>
      <c r="B171" s="13" t="s">
        <v>251</v>
      </c>
      <c r="C171" s="13" t="s">
        <v>731</v>
      </c>
      <c r="D171" s="14" t="s">
        <v>1059</v>
      </c>
      <c r="E171" s="15" t="s">
        <v>1060</v>
      </c>
      <c r="F171" s="15" t="s">
        <v>1061</v>
      </c>
      <c r="G171" s="16">
        <v>271</v>
      </c>
      <c r="H171" s="17">
        <v>519913500</v>
      </c>
      <c r="I171" s="18"/>
      <c r="J171" s="18"/>
      <c r="K171" s="18"/>
      <c r="L171" s="18" t="s">
        <v>99</v>
      </c>
      <c r="M171" s="19">
        <v>17233</v>
      </c>
      <c r="N171" s="20" t="s">
        <v>100</v>
      </c>
      <c r="O171" s="13" t="b">
        <v>1</v>
      </c>
      <c r="P171" s="20" t="b">
        <v>1</v>
      </c>
      <c r="Q171" s="20" t="b">
        <v>1</v>
      </c>
      <c r="R171" s="13" t="b">
        <v>1</v>
      </c>
      <c r="S171" s="13" t="b">
        <v>1</v>
      </c>
      <c r="T171" s="13" t="b">
        <v>1</v>
      </c>
      <c r="U171" s="13" t="b">
        <v>1</v>
      </c>
      <c r="V171" s="13" t="b">
        <v>1</v>
      </c>
      <c r="W171" s="13" t="b">
        <v>1</v>
      </c>
      <c r="X171" s="13" t="b">
        <v>1</v>
      </c>
      <c r="Y171" s="21" t="s">
        <v>443</v>
      </c>
      <c r="Z171" s="21" t="s">
        <v>1062</v>
      </c>
      <c r="AA171" s="21" t="s">
        <v>1060</v>
      </c>
      <c r="AB171" s="22"/>
      <c r="AC171" s="23"/>
      <c r="AD171" s="13"/>
      <c r="AE171" s="13" t="b">
        <v>1</v>
      </c>
      <c r="AF171" s="48">
        <v>45873</v>
      </c>
      <c r="AG171" s="26"/>
      <c r="AH171" s="27" t="b">
        <v>1</v>
      </c>
      <c r="AI171" s="28">
        <v>45936</v>
      </c>
      <c r="AJ171" s="29" t="s">
        <v>104</v>
      </c>
      <c r="AK171" s="27" t="b">
        <v>1</v>
      </c>
      <c r="AL171" s="40">
        <v>45985</v>
      </c>
      <c r="AM171" s="29" t="s">
        <v>454</v>
      </c>
      <c r="AN171" s="29"/>
      <c r="AO171" s="13"/>
      <c r="AP171" s="12"/>
      <c r="AQ171" s="16"/>
      <c r="AR171" s="32"/>
      <c r="AS171" s="33"/>
      <c r="AT171" s="32"/>
      <c r="AU171" s="33"/>
      <c r="AV171" s="34"/>
      <c r="AW171" s="33"/>
      <c r="AX171" s="35" t="b">
        <v>1</v>
      </c>
      <c r="AY171" s="36">
        <f>IF(MOD(H171,4)=0,H171/4,ROUNDUP(H171/4,0))</f>
        <v>129978375</v>
      </c>
      <c r="AZ171" s="37"/>
      <c r="BA171" s="38"/>
      <c r="BB171" s="37"/>
      <c r="BC171" s="38"/>
      <c r="BD171" s="37"/>
      <c r="BE171" s="38"/>
      <c r="BF171" s="37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5" t="b">
        <v>1</v>
      </c>
      <c r="BU171" s="36">
        <f t="shared" si="69"/>
        <v>129978375</v>
      </c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5" t="b">
        <v>1</v>
      </c>
      <c r="CK171" s="36">
        <f t="shared" si="70"/>
        <v>129978375</v>
      </c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</row>
    <row r="172" spans="1:101" ht="32.25" customHeight="1" x14ac:dyDescent="0.25">
      <c r="A172" s="12">
        <f t="shared" si="0"/>
        <v>171</v>
      </c>
      <c r="B172" s="13" t="s">
        <v>251</v>
      </c>
      <c r="C172" s="13" t="s">
        <v>731</v>
      </c>
      <c r="D172" s="14" t="s">
        <v>1063</v>
      </c>
      <c r="E172" s="15" t="s">
        <v>1064</v>
      </c>
      <c r="F172" s="15" t="s">
        <v>1065</v>
      </c>
      <c r="G172" s="16">
        <v>103</v>
      </c>
      <c r="H172" s="17">
        <v>197605500</v>
      </c>
      <c r="I172" s="18"/>
      <c r="J172" s="18"/>
      <c r="K172" s="18"/>
      <c r="L172" s="18" t="s">
        <v>99</v>
      </c>
      <c r="M172" s="19">
        <v>17234</v>
      </c>
      <c r="N172" s="20" t="s">
        <v>100</v>
      </c>
      <c r="O172" s="13" t="b">
        <v>1</v>
      </c>
      <c r="P172" s="20" t="b">
        <v>1</v>
      </c>
      <c r="Q172" s="20" t="b">
        <v>1</v>
      </c>
      <c r="R172" s="13" t="b">
        <v>1</v>
      </c>
      <c r="S172" s="13" t="b">
        <v>1</v>
      </c>
      <c r="T172" s="13" t="b">
        <v>1</v>
      </c>
      <c r="U172" s="13" t="b">
        <v>1</v>
      </c>
      <c r="V172" s="13" t="b">
        <v>1</v>
      </c>
      <c r="W172" s="13" t="b">
        <v>1</v>
      </c>
      <c r="X172" s="13" t="b">
        <v>0</v>
      </c>
      <c r="Y172" s="21" t="s">
        <v>443</v>
      </c>
      <c r="Z172" s="21" t="s">
        <v>1066</v>
      </c>
      <c r="AA172" s="21" t="s">
        <v>1064</v>
      </c>
      <c r="AB172" s="22"/>
      <c r="AC172" s="23"/>
      <c r="AD172" s="13"/>
      <c r="AE172" s="47" t="b">
        <v>1</v>
      </c>
      <c r="AF172" s="48">
        <v>45923</v>
      </c>
      <c r="AG172" s="26" t="s">
        <v>1067</v>
      </c>
      <c r="AH172" s="27" t="b">
        <v>1</v>
      </c>
      <c r="AI172" s="28">
        <v>45959</v>
      </c>
      <c r="AJ172" s="29" t="s">
        <v>1068</v>
      </c>
      <c r="AK172" s="27" t="b">
        <v>1</v>
      </c>
      <c r="AL172" s="40">
        <v>45985</v>
      </c>
      <c r="AM172" s="29" t="s">
        <v>104</v>
      </c>
      <c r="AN172" s="29"/>
      <c r="AO172" s="13"/>
      <c r="AP172" s="12"/>
      <c r="AQ172" s="16"/>
      <c r="AR172" s="32"/>
      <c r="AS172" s="33"/>
      <c r="AT172" s="32"/>
      <c r="AU172" s="33"/>
      <c r="AV172" s="34"/>
      <c r="AW172" s="33"/>
      <c r="AX172" s="37"/>
      <c r="AY172" s="38"/>
      <c r="AZ172" s="37"/>
      <c r="BA172" s="38"/>
      <c r="BB172" s="37"/>
      <c r="BC172" s="38"/>
      <c r="BD172" s="42" t="b">
        <v>1</v>
      </c>
      <c r="BE172" s="36">
        <f>IF(MOD(H172,4)=0,H172/4,ROUNDUP(H172/4,0))</f>
        <v>49401375</v>
      </c>
      <c r="BF172" s="41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41"/>
      <c r="BU172" s="41"/>
      <c r="BV172" s="35" t="b">
        <v>1</v>
      </c>
      <c r="BW172" s="41">
        <f t="shared" ref="BW172:BW174" si="71">IF(MOD(H172,4)=0,H172/4,ROUNDDOWN(H172/4,0))</f>
        <v>49401375</v>
      </c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35" t="b">
        <v>1</v>
      </c>
      <c r="CK172" s="36">
        <f t="shared" si="70"/>
        <v>49401375</v>
      </c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</row>
    <row r="173" spans="1:101" ht="32.25" customHeight="1" x14ac:dyDescent="0.25">
      <c r="A173" s="12">
        <f t="shared" si="0"/>
        <v>172</v>
      </c>
      <c r="B173" s="13" t="s">
        <v>251</v>
      </c>
      <c r="C173" s="13" t="s">
        <v>731</v>
      </c>
      <c r="D173" s="14" t="s">
        <v>1069</v>
      </c>
      <c r="E173" s="15" t="s">
        <v>1070</v>
      </c>
      <c r="F173" s="15" t="s">
        <v>1071</v>
      </c>
      <c r="G173" s="16">
        <v>227</v>
      </c>
      <c r="H173" s="17">
        <v>435499500</v>
      </c>
      <c r="I173" s="18"/>
      <c r="J173" s="18"/>
      <c r="K173" s="18"/>
      <c r="L173" s="18" t="s">
        <v>99</v>
      </c>
      <c r="M173" s="19">
        <v>17235</v>
      </c>
      <c r="N173" s="20" t="s">
        <v>100</v>
      </c>
      <c r="O173" s="13" t="b">
        <v>1</v>
      </c>
      <c r="P173" s="20" t="b">
        <v>1</v>
      </c>
      <c r="Q173" s="20" t="b">
        <v>1</v>
      </c>
      <c r="R173" s="13" t="b">
        <v>1</v>
      </c>
      <c r="S173" s="13" t="b">
        <v>1</v>
      </c>
      <c r="T173" s="13" t="b">
        <v>1</v>
      </c>
      <c r="U173" s="13" t="b">
        <v>1</v>
      </c>
      <c r="V173" s="13" t="b">
        <v>1</v>
      </c>
      <c r="W173" s="13" t="b">
        <v>1</v>
      </c>
      <c r="X173" s="13" t="b">
        <v>1</v>
      </c>
      <c r="Y173" s="21" t="s">
        <v>443</v>
      </c>
      <c r="Z173" s="21" t="s">
        <v>1072</v>
      </c>
      <c r="AA173" s="21" t="s">
        <v>1073</v>
      </c>
      <c r="AB173" s="22"/>
      <c r="AC173" s="23"/>
      <c r="AD173" s="13"/>
      <c r="AE173" s="13" t="b">
        <v>1</v>
      </c>
      <c r="AF173" s="48">
        <v>45903</v>
      </c>
      <c r="AG173" s="26" t="s">
        <v>104</v>
      </c>
      <c r="AH173" s="27" t="b">
        <v>1</v>
      </c>
      <c r="AI173" s="28">
        <v>45953</v>
      </c>
      <c r="AJ173" s="49" t="s">
        <v>104</v>
      </c>
      <c r="AK173" s="39" t="b">
        <v>1</v>
      </c>
      <c r="AL173" s="40">
        <v>46001</v>
      </c>
      <c r="AM173" s="29" t="s">
        <v>104</v>
      </c>
      <c r="AN173" s="29"/>
      <c r="AO173" s="13"/>
      <c r="AP173" s="12"/>
      <c r="AQ173" s="16"/>
      <c r="AR173" s="12"/>
      <c r="AS173" s="33"/>
      <c r="AT173" s="32"/>
      <c r="AU173" s="33"/>
      <c r="AV173" s="34"/>
      <c r="AW173" s="33"/>
      <c r="AX173" s="37"/>
      <c r="AY173" s="38"/>
      <c r="AZ173" s="37"/>
      <c r="BA173" s="38"/>
      <c r="BB173" s="35" t="b">
        <v>1</v>
      </c>
      <c r="BC173" s="36">
        <f>IF(MOD(H173,4)=0,H173/4,ROUNDUP(H173/4,0))</f>
        <v>108874875</v>
      </c>
      <c r="BD173" s="41"/>
      <c r="BE173" s="36"/>
      <c r="BF173" s="41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41"/>
      <c r="BU173" s="41"/>
      <c r="BV173" s="35" t="b">
        <v>1</v>
      </c>
      <c r="BW173" s="41">
        <f t="shared" si="71"/>
        <v>108874875</v>
      </c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35" t="b">
        <v>1</v>
      </c>
      <c r="CQ173" s="41">
        <f>IF(MOD(H173,4)=0,H173/4,ROUNDUP(H173/4,0))</f>
        <v>108874875</v>
      </c>
      <c r="CR173" s="41"/>
      <c r="CS173" s="41"/>
      <c r="CT173" s="41"/>
      <c r="CU173" s="41"/>
      <c r="CV173" s="41"/>
      <c r="CW173" s="41"/>
    </row>
    <row r="174" spans="1:101" ht="32.25" customHeight="1" x14ac:dyDescent="0.25">
      <c r="A174" s="12">
        <f t="shared" si="0"/>
        <v>173</v>
      </c>
      <c r="B174" s="13" t="s">
        <v>251</v>
      </c>
      <c r="C174" s="13" t="s">
        <v>731</v>
      </c>
      <c r="D174" s="14" t="s">
        <v>1074</v>
      </c>
      <c r="E174" s="15" t="s">
        <v>1075</v>
      </c>
      <c r="F174" s="15" t="s">
        <v>1076</v>
      </c>
      <c r="G174" s="16">
        <v>355</v>
      </c>
      <c r="H174" s="17">
        <v>681067500</v>
      </c>
      <c r="I174" s="18"/>
      <c r="J174" s="18"/>
      <c r="K174" s="18"/>
      <c r="L174" s="18" t="s">
        <v>99</v>
      </c>
      <c r="M174" s="19">
        <v>17236</v>
      </c>
      <c r="N174" s="20" t="s">
        <v>100</v>
      </c>
      <c r="O174" s="13" t="b">
        <v>1</v>
      </c>
      <c r="P174" s="20" t="b">
        <v>1</v>
      </c>
      <c r="Q174" s="20" t="b">
        <v>1</v>
      </c>
      <c r="R174" s="13" t="b">
        <v>0</v>
      </c>
      <c r="S174" s="13" t="b">
        <v>0</v>
      </c>
      <c r="T174" s="13" t="b">
        <v>1</v>
      </c>
      <c r="U174" s="13" t="b">
        <v>0</v>
      </c>
      <c r="V174" s="13" t="b">
        <v>0</v>
      </c>
      <c r="W174" s="13" t="b">
        <v>0</v>
      </c>
      <c r="X174" s="13" t="b">
        <v>0</v>
      </c>
      <c r="Y174" s="21" t="s">
        <v>443</v>
      </c>
      <c r="Z174" s="21" t="s">
        <v>1077</v>
      </c>
      <c r="AA174" s="21" t="s">
        <v>1075</v>
      </c>
      <c r="AB174" s="22"/>
      <c r="AC174" s="23"/>
      <c r="AD174" s="13"/>
      <c r="AE174" s="47" t="b">
        <v>1</v>
      </c>
      <c r="AF174" s="48">
        <v>45923</v>
      </c>
      <c r="AG174" s="62" t="s">
        <v>1078</v>
      </c>
      <c r="AH174" s="27" t="b">
        <v>1</v>
      </c>
      <c r="AI174" s="28">
        <v>45957</v>
      </c>
      <c r="AJ174" s="49" t="s">
        <v>1079</v>
      </c>
      <c r="AK174" s="39" t="b">
        <v>1</v>
      </c>
      <c r="AL174" s="40">
        <v>46008</v>
      </c>
      <c r="AM174" s="29" t="s">
        <v>104</v>
      </c>
      <c r="AN174" s="29"/>
      <c r="AO174" s="13"/>
      <c r="AP174" s="12"/>
      <c r="AQ174" s="16"/>
      <c r="AR174" s="32"/>
      <c r="AS174" s="33"/>
      <c r="AT174" s="32"/>
      <c r="AU174" s="33"/>
      <c r="AV174" s="34"/>
      <c r="AW174" s="33"/>
      <c r="AX174" s="37"/>
      <c r="AY174" s="38"/>
      <c r="AZ174" s="37"/>
      <c r="BA174" s="38"/>
      <c r="BB174" s="37"/>
      <c r="BC174" s="38"/>
      <c r="BD174" s="42" t="b">
        <v>1</v>
      </c>
      <c r="BE174" s="36">
        <f>IF(MOD(H174,4)=0,H174/4,ROUNDUP(H174/4,0))</f>
        <v>170266875</v>
      </c>
      <c r="BF174" s="41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41"/>
      <c r="BU174" s="41"/>
      <c r="BV174" s="35" t="b">
        <v>1</v>
      </c>
      <c r="BW174" s="41">
        <f t="shared" si="71"/>
        <v>170266875</v>
      </c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12" t="b">
        <v>1</v>
      </c>
      <c r="CS174" s="36">
        <f>IF(MOD(H174,4)=0,H174/4,ROUNDUP(H174/4,0))</f>
        <v>170266875</v>
      </c>
      <c r="CT174" s="36"/>
      <c r="CU174" s="36"/>
      <c r="CV174" s="36"/>
      <c r="CW174" s="36"/>
    </row>
    <row r="175" spans="1:101" ht="32.25" customHeight="1" x14ac:dyDescent="0.25">
      <c r="A175" s="12">
        <f t="shared" si="0"/>
        <v>174</v>
      </c>
      <c r="B175" s="13" t="s">
        <v>251</v>
      </c>
      <c r="C175" s="13" t="s">
        <v>731</v>
      </c>
      <c r="D175" s="14" t="s">
        <v>1080</v>
      </c>
      <c r="E175" s="15" t="s">
        <v>1081</v>
      </c>
      <c r="F175" s="15" t="s">
        <v>1082</v>
      </c>
      <c r="G175" s="16">
        <v>16</v>
      </c>
      <c r="H175" s="17">
        <v>30696000</v>
      </c>
      <c r="I175" s="18"/>
      <c r="J175" s="18"/>
      <c r="K175" s="18"/>
      <c r="L175" s="18" t="s">
        <v>99</v>
      </c>
      <c r="M175" s="19">
        <v>17237</v>
      </c>
      <c r="N175" s="20" t="s">
        <v>100</v>
      </c>
      <c r="O175" s="13" t="b">
        <v>0</v>
      </c>
      <c r="P175" s="20" t="b">
        <v>0</v>
      </c>
      <c r="Q175" s="20" t="b">
        <v>0</v>
      </c>
      <c r="R175" s="13" t="b">
        <v>0</v>
      </c>
      <c r="S175" s="13" t="b">
        <v>0</v>
      </c>
      <c r="T175" s="13" t="b">
        <v>0</v>
      </c>
      <c r="U175" s="13" t="b">
        <v>0</v>
      </c>
      <c r="V175" s="13" t="b">
        <v>0</v>
      </c>
      <c r="W175" s="13" t="b">
        <v>0</v>
      </c>
      <c r="X175" s="13" t="b">
        <v>0</v>
      </c>
      <c r="Y175" s="21" t="s">
        <v>101</v>
      </c>
      <c r="Z175" s="21" t="s">
        <v>1083</v>
      </c>
      <c r="AA175" s="21" t="s">
        <v>1084</v>
      </c>
      <c r="AB175" s="15"/>
      <c r="AC175" s="13"/>
      <c r="AD175" s="13"/>
      <c r="AE175" s="13" t="b">
        <v>0</v>
      </c>
      <c r="AF175" s="48"/>
      <c r="AG175" s="26"/>
      <c r="AH175" s="39" t="b">
        <v>0</v>
      </c>
      <c r="AI175" s="28"/>
      <c r="AJ175" s="29"/>
      <c r="AK175" s="39" t="b">
        <v>0</v>
      </c>
      <c r="AL175" s="29"/>
      <c r="AM175" s="29"/>
      <c r="AN175" s="29"/>
      <c r="AO175" s="13"/>
      <c r="AP175" s="32"/>
      <c r="AQ175" s="33"/>
      <c r="AR175" s="32"/>
      <c r="AS175" s="33"/>
      <c r="AT175" s="32"/>
      <c r="AU175" s="33"/>
      <c r="AV175" s="34"/>
      <c r="AW175" s="33"/>
      <c r="AX175" s="37"/>
      <c r="AY175" s="38"/>
      <c r="AZ175" s="37"/>
      <c r="BA175" s="38"/>
      <c r="BB175" s="37"/>
      <c r="BC175" s="38"/>
      <c r="BD175" s="37"/>
      <c r="BE175" s="38"/>
      <c r="BF175" s="37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</row>
    <row r="176" spans="1:101" ht="32.25" customHeight="1" x14ac:dyDescent="0.25">
      <c r="A176" s="12">
        <f t="shared" si="0"/>
        <v>175</v>
      </c>
      <c r="B176" s="13" t="s">
        <v>251</v>
      </c>
      <c r="C176" s="13" t="s">
        <v>731</v>
      </c>
      <c r="D176" s="14" t="s">
        <v>1085</v>
      </c>
      <c r="E176" s="15" t="s">
        <v>1086</v>
      </c>
      <c r="F176" s="15" t="s">
        <v>1087</v>
      </c>
      <c r="G176" s="16">
        <v>318</v>
      </c>
      <c r="H176" s="17">
        <v>610083000</v>
      </c>
      <c r="I176" s="18"/>
      <c r="J176" s="18"/>
      <c r="K176" s="18"/>
      <c r="L176" s="18" t="s">
        <v>99</v>
      </c>
      <c r="M176" s="19">
        <v>17238</v>
      </c>
      <c r="N176" s="20" t="s">
        <v>100</v>
      </c>
      <c r="O176" s="13" t="b">
        <v>1</v>
      </c>
      <c r="P176" s="20" t="b">
        <v>1</v>
      </c>
      <c r="Q176" s="20" t="b">
        <v>1</v>
      </c>
      <c r="R176" s="13" t="b">
        <v>1</v>
      </c>
      <c r="S176" s="13" t="b">
        <v>1</v>
      </c>
      <c r="T176" s="13" t="b">
        <v>1</v>
      </c>
      <c r="U176" s="13" t="b">
        <v>1</v>
      </c>
      <c r="V176" s="13" t="b">
        <v>1</v>
      </c>
      <c r="W176" s="13" t="b">
        <v>1</v>
      </c>
      <c r="X176" s="13" t="b">
        <v>0</v>
      </c>
      <c r="Y176" s="21" t="s">
        <v>101</v>
      </c>
      <c r="Z176" s="21" t="s">
        <v>1088</v>
      </c>
      <c r="AA176" s="21" t="s">
        <v>1086</v>
      </c>
      <c r="AB176" s="22"/>
      <c r="AC176" s="23"/>
      <c r="AD176" s="13"/>
      <c r="AE176" s="13" t="b">
        <v>1</v>
      </c>
      <c r="AF176" s="48">
        <v>45880</v>
      </c>
      <c r="AG176" s="26"/>
      <c r="AH176" s="27" t="b">
        <v>1</v>
      </c>
      <c r="AI176" s="48">
        <v>45915</v>
      </c>
      <c r="AJ176" s="29" t="s">
        <v>104</v>
      </c>
      <c r="AK176" s="27" t="b">
        <v>1</v>
      </c>
      <c r="AL176" s="40">
        <v>45972</v>
      </c>
      <c r="AM176" s="29" t="s">
        <v>104</v>
      </c>
      <c r="AN176" s="29"/>
      <c r="AO176" s="13"/>
      <c r="AP176" s="12"/>
      <c r="AQ176" s="16"/>
      <c r="AR176" s="12"/>
      <c r="AS176" s="33"/>
      <c r="AT176" s="32"/>
      <c r="AU176" s="33"/>
      <c r="AV176" s="34"/>
      <c r="AW176" s="33"/>
      <c r="AX176" s="35" t="b">
        <v>1</v>
      </c>
      <c r="AY176" s="36">
        <f>IF(MOD(H176,4)=0,H176/4,ROUNDUP(H176/4,0))</f>
        <v>152520750</v>
      </c>
      <c r="AZ176" s="37"/>
      <c r="BA176" s="38"/>
      <c r="BB176" s="37"/>
      <c r="BC176" s="38"/>
      <c r="BD176" s="37"/>
      <c r="BE176" s="38"/>
      <c r="BF176" s="37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5" t="b">
        <v>1</v>
      </c>
      <c r="BU176" s="36">
        <f>IF(MOD(H176,4)=0,H176/4,ROUNDDOWN(H176/4,0))</f>
        <v>152520750</v>
      </c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5" t="b">
        <v>1</v>
      </c>
      <c r="CK176" s="36">
        <f>IF(MOD(H176,4)=0,H176/4,ROUNDUP(H176/4,0))</f>
        <v>152520750</v>
      </c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</row>
    <row r="177" spans="1:101" ht="32.25" customHeight="1" x14ac:dyDescent="0.25">
      <c r="A177" s="12">
        <f t="shared" si="0"/>
        <v>176</v>
      </c>
      <c r="B177" s="13" t="s">
        <v>251</v>
      </c>
      <c r="C177" s="13" t="s">
        <v>731</v>
      </c>
      <c r="D177" s="14" t="s">
        <v>1089</v>
      </c>
      <c r="E177" s="15" t="s">
        <v>1090</v>
      </c>
      <c r="F177" s="15" t="s">
        <v>1091</v>
      </c>
      <c r="G177" s="16">
        <v>320</v>
      </c>
      <c r="H177" s="17">
        <v>613920000</v>
      </c>
      <c r="I177" s="18"/>
      <c r="J177" s="18"/>
      <c r="K177" s="18"/>
      <c r="L177" s="18" t="s">
        <v>99</v>
      </c>
      <c r="M177" s="19">
        <v>17239</v>
      </c>
      <c r="N177" s="20" t="s">
        <v>100</v>
      </c>
      <c r="O177" s="13" t="b">
        <v>1</v>
      </c>
      <c r="P177" s="20" t="b">
        <v>1</v>
      </c>
      <c r="Q177" s="20" t="b">
        <v>1</v>
      </c>
      <c r="R177" s="13" t="b">
        <v>1</v>
      </c>
      <c r="S177" s="13" t="b">
        <v>1</v>
      </c>
      <c r="T177" s="13" t="b">
        <v>1</v>
      </c>
      <c r="U177" s="13" t="b">
        <v>1</v>
      </c>
      <c r="V177" s="13" t="b">
        <v>1</v>
      </c>
      <c r="W177" s="13" t="b">
        <v>1</v>
      </c>
      <c r="X177" s="13" t="b">
        <v>0</v>
      </c>
      <c r="Y177" s="21" t="s">
        <v>443</v>
      </c>
      <c r="Z177" s="21" t="s">
        <v>1092</v>
      </c>
      <c r="AA177" s="21" t="s">
        <v>1090</v>
      </c>
      <c r="AB177" s="22"/>
      <c r="AC177" s="23"/>
      <c r="AD177" s="13"/>
      <c r="AE177" s="13" t="b">
        <v>1</v>
      </c>
      <c r="AF177" s="48">
        <v>45996</v>
      </c>
      <c r="AG177" s="26" t="s">
        <v>1093</v>
      </c>
      <c r="AH177" s="39" t="b">
        <v>1</v>
      </c>
      <c r="AI177" s="28">
        <v>46013</v>
      </c>
      <c r="AJ177" s="29" t="s">
        <v>110</v>
      </c>
      <c r="AK177" s="39" t="b">
        <v>0</v>
      </c>
      <c r="AL177" s="29"/>
      <c r="AM177" s="29"/>
      <c r="AN177" s="29"/>
      <c r="AO177" s="13"/>
      <c r="AP177" s="12"/>
      <c r="AQ177" s="16"/>
      <c r="AR177" s="32"/>
      <c r="AS177" s="33"/>
      <c r="AT177" s="32"/>
      <c r="AU177" s="33"/>
      <c r="AV177" s="34"/>
      <c r="AW177" s="33"/>
      <c r="AX177" s="37"/>
      <c r="AY177" s="38"/>
      <c r="AZ177" s="37"/>
      <c r="BA177" s="38"/>
      <c r="BB177" s="37"/>
      <c r="BC177" s="38"/>
      <c r="BD177" s="37"/>
      <c r="BE177" s="38"/>
      <c r="BF177" s="37"/>
      <c r="BG177" s="38"/>
      <c r="BH177" s="38"/>
      <c r="BI177" s="38"/>
      <c r="BJ177" s="38"/>
      <c r="BK177" s="38"/>
      <c r="BL177" s="38"/>
      <c r="BM177" s="38"/>
      <c r="BN177" s="42" t="b">
        <v>1</v>
      </c>
      <c r="BO177" s="38">
        <f>IF(MOD(H177,4)=0,H177/4,ROUNDUP(H177/4,0))</f>
        <v>153480000</v>
      </c>
      <c r="BP177" s="38"/>
      <c r="BQ177" s="38"/>
      <c r="BR177" s="38"/>
      <c r="BS177" s="38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42" t="b">
        <v>1</v>
      </c>
      <c r="CI177" s="38">
        <f>IF(MOD(H177,4)=0,H177/4,ROUNDDOWN(H177/4,0))</f>
        <v>153480000</v>
      </c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</row>
    <row r="178" spans="1:101" ht="32.25" customHeight="1" x14ac:dyDescent="0.25">
      <c r="A178" s="12">
        <f t="shared" si="0"/>
        <v>177</v>
      </c>
      <c r="B178" s="13" t="s">
        <v>251</v>
      </c>
      <c r="C178" s="13" t="s">
        <v>731</v>
      </c>
      <c r="D178" s="14" t="s">
        <v>1094</v>
      </c>
      <c r="E178" s="15" t="s">
        <v>1095</v>
      </c>
      <c r="F178" s="15" t="s">
        <v>1096</v>
      </c>
      <c r="G178" s="16">
        <v>286</v>
      </c>
      <c r="H178" s="17">
        <v>548691000</v>
      </c>
      <c r="I178" s="18"/>
      <c r="J178" s="18"/>
      <c r="K178" s="18"/>
      <c r="L178" s="18" t="s">
        <v>99</v>
      </c>
      <c r="M178" s="19">
        <v>17240</v>
      </c>
      <c r="N178" s="20" t="s">
        <v>100</v>
      </c>
      <c r="O178" s="13" t="b">
        <v>1</v>
      </c>
      <c r="P178" s="20" t="b">
        <v>1</v>
      </c>
      <c r="Q178" s="20" t="b">
        <v>1</v>
      </c>
      <c r="R178" s="13" t="b">
        <v>0</v>
      </c>
      <c r="S178" s="13" t="b">
        <v>0</v>
      </c>
      <c r="T178" s="13" t="b">
        <v>1</v>
      </c>
      <c r="U178" s="13" t="b">
        <v>0</v>
      </c>
      <c r="V178" s="13" t="b">
        <v>0</v>
      </c>
      <c r="W178" s="13" t="b">
        <v>0</v>
      </c>
      <c r="X178" s="13" t="b">
        <v>0</v>
      </c>
      <c r="Y178" s="21" t="s">
        <v>443</v>
      </c>
      <c r="Z178" s="21" t="s">
        <v>1097</v>
      </c>
      <c r="AA178" s="21" t="s">
        <v>1098</v>
      </c>
      <c r="AB178" s="22"/>
      <c r="AC178" s="23"/>
      <c r="AD178" s="13"/>
      <c r="AE178" s="47" t="b">
        <v>1</v>
      </c>
      <c r="AF178" s="48">
        <v>45896</v>
      </c>
      <c r="AG178" s="26" t="s">
        <v>1099</v>
      </c>
      <c r="AH178" s="27" t="b">
        <v>1</v>
      </c>
      <c r="AI178" s="28">
        <v>45937</v>
      </c>
      <c r="AJ178" s="29" t="s">
        <v>104</v>
      </c>
      <c r="AK178" s="39" t="b">
        <v>1</v>
      </c>
      <c r="AL178" s="40">
        <v>45994</v>
      </c>
      <c r="AM178" s="29" t="s">
        <v>104</v>
      </c>
      <c r="AN178" s="29"/>
      <c r="AO178" s="13"/>
      <c r="AP178" s="12"/>
      <c r="AQ178" s="16"/>
      <c r="AR178" s="32"/>
      <c r="AS178" s="33"/>
      <c r="AT178" s="32"/>
      <c r="AU178" s="33"/>
      <c r="AV178" s="34"/>
      <c r="AW178" s="33"/>
      <c r="AX178" s="37"/>
      <c r="AY178" s="38"/>
      <c r="AZ178" s="35" t="b">
        <v>1</v>
      </c>
      <c r="BA178" s="36">
        <f>IF(MOD(H178,4)=0,H178/4,ROUNDUP(H178/4,0))</f>
        <v>137172750</v>
      </c>
      <c r="BB178" s="41"/>
      <c r="BC178" s="36"/>
      <c r="BD178" s="41"/>
      <c r="BE178" s="36"/>
      <c r="BF178" s="41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5" t="b">
        <v>1</v>
      </c>
      <c r="BU178" s="36">
        <f>IF(MOD(H178,4)=0,H178/4,ROUNDDOWN(H178/4,0))</f>
        <v>137172750</v>
      </c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5" t="b">
        <v>1</v>
      </c>
      <c r="CQ178" s="41">
        <f>IF(MOD(H178,4)=0,H178/4,ROUNDUP(H178/4,0))</f>
        <v>137172750</v>
      </c>
      <c r="CR178" s="41"/>
      <c r="CS178" s="41"/>
      <c r="CT178" s="41"/>
      <c r="CU178" s="41"/>
      <c r="CV178" s="41"/>
      <c r="CW178" s="41"/>
    </row>
    <row r="179" spans="1:101" ht="32.25" customHeight="1" x14ac:dyDescent="0.25">
      <c r="A179" s="12">
        <f t="shared" si="0"/>
        <v>178</v>
      </c>
      <c r="B179" s="13" t="s">
        <v>251</v>
      </c>
      <c r="C179" s="13" t="s">
        <v>731</v>
      </c>
      <c r="D179" s="14" t="s">
        <v>1100</v>
      </c>
      <c r="E179" s="15" t="s">
        <v>1101</v>
      </c>
      <c r="F179" s="15" t="s">
        <v>1102</v>
      </c>
      <c r="G179" s="16">
        <v>120</v>
      </c>
      <c r="H179" s="17">
        <v>230220000</v>
      </c>
      <c r="I179" s="18"/>
      <c r="J179" s="18"/>
      <c r="K179" s="18"/>
      <c r="L179" s="18" t="s">
        <v>99</v>
      </c>
      <c r="M179" s="19">
        <v>17241</v>
      </c>
      <c r="N179" s="20" t="s">
        <v>100</v>
      </c>
      <c r="O179" s="13" t="b">
        <v>1</v>
      </c>
      <c r="P179" s="20" t="b">
        <v>1</v>
      </c>
      <c r="Q179" s="20" t="b">
        <v>1</v>
      </c>
      <c r="R179" s="13" t="b">
        <v>1</v>
      </c>
      <c r="S179" s="13" t="b">
        <v>1</v>
      </c>
      <c r="T179" s="13" t="b">
        <v>1</v>
      </c>
      <c r="U179" s="13" t="b">
        <v>0</v>
      </c>
      <c r="V179" s="13" t="b">
        <v>0</v>
      </c>
      <c r="W179" s="13" t="b">
        <v>0</v>
      </c>
      <c r="X179" s="13" t="b">
        <v>0</v>
      </c>
      <c r="Y179" s="21" t="s">
        <v>443</v>
      </c>
      <c r="Z179" s="21" t="s">
        <v>1103</v>
      </c>
      <c r="AA179" s="21" t="s">
        <v>1104</v>
      </c>
      <c r="AB179" s="22"/>
      <c r="AC179" s="23"/>
      <c r="AD179" s="13"/>
      <c r="AE179" s="13" t="b">
        <v>1</v>
      </c>
      <c r="AF179" s="48">
        <v>45915</v>
      </c>
      <c r="AG179" s="26" t="s">
        <v>1093</v>
      </c>
      <c r="AH179" s="39" t="b">
        <v>1</v>
      </c>
      <c r="AI179" s="28">
        <v>45964</v>
      </c>
      <c r="AJ179" s="29" t="s">
        <v>104</v>
      </c>
      <c r="AK179" s="27" t="b">
        <v>1</v>
      </c>
      <c r="AL179" s="40">
        <v>45987</v>
      </c>
      <c r="AM179" s="29" t="s">
        <v>1105</v>
      </c>
      <c r="AN179" s="29"/>
      <c r="AO179" s="13"/>
      <c r="AP179" s="12"/>
      <c r="AQ179" s="16"/>
      <c r="AR179" s="32"/>
      <c r="AS179" s="33"/>
      <c r="AT179" s="32"/>
      <c r="AU179" s="33"/>
      <c r="AV179" s="34"/>
      <c r="AW179" s="33"/>
      <c r="AX179" s="37"/>
      <c r="AY179" s="38"/>
      <c r="AZ179" s="37"/>
      <c r="BA179" s="38"/>
      <c r="BB179" s="35" t="b">
        <v>1</v>
      </c>
      <c r="BC179" s="36">
        <f>IF(MOD(H179,4)=0,H179/4,ROUNDUP(H179/4,0))</f>
        <v>57555000</v>
      </c>
      <c r="BD179" s="41"/>
      <c r="BE179" s="36"/>
      <c r="BF179" s="41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41"/>
      <c r="BU179" s="41"/>
      <c r="BV179" s="35" t="b">
        <v>1</v>
      </c>
      <c r="BW179" s="41">
        <f>IF(MOD(H179,4)=0,H179/4,ROUNDDOWN(H179/4,0))</f>
        <v>57555000</v>
      </c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 t="s">
        <v>1106</v>
      </c>
      <c r="CL179" s="35" t="b">
        <v>1</v>
      </c>
      <c r="CM179" s="41">
        <f>IF(MOD(H179,4)=0,H179/4,ROUNDUP(H179/4,0))</f>
        <v>57555000</v>
      </c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</row>
    <row r="180" spans="1:101" ht="32.25" customHeight="1" x14ac:dyDescent="0.25">
      <c r="A180" s="12">
        <f t="shared" si="0"/>
        <v>179</v>
      </c>
      <c r="B180" s="13" t="s">
        <v>251</v>
      </c>
      <c r="C180" s="13" t="s">
        <v>731</v>
      </c>
      <c r="D180" s="14" t="s">
        <v>1107</v>
      </c>
      <c r="E180" s="15" t="s">
        <v>1108</v>
      </c>
      <c r="F180" s="15" t="s">
        <v>1109</v>
      </c>
      <c r="G180" s="16">
        <v>242</v>
      </c>
      <c r="H180" s="17">
        <v>464277000</v>
      </c>
      <c r="I180" s="18"/>
      <c r="J180" s="18"/>
      <c r="K180" s="18"/>
      <c r="L180" s="18" t="s">
        <v>99</v>
      </c>
      <c r="M180" s="19">
        <v>17242</v>
      </c>
      <c r="N180" s="20" t="s">
        <v>100</v>
      </c>
      <c r="O180" s="13" t="b">
        <v>1</v>
      </c>
      <c r="P180" s="20" t="b">
        <v>1</v>
      </c>
      <c r="Q180" s="20" t="b">
        <v>1</v>
      </c>
      <c r="R180" s="13" t="b">
        <v>1</v>
      </c>
      <c r="S180" s="13" t="b">
        <v>1</v>
      </c>
      <c r="T180" s="13" t="b">
        <v>1</v>
      </c>
      <c r="U180" s="13" t="b">
        <v>1</v>
      </c>
      <c r="V180" s="13" t="b">
        <v>1</v>
      </c>
      <c r="W180" s="13" t="b">
        <v>1</v>
      </c>
      <c r="X180" s="13" t="b">
        <v>1</v>
      </c>
      <c r="Y180" s="21" t="s">
        <v>101</v>
      </c>
      <c r="Z180" s="21" t="s">
        <v>1110</v>
      </c>
      <c r="AA180" s="21" t="s">
        <v>1111</v>
      </c>
      <c r="AB180" s="22"/>
      <c r="AC180" s="23"/>
      <c r="AD180" s="13"/>
      <c r="AE180" s="47" t="b">
        <v>1</v>
      </c>
      <c r="AF180" s="48">
        <v>45985</v>
      </c>
      <c r="AG180" s="26" t="s">
        <v>1112</v>
      </c>
      <c r="AH180" s="39" t="b">
        <v>1</v>
      </c>
      <c r="AI180" s="28">
        <v>46008</v>
      </c>
      <c r="AJ180" s="29" t="s">
        <v>104</v>
      </c>
      <c r="AK180" s="39" t="b">
        <v>1</v>
      </c>
      <c r="AL180" s="40">
        <v>46018</v>
      </c>
      <c r="AM180" s="39" t="s">
        <v>1113</v>
      </c>
      <c r="AN180" s="29"/>
      <c r="AO180" s="13"/>
      <c r="AP180" s="12"/>
      <c r="AQ180" s="16"/>
      <c r="AR180" s="32"/>
      <c r="AS180" s="33"/>
      <c r="AT180" s="32"/>
      <c r="AU180" s="33"/>
      <c r="AV180" s="34"/>
      <c r="AW180" s="33"/>
      <c r="AX180" s="37"/>
      <c r="AY180" s="38"/>
      <c r="AZ180" s="37"/>
      <c r="BA180" s="38"/>
      <c r="BB180" s="37"/>
      <c r="BC180" s="38"/>
      <c r="BD180" s="37"/>
      <c r="BE180" s="38"/>
      <c r="BF180" s="37"/>
      <c r="BG180" s="38"/>
      <c r="BH180" s="38"/>
      <c r="BI180" s="38"/>
      <c r="BJ180" s="37" t="b">
        <v>1</v>
      </c>
      <c r="BK180" s="38">
        <f>IF(MOD(H180,4)=0,H180/4,ROUNDUP(H180/4,0))</f>
        <v>116069250</v>
      </c>
      <c r="BL180" s="38"/>
      <c r="BM180" s="38"/>
      <c r="BN180" s="38"/>
      <c r="BO180" s="38"/>
      <c r="BP180" s="38"/>
      <c r="BQ180" s="38"/>
      <c r="BR180" s="38"/>
      <c r="BS180" s="38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 t="b">
        <v>1</v>
      </c>
      <c r="CG180" s="37">
        <f>IF(MOD(H180,4)=0,H180/4,ROUNDDOWN(H180/4,0))</f>
        <v>116069250</v>
      </c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 t="b">
        <v>1</v>
      </c>
      <c r="CU180" s="38">
        <f>IF(MOD(H180,4)=0,H180/4,ROUNDUP(H180/4,0))</f>
        <v>116069250</v>
      </c>
      <c r="CV180" s="38"/>
      <c r="CW180" s="38"/>
    </row>
    <row r="181" spans="1:101" ht="32.25" customHeight="1" x14ac:dyDescent="0.25">
      <c r="A181" s="12">
        <f t="shared" si="0"/>
        <v>180</v>
      </c>
      <c r="B181" s="13" t="s">
        <v>251</v>
      </c>
      <c r="C181" s="13" t="s">
        <v>731</v>
      </c>
      <c r="D181" s="14" t="s">
        <v>1114</v>
      </c>
      <c r="E181" s="15" t="s">
        <v>1115</v>
      </c>
      <c r="F181" s="15" t="s">
        <v>1116</v>
      </c>
      <c r="G181" s="16">
        <v>171</v>
      </c>
      <c r="H181" s="17">
        <v>328063500</v>
      </c>
      <c r="I181" s="18"/>
      <c r="J181" s="18"/>
      <c r="K181" s="18"/>
      <c r="L181" s="18" t="s">
        <v>99</v>
      </c>
      <c r="M181" s="19">
        <v>17243</v>
      </c>
      <c r="N181" s="20" t="s">
        <v>100</v>
      </c>
      <c r="O181" s="13" t="b">
        <v>1</v>
      </c>
      <c r="P181" s="20" t="b">
        <v>1</v>
      </c>
      <c r="Q181" s="20" t="b">
        <v>1</v>
      </c>
      <c r="R181" s="13" t="b">
        <v>1</v>
      </c>
      <c r="S181" s="13" t="b">
        <v>1</v>
      </c>
      <c r="T181" s="13" t="b">
        <v>1</v>
      </c>
      <c r="U181" s="13" t="b">
        <v>1</v>
      </c>
      <c r="V181" s="13" t="b">
        <v>1</v>
      </c>
      <c r="W181" s="13" t="b">
        <v>1</v>
      </c>
      <c r="X181" s="13" t="b">
        <v>1</v>
      </c>
      <c r="Y181" s="21" t="s">
        <v>101</v>
      </c>
      <c r="Z181" s="21" t="s">
        <v>1117</v>
      </c>
      <c r="AA181" s="21" t="s">
        <v>1118</v>
      </c>
      <c r="AB181" s="22"/>
      <c r="AC181" s="23"/>
      <c r="AD181" s="13"/>
      <c r="AE181" s="47" t="b">
        <v>1</v>
      </c>
      <c r="AF181" s="48">
        <v>45875</v>
      </c>
      <c r="AG181" s="26"/>
      <c r="AH181" s="27" t="b">
        <v>1</v>
      </c>
      <c r="AI181" s="40">
        <v>45915</v>
      </c>
      <c r="AJ181" s="29" t="s">
        <v>104</v>
      </c>
      <c r="AK181" s="27" t="b">
        <v>1</v>
      </c>
      <c r="AL181" s="40">
        <v>45982</v>
      </c>
      <c r="AM181" s="29" t="s">
        <v>104</v>
      </c>
      <c r="AN181" s="29"/>
      <c r="AO181" s="13"/>
      <c r="AP181" s="12"/>
      <c r="AQ181" s="16"/>
      <c r="AR181" s="32"/>
      <c r="AS181" s="33"/>
      <c r="AT181" s="32"/>
      <c r="AU181" s="33"/>
      <c r="AV181" s="34"/>
      <c r="AW181" s="33"/>
      <c r="AX181" s="35" t="b">
        <v>1</v>
      </c>
      <c r="AY181" s="36">
        <f>IF(MOD(H181,4)=0,H181/4,ROUNDUP(H181/4,0))</f>
        <v>82015875</v>
      </c>
      <c r="AZ181" s="37"/>
      <c r="BA181" s="38"/>
      <c r="BB181" s="37"/>
      <c r="BC181" s="38"/>
      <c r="BD181" s="37"/>
      <c r="BE181" s="38"/>
      <c r="BF181" s="37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  <c r="BS181" s="38"/>
      <c r="BT181" s="35" t="b">
        <v>1</v>
      </c>
      <c r="BU181" s="36">
        <f>IF(MOD(H181,4)=0,H181/4,ROUNDDOWN(H181/4,0))</f>
        <v>82015875</v>
      </c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5" t="b">
        <v>1</v>
      </c>
      <c r="CK181" s="36">
        <f>IF(MOD(H181,4)=0,H181/4,ROUNDUP(H181/4,0))</f>
        <v>82015875</v>
      </c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</row>
    <row r="182" spans="1:101" ht="32.25" customHeight="1" x14ac:dyDescent="0.25">
      <c r="A182" s="12">
        <f t="shared" si="0"/>
        <v>181</v>
      </c>
      <c r="B182" s="13" t="s">
        <v>251</v>
      </c>
      <c r="C182" s="13" t="s">
        <v>731</v>
      </c>
      <c r="D182" s="14" t="s">
        <v>1119</v>
      </c>
      <c r="E182" s="15" t="s">
        <v>1120</v>
      </c>
      <c r="F182" s="15" t="s">
        <v>1121</v>
      </c>
      <c r="G182" s="16">
        <v>29</v>
      </c>
      <c r="H182" s="17">
        <v>55636500</v>
      </c>
      <c r="I182" s="18"/>
      <c r="J182" s="18"/>
      <c r="K182" s="18"/>
      <c r="L182" s="18" t="s">
        <v>99</v>
      </c>
      <c r="M182" s="19">
        <v>17244</v>
      </c>
      <c r="N182" s="20" t="s">
        <v>100</v>
      </c>
      <c r="O182" s="13" t="b">
        <v>1</v>
      </c>
      <c r="P182" s="20" t="b">
        <v>1</v>
      </c>
      <c r="Q182" s="20" t="b">
        <v>1</v>
      </c>
      <c r="R182" s="13" t="b">
        <v>0</v>
      </c>
      <c r="S182" s="13" t="b">
        <v>0</v>
      </c>
      <c r="T182" s="13" t="b">
        <v>0</v>
      </c>
      <c r="U182" s="13" t="b">
        <v>0</v>
      </c>
      <c r="V182" s="13" t="b">
        <v>0</v>
      </c>
      <c r="W182" s="13" t="b">
        <v>0</v>
      </c>
      <c r="X182" s="13" t="b">
        <v>0</v>
      </c>
      <c r="Y182" s="21" t="s">
        <v>443</v>
      </c>
      <c r="Z182" s="21" t="s">
        <v>1122</v>
      </c>
      <c r="AA182" s="21" t="s">
        <v>1120</v>
      </c>
      <c r="AB182" s="22"/>
      <c r="AC182" s="13"/>
      <c r="AD182" s="13"/>
      <c r="AE182" s="13" t="b">
        <v>1</v>
      </c>
      <c r="AF182" s="48">
        <v>45950</v>
      </c>
      <c r="AG182" s="26" t="s">
        <v>104</v>
      </c>
      <c r="AH182" s="27" t="b">
        <v>1</v>
      </c>
      <c r="AI182" s="28">
        <v>45987</v>
      </c>
      <c r="AJ182" s="29" t="s">
        <v>104</v>
      </c>
      <c r="AK182" s="39" t="b">
        <v>1</v>
      </c>
      <c r="AL182" s="40">
        <v>45996</v>
      </c>
      <c r="AM182" s="29" t="s">
        <v>104</v>
      </c>
      <c r="AN182" s="29"/>
      <c r="AO182" s="13"/>
      <c r="AP182" s="32"/>
      <c r="AQ182" s="33"/>
      <c r="AR182" s="12"/>
      <c r="AS182" s="33"/>
      <c r="AT182" s="32"/>
      <c r="AU182" s="33"/>
      <c r="AV182" s="34"/>
      <c r="AW182" s="33"/>
      <c r="AX182" s="37"/>
      <c r="AY182" s="38"/>
      <c r="AZ182" s="37"/>
      <c r="BA182" s="38"/>
      <c r="BB182" s="37"/>
      <c r="BC182" s="38"/>
      <c r="BD182" s="37"/>
      <c r="BE182" s="38"/>
      <c r="BF182" s="37"/>
      <c r="BG182" s="38"/>
      <c r="BH182" s="42" t="b">
        <v>1</v>
      </c>
      <c r="BI182" s="38">
        <f>IF(MOD(H182,4)=0,H182/4,ROUNDUP(H182/4,0))</f>
        <v>13909125</v>
      </c>
      <c r="BJ182" s="38"/>
      <c r="BK182" s="38"/>
      <c r="BL182" s="38"/>
      <c r="BM182" s="38"/>
      <c r="BN182" s="38"/>
      <c r="BO182" s="38"/>
      <c r="BP182" s="38"/>
      <c r="BQ182" s="38"/>
      <c r="BR182" s="38"/>
      <c r="BS182" s="38"/>
      <c r="BT182" s="37"/>
      <c r="BU182" s="37"/>
      <c r="BV182" s="37"/>
      <c r="BW182" s="37"/>
      <c r="BX182" s="37"/>
      <c r="BY182" s="37"/>
      <c r="BZ182" s="38" t="b">
        <v>1</v>
      </c>
      <c r="CA182" s="59">
        <f>IF(MOD(H182,4)=0,H182/4,ROUNDDOWN(H182/4,0))</f>
        <v>13909125</v>
      </c>
      <c r="CB182" s="59"/>
      <c r="CC182" s="59"/>
      <c r="CD182" s="59"/>
      <c r="CE182" s="59"/>
      <c r="CF182" s="59"/>
      <c r="CG182" s="59"/>
      <c r="CH182" s="59"/>
      <c r="CI182" s="59"/>
      <c r="CJ182" s="37"/>
      <c r="CK182" s="37"/>
      <c r="CL182" s="37"/>
      <c r="CM182" s="37"/>
      <c r="CN182" s="37"/>
      <c r="CO182" s="37"/>
      <c r="CP182" s="35" t="b">
        <v>1</v>
      </c>
      <c r="CQ182" s="41">
        <f>IF(MOD(H182,4)=0,H182/4,ROUNDUP(H182/4,0))</f>
        <v>13909125</v>
      </c>
      <c r="CR182" s="41"/>
      <c r="CS182" s="41"/>
      <c r="CT182" s="41"/>
      <c r="CU182" s="41"/>
      <c r="CV182" s="41"/>
      <c r="CW182" s="41"/>
    </row>
    <row r="183" spans="1:101" ht="32.25" customHeight="1" x14ac:dyDescent="0.25">
      <c r="A183" s="12">
        <f t="shared" si="0"/>
        <v>182</v>
      </c>
      <c r="B183" s="13" t="s">
        <v>251</v>
      </c>
      <c r="C183" s="13" t="s">
        <v>731</v>
      </c>
      <c r="D183" s="14" t="s">
        <v>1123</v>
      </c>
      <c r="E183" s="15" t="s">
        <v>1124</v>
      </c>
      <c r="F183" s="15" t="s">
        <v>1125</v>
      </c>
      <c r="G183" s="16">
        <v>301</v>
      </c>
      <c r="H183" s="17">
        <v>577468500</v>
      </c>
      <c r="I183" s="18"/>
      <c r="J183" s="18"/>
      <c r="K183" s="18"/>
      <c r="L183" s="18" t="s">
        <v>99</v>
      </c>
      <c r="M183" s="19">
        <v>17245</v>
      </c>
      <c r="N183" s="20" t="s">
        <v>100</v>
      </c>
      <c r="O183" s="13" t="b">
        <v>1</v>
      </c>
      <c r="P183" s="20" t="b">
        <v>1</v>
      </c>
      <c r="Q183" s="20" t="b">
        <v>1</v>
      </c>
      <c r="R183" s="13" t="b">
        <v>1</v>
      </c>
      <c r="S183" s="13" t="b">
        <v>1</v>
      </c>
      <c r="T183" s="13" t="b">
        <v>1</v>
      </c>
      <c r="U183" s="13" t="b">
        <v>1</v>
      </c>
      <c r="V183" s="13" t="b">
        <v>1</v>
      </c>
      <c r="W183" s="13" t="b">
        <v>1</v>
      </c>
      <c r="X183" s="13" t="b">
        <v>0</v>
      </c>
      <c r="Y183" s="21" t="s">
        <v>101</v>
      </c>
      <c r="Z183" s="21" t="s">
        <v>1126</v>
      </c>
      <c r="AA183" s="21" t="s">
        <v>1127</v>
      </c>
      <c r="AB183" s="22"/>
      <c r="AC183" s="23"/>
      <c r="AD183" s="13"/>
      <c r="AE183" s="13" t="b">
        <v>1</v>
      </c>
      <c r="AF183" s="48">
        <v>45870</v>
      </c>
      <c r="AG183" s="26"/>
      <c r="AH183" s="27" t="b">
        <v>1</v>
      </c>
      <c r="AI183" s="28">
        <v>45915</v>
      </c>
      <c r="AJ183" s="29" t="s">
        <v>304</v>
      </c>
      <c r="AK183" s="27" t="b">
        <v>1</v>
      </c>
      <c r="AL183" s="40">
        <v>45971</v>
      </c>
      <c r="AM183" s="29" t="s">
        <v>104</v>
      </c>
      <c r="AN183" s="29"/>
      <c r="AO183" s="13"/>
      <c r="AP183" s="12"/>
      <c r="AQ183" s="16"/>
      <c r="AR183" s="32"/>
      <c r="AS183" s="33"/>
      <c r="AT183" s="32"/>
      <c r="AU183" s="33"/>
      <c r="AV183" s="34"/>
      <c r="AW183" s="33"/>
      <c r="AX183" s="35" t="b">
        <v>1</v>
      </c>
      <c r="AY183" s="36">
        <f>IF(MOD(H183,4)=0,H183/4,ROUNDUP(H183/4,0))</f>
        <v>144367125</v>
      </c>
      <c r="AZ183" s="37"/>
      <c r="BA183" s="38"/>
      <c r="BB183" s="37"/>
      <c r="BC183" s="38"/>
      <c r="BD183" s="37"/>
      <c r="BE183" s="38"/>
      <c r="BF183" s="37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  <c r="BS183" s="38"/>
      <c r="BT183" s="35" t="b">
        <v>1</v>
      </c>
      <c r="BU183" s="36">
        <f>IF(MOD(H183,4)=0,H183/4,ROUNDDOWN(H183/4,0))</f>
        <v>144367125</v>
      </c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5" t="b">
        <v>1</v>
      </c>
      <c r="CK183" s="36">
        <f>IF(MOD(H183,4)=0,H183/4,ROUNDUP(H183/4,0))</f>
        <v>144367125</v>
      </c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</row>
    <row r="184" spans="1:101" ht="32.25" customHeight="1" x14ac:dyDescent="0.25">
      <c r="A184" s="12">
        <f t="shared" si="0"/>
        <v>183</v>
      </c>
      <c r="B184" s="13" t="s">
        <v>251</v>
      </c>
      <c r="C184" s="13" t="s">
        <v>731</v>
      </c>
      <c r="D184" s="14" t="s">
        <v>1128</v>
      </c>
      <c r="E184" s="15" t="s">
        <v>1129</v>
      </c>
      <c r="F184" s="15" t="s">
        <v>989</v>
      </c>
      <c r="G184" s="16">
        <v>143</v>
      </c>
      <c r="H184" s="17">
        <v>274345500</v>
      </c>
      <c r="I184" s="18"/>
      <c r="J184" s="18"/>
      <c r="K184" s="18"/>
      <c r="L184" s="18" t="s">
        <v>99</v>
      </c>
      <c r="M184" s="19">
        <v>17246</v>
      </c>
      <c r="N184" s="20" t="s">
        <v>100</v>
      </c>
      <c r="O184" s="13" t="b">
        <v>1</v>
      </c>
      <c r="P184" s="20" t="b">
        <v>1</v>
      </c>
      <c r="Q184" s="20" t="b">
        <v>1</v>
      </c>
      <c r="R184" s="13" t="b">
        <v>0</v>
      </c>
      <c r="S184" s="13" t="b">
        <v>0</v>
      </c>
      <c r="T184" s="13" t="b">
        <v>0</v>
      </c>
      <c r="U184" s="13" t="b">
        <v>0</v>
      </c>
      <c r="V184" s="13" t="b">
        <v>0</v>
      </c>
      <c r="W184" s="13" t="b">
        <v>0</v>
      </c>
      <c r="X184" s="13" t="b">
        <v>0</v>
      </c>
      <c r="Y184" s="21" t="s">
        <v>443</v>
      </c>
      <c r="Z184" s="21" t="s">
        <v>1130</v>
      </c>
      <c r="AA184" s="21" t="s">
        <v>1131</v>
      </c>
      <c r="AB184" s="22"/>
      <c r="AC184" s="13"/>
      <c r="AD184" s="13"/>
      <c r="AE184" s="13" t="b">
        <v>1</v>
      </c>
      <c r="AF184" s="48">
        <v>45916</v>
      </c>
      <c r="AG184" s="26" t="s">
        <v>104</v>
      </c>
      <c r="AH184" s="27" t="b">
        <v>1</v>
      </c>
      <c r="AI184" s="28">
        <v>45950</v>
      </c>
      <c r="AJ184" s="29" t="s">
        <v>104</v>
      </c>
      <c r="AK184" s="39" t="b">
        <v>1</v>
      </c>
      <c r="AL184" s="40">
        <v>45996</v>
      </c>
      <c r="AM184" s="29" t="s">
        <v>104</v>
      </c>
      <c r="AN184" s="29"/>
      <c r="AO184" s="13"/>
      <c r="AP184" s="32"/>
      <c r="AQ184" s="33"/>
      <c r="AR184" s="12"/>
      <c r="AS184" s="33"/>
      <c r="AT184" s="32"/>
      <c r="AU184" s="33"/>
      <c r="AV184" s="34"/>
      <c r="AW184" s="33"/>
      <c r="AX184" s="37"/>
      <c r="AY184" s="38"/>
      <c r="AZ184" s="37"/>
      <c r="BA184" s="38"/>
      <c r="BB184" s="35" t="b">
        <v>1</v>
      </c>
      <c r="BC184" s="36">
        <f>IF(MOD(H184,4)=0,H184/4,ROUNDUP(H184/4,0))</f>
        <v>68586375</v>
      </c>
      <c r="BD184" s="41"/>
      <c r="BE184" s="36"/>
      <c r="BF184" s="41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41"/>
      <c r="BU184" s="41"/>
      <c r="BV184" s="41"/>
      <c r="BW184" s="41"/>
      <c r="BX184" s="41"/>
      <c r="BY184" s="41"/>
      <c r="BZ184" s="38" t="b">
        <v>1</v>
      </c>
      <c r="CA184" s="59">
        <f>IF(MOD(H184,4)=0,H184/4,ROUNDDOWN(H184/4,0))</f>
        <v>68586375</v>
      </c>
      <c r="CB184" s="59"/>
      <c r="CC184" s="59"/>
      <c r="CD184" s="59"/>
      <c r="CE184" s="59"/>
      <c r="CF184" s="59"/>
      <c r="CG184" s="59"/>
      <c r="CH184" s="59"/>
      <c r="CI184" s="59"/>
      <c r="CJ184" s="41"/>
      <c r="CK184" s="41"/>
      <c r="CL184" s="41"/>
      <c r="CM184" s="41"/>
      <c r="CN184" s="41"/>
      <c r="CO184" s="41"/>
      <c r="CP184" s="35" t="b">
        <v>1</v>
      </c>
      <c r="CQ184" s="41">
        <f>IF(MOD(H184,4)=0,H184/4,ROUNDUP(H184/4,0))</f>
        <v>68586375</v>
      </c>
      <c r="CR184" s="41"/>
      <c r="CS184" s="41"/>
      <c r="CT184" s="41"/>
      <c r="CU184" s="41"/>
      <c r="CV184" s="41"/>
      <c r="CW184" s="41"/>
    </row>
    <row r="185" spans="1:101" ht="32.25" customHeight="1" x14ac:dyDescent="0.25">
      <c r="A185" s="12">
        <f t="shared" si="0"/>
        <v>184</v>
      </c>
      <c r="B185" s="13" t="s">
        <v>94</v>
      </c>
      <c r="C185" s="13" t="s">
        <v>1132</v>
      </c>
      <c r="D185" s="14" t="s">
        <v>1133</v>
      </c>
      <c r="E185" s="15" t="s">
        <v>1134</v>
      </c>
      <c r="F185" s="15" t="s">
        <v>1135</v>
      </c>
      <c r="G185" s="16">
        <v>45</v>
      </c>
      <c r="H185" s="17">
        <v>70650000</v>
      </c>
      <c r="I185" s="18"/>
      <c r="J185" s="18"/>
      <c r="K185" s="18"/>
      <c r="L185" s="18" t="s">
        <v>99</v>
      </c>
      <c r="M185" s="19">
        <v>17247</v>
      </c>
      <c r="N185" s="20" t="s">
        <v>100</v>
      </c>
      <c r="O185" s="13" t="b">
        <v>0</v>
      </c>
      <c r="P185" s="20" t="b">
        <v>0</v>
      </c>
      <c r="Q185" s="20" t="b">
        <v>1</v>
      </c>
      <c r="R185" s="13" t="b">
        <v>1</v>
      </c>
      <c r="S185" s="13" t="b">
        <v>1</v>
      </c>
      <c r="T185" s="13" t="b">
        <v>1</v>
      </c>
      <c r="U185" s="13" t="b">
        <v>0</v>
      </c>
      <c r="V185" s="13" t="b">
        <v>1</v>
      </c>
      <c r="W185" s="13" t="b">
        <v>1</v>
      </c>
      <c r="X185" s="13" t="b">
        <v>0</v>
      </c>
      <c r="Y185" s="21" t="s">
        <v>101</v>
      </c>
      <c r="Z185" s="21" t="s">
        <v>1136</v>
      </c>
      <c r="AA185" s="21" t="s">
        <v>1137</v>
      </c>
      <c r="AB185" s="22"/>
      <c r="AC185" s="23"/>
      <c r="AD185" s="13"/>
      <c r="AE185" s="47" t="b">
        <v>1</v>
      </c>
      <c r="AF185" s="48">
        <v>45979</v>
      </c>
      <c r="AG185" s="55" t="s">
        <v>1138</v>
      </c>
      <c r="AH185" s="39" t="b">
        <v>1</v>
      </c>
      <c r="AI185" s="48">
        <v>45996</v>
      </c>
      <c r="AJ185" s="39" t="s">
        <v>419</v>
      </c>
      <c r="AK185" s="39" t="b">
        <v>0</v>
      </c>
      <c r="AL185" s="39"/>
      <c r="AM185" s="39"/>
      <c r="AN185" s="39"/>
      <c r="AO185" s="13"/>
      <c r="AP185" s="12"/>
      <c r="AQ185" s="16"/>
      <c r="AR185" s="32"/>
      <c r="AS185" s="33"/>
      <c r="AT185" s="32"/>
      <c r="AU185" s="33"/>
      <c r="AV185" s="34"/>
      <c r="AW185" s="16"/>
      <c r="AX185" s="37"/>
      <c r="AY185" s="38"/>
      <c r="AZ185" s="37"/>
      <c r="BA185" s="38"/>
      <c r="BB185" s="37"/>
      <c r="BC185" s="38"/>
      <c r="BD185" s="37"/>
      <c r="BE185" s="38"/>
      <c r="BF185" s="37"/>
      <c r="BG185" s="38"/>
      <c r="BH185" s="38"/>
      <c r="BI185" s="38"/>
      <c r="BJ185" s="37" t="b">
        <v>1</v>
      </c>
      <c r="BK185" s="38">
        <f>IF(MOD(H185,4)=0,H185/4,ROUNDUP(H185/4,0))</f>
        <v>17662500</v>
      </c>
      <c r="BL185" s="38"/>
      <c r="BM185" s="38"/>
      <c r="BN185" s="38"/>
      <c r="BO185" s="38"/>
      <c r="BP185" s="38"/>
      <c r="BQ185" s="38"/>
      <c r="BR185" s="38"/>
      <c r="BS185" s="38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 t="b">
        <v>1</v>
      </c>
      <c r="CE185" s="38">
        <f>IF(MOD(H185,4)=0,H185/4,ROUNDDOWN(H185/4,0))</f>
        <v>17662500</v>
      </c>
      <c r="CF185" s="38"/>
      <c r="CG185" s="38"/>
      <c r="CH185" s="38"/>
      <c r="CI185" s="38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</row>
    <row r="186" spans="1:101" ht="32.25" customHeight="1" x14ac:dyDescent="0.25">
      <c r="A186" s="12">
        <f t="shared" si="0"/>
        <v>185</v>
      </c>
      <c r="B186" s="13" t="s">
        <v>94</v>
      </c>
      <c r="C186" s="13" t="s">
        <v>1132</v>
      </c>
      <c r="D186" s="14" t="s">
        <v>1139</v>
      </c>
      <c r="E186" s="15" t="s">
        <v>1140</v>
      </c>
      <c r="F186" s="15" t="s">
        <v>1141</v>
      </c>
      <c r="G186" s="16">
        <v>34</v>
      </c>
      <c r="H186" s="17">
        <v>53380000</v>
      </c>
      <c r="I186" s="18"/>
      <c r="J186" s="18"/>
      <c r="K186" s="18"/>
      <c r="L186" s="18" t="s">
        <v>99</v>
      </c>
      <c r="M186" s="19">
        <v>17248</v>
      </c>
      <c r="N186" s="20" t="s">
        <v>100</v>
      </c>
      <c r="O186" s="13" t="b">
        <v>1</v>
      </c>
      <c r="P186" s="20" t="b">
        <v>1</v>
      </c>
      <c r="Q186" s="20" t="b">
        <v>1</v>
      </c>
      <c r="R186" s="13" t="b">
        <v>1</v>
      </c>
      <c r="S186" s="13" t="b">
        <v>1</v>
      </c>
      <c r="T186" s="13" t="b">
        <v>1</v>
      </c>
      <c r="U186" s="13" t="b">
        <v>1</v>
      </c>
      <c r="V186" s="13" t="b">
        <v>1</v>
      </c>
      <c r="W186" s="13" t="b">
        <v>1</v>
      </c>
      <c r="X186" s="13" t="b">
        <v>1</v>
      </c>
      <c r="Y186" s="21" t="s">
        <v>101</v>
      </c>
      <c r="Z186" s="21" t="s">
        <v>1142</v>
      </c>
      <c r="AA186" s="21" t="s">
        <v>1140</v>
      </c>
      <c r="AB186" s="22"/>
      <c r="AC186" s="23"/>
      <c r="AD186" s="13"/>
      <c r="AE186" s="47" t="b">
        <v>1</v>
      </c>
      <c r="AF186" s="48">
        <v>45894</v>
      </c>
      <c r="AG186" s="55" t="s">
        <v>1143</v>
      </c>
      <c r="AH186" s="27" t="b">
        <v>1</v>
      </c>
      <c r="AI186" s="48">
        <v>45936</v>
      </c>
      <c r="AJ186" s="39" t="s">
        <v>478</v>
      </c>
      <c r="AK186" s="27" t="b">
        <v>1</v>
      </c>
      <c r="AL186" s="30">
        <v>45978</v>
      </c>
      <c r="AM186" s="39" t="s">
        <v>1032</v>
      </c>
      <c r="AN186" s="39"/>
      <c r="AO186" s="13"/>
      <c r="AP186" s="12"/>
      <c r="AQ186" s="16"/>
      <c r="AR186" s="12"/>
      <c r="AS186" s="33"/>
      <c r="AT186" s="32"/>
      <c r="AU186" s="33"/>
      <c r="AV186" s="34"/>
      <c r="AW186" s="33"/>
      <c r="AX186" s="37"/>
      <c r="AY186" s="38"/>
      <c r="AZ186" s="35" t="b">
        <v>1</v>
      </c>
      <c r="BA186" s="36">
        <f>IF(MOD(H186,4)=0,H186/4,ROUNDUP(H186/4,0))</f>
        <v>13345000</v>
      </c>
      <c r="BB186" s="41"/>
      <c r="BC186" s="36"/>
      <c r="BD186" s="41"/>
      <c r="BE186" s="36"/>
      <c r="BF186" s="41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5" t="b">
        <v>1</v>
      </c>
      <c r="BU186" s="36">
        <f>IF(MOD(H186,4)=0,H186/4,ROUNDDOWN(H186/4,0))</f>
        <v>13345000</v>
      </c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5" t="b">
        <v>1</v>
      </c>
      <c r="CK186" s="36">
        <f>IF(MOD(H186,4)=0,H186/4,ROUNDUP(H186/4,0))</f>
        <v>13345000</v>
      </c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</row>
    <row r="187" spans="1:101" ht="32.25" customHeight="1" x14ac:dyDescent="0.25">
      <c r="A187" s="12">
        <f t="shared" si="0"/>
        <v>186</v>
      </c>
      <c r="B187" s="13" t="s">
        <v>94</v>
      </c>
      <c r="C187" s="13" t="s">
        <v>1132</v>
      </c>
      <c r="D187" s="14" t="s">
        <v>1144</v>
      </c>
      <c r="E187" s="15" t="s">
        <v>1145</v>
      </c>
      <c r="F187" s="15" t="s">
        <v>1146</v>
      </c>
      <c r="G187" s="16">
        <v>56</v>
      </c>
      <c r="H187" s="17">
        <v>87920000</v>
      </c>
      <c r="I187" s="18"/>
      <c r="J187" s="18"/>
      <c r="K187" s="18"/>
      <c r="L187" s="18" t="s">
        <v>99</v>
      </c>
      <c r="M187" s="19">
        <v>17249</v>
      </c>
      <c r="N187" s="20" t="s">
        <v>100</v>
      </c>
      <c r="O187" s="13" t="b">
        <v>1</v>
      </c>
      <c r="P187" s="20" t="b">
        <v>1</v>
      </c>
      <c r="Q187" s="20" t="b">
        <v>1</v>
      </c>
      <c r="R187" s="13" t="b">
        <v>1</v>
      </c>
      <c r="S187" s="13" t="b">
        <v>1</v>
      </c>
      <c r="T187" s="13" t="b">
        <v>1</v>
      </c>
      <c r="U187" s="13" t="b">
        <v>1</v>
      </c>
      <c r="V187" s="13" t="b">
        <v>1</v>
      </c>
      <c r="W187" s="13" t="b">
        <v>1</v>
      </c>
      <c r="X187" s="13" t="b">
        <v>1</v>
      </c>
      <c r="Y187" s="21" t="s">
        <v>101</v>
      </c>
      <c r="Z187" s="21" t="s">
        <v>1147</v>
      </c>
      <c r="AA187" s="21" t="s">
        <v>1148</v>
      </c>
      <c r="AB187" s="22"/>
      <c r="AC187" s="23"/>
      <c r="AD187" s="13"/>
      <c r="AE187" s="47" t="b">
        <v>1</v>
      </c>
      <c r="AF187" s="48">
        <v>45904</v>
      </c>
      <c r="AG187" s="55" t="s">
        <v>1149</v>
      </c>
      <c r="AH187" s="27" t="b">
        <v>1</v>
      </c>
      <c r="AI187" s="48">
        <v>45951</v>
      </c>
      <c r="AJ187" s="56" t="s">
        <v>1150</v>
      </c>
      <c r="AK187" s="27" t="b">
        <v>1</v>
      </c>
      <c r="AL187" s="30">
        <v>45993</v>
      </c>
      <c r="AM187" s="39" t="s">
        <v>590</v>
      </c>
      <c r="AN187" s="39"/>
      <c r="AO187" s="13"/>
      <c r="AP187" s="12"/>
      <c r="AQ187" s="16"/>
      <c r="AR187" s="32"/>
      <c r="AS187" s="33"/>
      <c r="AT187" s="32"/>
      <c r="AU187" s="33"/>
      <c r="AV187" s="34"/>
      <c r="AW187" s="33"/>
      <c r="AX187" s="37"/>
      <c r="AY187" s="38"/>
      <c r="AZ187" s="37"/>
      <c r="BA187" s="38"/>
      <c r="BB187" s="35" t="b">
        <v>1</v>
      </c>
      <c r="BC187" s="36">
        <f t="shared" ref="BC187:BC188" si="72">IF(MOD(H187,4)=0,H187/4,ROUNDUP(H187/4,0))</f>
        <v>21980000</v>
      </c>
      <c r="BD187" s="41"/>
      <c r="BE187" s="36"/>
      <c r="BF187" s="41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41"/>
      <c r="BU187" s="41"/>
      <c r="BV187" s="35" t="b">
        <v>1</v>
      </c>
      <c r="BW187" s="41">
        <f t="shared" ref="BW187:BW188" si="73">IF(MOD(H187,4)=0,H187/4,ROUNDDOWN(H187/4,0))</f>
        <v>21980000</v>
      </c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35" t="b">
        <v>1</v>
      </c>
      <c r="CO187" s="36">
        <f t="shared" ref="CO187:CO188" si="74">IF(MOD(H187,4)=0,H187/4,ROUNDUP(H187/4,0))</f>
        <v>21980000</v>
      </c>
      <c r="CP187" s="36"/>
      <c r="CQ187" s="36"/>
      <c r="CR187" s="36"/>
      <c r="CS187" s="36"/>
      <c r="CT187" s="36"/>
      <c r="CU187" s="36"/>
      <c r="CV187" s="36"/>
      <c r="CW187" s="36"/>
    </row>
    <row r="188" spans="1:101" ht="32.25" customHeight="1" x14ac:dyDescent="0.25">
      <c r="A188" s="12">
        <f t="shared" si="0"/>
        <v>187</v>
      </c>
      <c r="B188" s="13" t="s">
        <v>94</v>
      </c>
      <c r="C188" s="13" t="s">
        <v>1132</v>
      </c>
      <c r="D188" s="14" t="s">
        <v>1151</v>
      </c>
      <c r="E188" s="15" t="s">
        <v>1152</v>
      </c>
      <c r="F188" s="15" t="s">
        <v>1153</v>
      </c>
      <c r="G188" s="16">
        <v>41</v>
      </c>
      <c r="H188" s="17">
        <v>64370000</v>
      </c>
      <c r="I188" s="18"/>
      <c r="J188" s="18"/>
      <c r="K188" s="18"/>
      <c r="L188" s="18" t="s">
        <v>99</v>
      </c>
      <c r="M188" s="19">
        <v>17250</v>
      </c>
      <c r="N188" s="20" t="s">
        <v>100</v>
      </c>
      <c r="O188" s="13" t="b">
        <v>1</v>
      </c>
      <c r="P188" s="20" t="b">
        <v>1</v>
      </c>
      <c r="Q188" s="20" t="b">
        <v>0</v>
      </c>
      <c r="R188" s="13" t="b">
        <v>0</v>
      </c>
      <c r="S188" s="13" t="b">
        <v>1</v>
      </c>
      <c r="T188" s="13" t="b">
        <v>1</v>
      </c>
      <c r="U188" s="13" t="b">
        <v>1</v>
      </c>
      <c r="V188" s="13" t="b">
        <v>1</v>
      </c>
      <c r="W188" s="13" t="b">
        <v>1</v>
      </c>
      <c r="X188" s="13" t="b">
        <v>1</v>
      </c>
      <c r="Y188" s="21" t="s">
        <v>101</v>
      </c>
      <c r="Z188" s="21" t="s">
        <v>1154</v>
      </c>
      <c r="AA188" s="21" t="s">
        <v>1152</v>
      </c>
      <c r="AB188" s="22"/>
      <c r="AC188" s="23"/>
      <c r="AD188" s="13"/>
      <c r="AE188" s="13" t="b">
        <v>1</v>
      </c>
      <c r="AF188" s="48">
        <v>45902</v>
      </c>
      <c r="AG188" s="55" t="s">
        <v>104</v>
      </c>
      <c r="AH188" s="27" t="b">
        <v>1</v>
      </c>
      <c r="AI188" s="30">
        <v>45950</v>
      </c>
      <c r="AJ188" s="56" t="s">
        <v>104</v>
      </c>
      <c r="AK188" s="27" t="b">
        <v>1</v>
      </c>
      <c r="AL188" s="30">
        <v>45992</v>
      </c>
      <c r="AM188" s="39" t="s">
        <v>104</v>
      </c>
      <c r="AN188" s="39"/>
      <c r="AO188" s="13"/>
      <c r="AP188" s="12"/>
      <c r="AQ188" s="16"/>
      <c r="AR188" s="12"/>
      <c r="AS188" s="33"/>
      <c r="AT188" s="32"/>
      <c r="AU188" s="33"/>
      <c r="AV188" s="34"/>
      <c r="AW188" s="33"/>
      <c r="AX188" s="37"/>
      <c r="AY188" s="38"/>
      <c r="AZ188" s="37"/>
      <c r="BA188" s="38"/>
      <c r="BB188" s="35" t="b">
        <v>1</v>
      </c>
      <c r="BC188" s="36">
        <f t="shared" si="72"/>
        <v>16092500</v>
      </c>
      <c r="BD188" s="41"/>
      <c r="BE188" s="36"/>
      <c r="BF188" s="41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41"/>
      <c r="BU188" s="41"/>
      <c r="BV188" s="35" t="b">
        <v>1</v>
      </c>
      <c r="BW188" s="41">
        <f t="shared" si="73"/>
        <v>16092500</v>
      </c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35" t="b">
        <v>1</v>
      </c>
      <c r="CO188" s="36">
        <f t="shared" si="74"/>
        <v>16092500</v>
      </c>
      <c r="CP188" s="36"/>
      <c r="CQ188" s="36"/>
      <c r="CR188" s="36"/>
      <c r="CS188" s="36"/>
      <c r="CT188" s="36"/>
      <c r="CU188" s="36"/>
      <c r="CV188" s="36"/>
      <c r="CW188" s="36"/>
    </row>
    <row r="189" spans="1:101" ht="32.25" customHeight="1" x14ac:dyDescent="0.25">
      <c r="A189" s="12">
        <f t="shared" si="0"/>
        <v>188</v>
      </c>
      <c r="B189" s="13" t="s">
        <v>94</v>
      </c>
      <c r="C189" s="13" t="s">
        <v>1132</v>
      </c>
      <c r="D189" s="14" t="s">
        <v>1155</v>
      </c>
      <c r="E189" s="15" t="s">
        <v>1156</v>
      </c>
      <c r="F189" s="15" t="s">
        <v>1157</v>
      </c>
      <c r="G189" s="16">
        <v>27</v>
      </c>
      <c r="H189" s="17">
        <v>42390000</v>
      </c>
      <c r="I189" s="18"/>
      <c r="J189" s="18"/>
      <c r="K189" s="18"/>
      <c r="L189" s="18" t="s">
        <v>99</v>
      </c>
      <c r="M189" s="19">
        <v>17251</v>
      </c>
      <c r="N189" s="20" t="s">
        <v>100</v>
      </c>
      <c r="O189" s="13" t="b">
        <v>1</v>
      </c>
      <c r="P189" s="20" t="b">
        <v>1</v>
      </c>
      <c r="Q189" s="20" t="b">
        <v>0</v>
      </c>
      <c r="R189" s="13" t="b">
        <v>0</v>
      </c>
      <c r="S189" s="13" t="b">
        <v>1</v>
      </c>
      <c r="T189" s="13" t="b">
        <v>1</v>
      </c>
      <c r="U189" s="13" t="b">
        <v>1</v>
      </c>
      <c r="V189" s="13" t="b">
        <v>1</v>
      </c>
      <c r="W189" s="13" t="b">
        <v>1</v>
      </c>
      <c r="X189" s="13" t="b">
        <v>1</v>
      </c>
      <c r="Y189" s="21" t="s">
        <v>443</v>
      </c>
      <c r="Z189" s="21" t="s">
        <v>1158</v>
      </c>
      <c r="AA189" s="21" t="s">
        <v>1159</v>
      </c>
      <c r="AB189" s="22"/>
      <c r="AC189" s="23"/>
      <c r="AD189" s="13"/>
      <c r="AE189" s="47" t="b">
        <v>1</v>
      </c>
      <c r="AF189" s="48">
        <v>45950</v>
      </c>
      <c r="AG189" s="55" t="s">
        <v>1160</v>
      </c>
      <c r="AH189" s="39" t="b">
        <v>1</v>
      </c>
      <c r="AI189" s="48">
        <v>45996</v>
      </c>
      <c r="AJ189" s="39" t="s">
        <v>1161</v>
      </c>
      <c r="AK189" s="39" t="b">
        <v>0</v>
      </c>
      <c r="AL189" s="39"/>
      <c r="AM189" s="39"/>
      <c r="AN189" s="39"/>
      <c r="AO189" s="13"/>
      <c r="AP189" s="12"/>
      <c r="AQ189" s="16"/>
      <c r="AR189" s="12"/>
      <c r="AS189" s="33"/>
      <c r="AT189" s="32"/>
      <c r="AU189" s="33"/>
      <c r="AV189" s="34"/>
      <c r="AW189" s="33"/>
      <c r="AX189" s="37"/>
      <c r="AY189" s="38"/>
      <c r="AZ189" s="37"/>
      <c r="BA189" s="38"/>
      <c r="BB189" s="37"/>
      <c r="BC189" s="38"/>
      <c r="BD189" s="37"/>
      <c r="BE189" s="38"/>
      <c r="BF189" s="37"/>
      <c r="BG189" s="38"/>
      <c r="BH189" s="42" t="b">
        <v>1</v>
      </c>
      <c r="BI189" s="38">
        <f>IF(MOD(H189,4)=0,H189/4,ROUNDUP(H189/4,0))</f>
        <v>10597500</v>
      </c>
      <c r="BJ189" s="38"/>
      <c r="BK189" s="38"/>
      <c r="BL189" s="38"/>
      <c r="BM189" s="38"/>
      <c r="BN189" s="38"/>
      <c r="BO189" s="38"/>
      <c r="BP189" s="38"/>
      <c r="BQ189" s="38"/>
      <c r="BR189" s="38"/>
      <c r="BS189" s="38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 t="b">
        <v>1</v>
      </c>
      <c r="CE189" s="38">
        <f>IF(MOD(H189,4)=0,H189/4,ROUNDDOWN(H189/4,0))</f>
        <v>10597500</v>
      </c>
      <c r="CF189" s="38"/>
      <c r="CG189" s="38"/>
      <c r="CH189" s="38"/>
      <c r="CI189" s="38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</row>
    <row r="190" spans="1:101" ht="32.25" customHeight="1" x14ac:dyDescent="0.25">
      <c r="A190" s="12">
        <f t="shared" si="0"/>
        <v>189</v>
      </c>
      <c r="B190" s="13" t="s">
        <v>94</v>
      </c>
      <c r="C190" s="13" t="s">
        <v>1132</v>
      </c>
      <c r="D190" s="14" t="s">
        <v>1162</v>
      </c>
      <c r="E190" s="15" t="s">
        <v>1163</v>
      </c>
      <c r="F190" s="15" t="s">
        <v>1164</v>
      </c>
      <c r="G190" s="16">
        <v>89</v>
      </c>
      <c r="H190" s="17">
        <v>139730000</v>
      </c>
      <c r="I190" s="18"/>
      <c r="J190" s="18"/>
      <c r="K190" s="18"/>
      <c r="L190" s="18" t="s">
        <v>99</v>
      </c>
      <c r="M190" s="19">
        <v>17252</v>
      </c>
      <c r="N190" s="20" t="s">
        <v>100</v>
      </c>
      <c r="O190" s="13" t="b">
        <v>1</v>
      </c>
      <c r="P190" s="20" t="b">
        <v>1</v>
      </c>
      <c r="Q190" s="20" t="b">
        <v>1</v>
      </c>
      <c r="R190" s="13" t="b">
        <v>1</v>
      </c>
      <c r="S190" s="13" t="b">
        <v>1</v>
      </c>
      <c r="T190" s="13" t="b">
        <v>1</v>
      </c>
      <c r="U190" s="13" t="b">
        <v>1</v>
      </c>
      <c r="V190" s="13" t="b">
        <v>1</v>
      </c>
      <c r="W190" s="13" t="b">
        <v>1</v>
      </c>
      <c r="X190" s="13" t="b">
        <v>1</v>
      </c>
      <c r="Y190" s="21" t="s">
        <v>101</v>
      </c>
      <c r="Z190" s="21" t="s">
        <v>1165</v>
      </c>
      <c r="AA190" s="21" t="s">
        <v>1166</v>
      </c>
      <c r="AB190" s="22"/>
      <c r="AC190" s="23"/>
      <c r="AD190" s="13"/>
      <c r="AE190" s="47" t="b">
        <v>1</v>
      </c>
      <c r="AF190" s="40">
        <v>45982</v>
      </c>
      <c r="AG190" s="55"/>
      <c r="AH190" s="39" t="b">
        <v>1</v>
      </c>
      <c r="AI190" s="48">
        <v>46020</v>
      </c>
      <c r="AJ190" s="39" t="s">
        <v>104</v>
      </c>
      <c r="AK190" s="39" t="b">
        <v>0</v>
      </c>
      <c r="AL190" s="39"/>
      <c r="AM190" s="39"/>
      <c r="AN190" s="39"/>
      <c r="AO190" s="13"/>
      <c r="AP190" s="12"/>
      <c r="AQ190" s="16"/>
      <c r="AR190" s="32"/>
      <c r="AS190" s="33"/>
      <c r="AT190" s="32"/>
      <c r="AU190" s="33"/>
      <c r="AV190" s="34"/>
      <c r="AW190" s="33"/>
      <c r="AX190" s="37"/>
      <c r="AY190" s="38"/>
      <c r="AZ190" s="37"/>
      <c r="BA190" s="38"/>
      <c r="BB190" s="37"/>
      <c r="BC190" s="38"/>
      <c r="BD190" s="37"/>
      <c r="BE190" s="38"/>
      <c r="BF190" s="37"/>
      <c r="BG190" s="38"/>
      <c r="BH190" s="38"/>
      <c r="BI190" s="38"/>
      <c r="BJ190" s="37" t="b">
        <v>1</v>
      </c>
      <c r="BK190" s="38">
        <f>IF(MOD(H190,4)=0,H190/4,ROUNDUP(H190/4,0))</f>
        <v>34932500</v>
      </c>
      <c r="BL190" s="38"/>
      <c r="BM190" s="38"/>
      <c r="BN190" s="38"/>
      <c r="BO190" s="38"/>
      <c r="BP190" s="38"/>
      <c r="BQ190" s="38"/>
      <c r="BR190" s="38"/>
      <c r="BS190" s="38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42" t="b">
        <v>1</v>
      </c>
      <c r="CI190" s="38">
        <f>IF(MOD(H190,4)=0,H190/4,ROUNDDOWN(H190/4,0))</f>
        <v>34932500</v>
      </c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</row>
    <row r="191" spans="1:101" ht="32.25" customHeight="1" x14ac:dyDescent="0.25">
      <c r="A191" s="12">
        <f t="shared" si="0"/>
        <v>190</v>
      </c>
      <c r="B191" s="13" t="s">
        <v>94</v>
      </c>
      <c r="C191" s="13" t="s">
        <v>1132</v>
      </c>
      <c r="D191" s="14" t="s">
        <v>1167</v>
      </c>
      <c r="E191" s="15" t="s">
        <v>1168</v>
      </c>
      <c r="F191" s="15" t="s">
        <v>1169</v>
      </c>
      <c r="G191" s="16">
        <v>11</v>
      </c>
      <c r="H191" s="17">
        <v>17270000</v>
      </c>
      <c r="I191" s="18"/>
      <c r="J191" s="18"/>
      <c r="K191" s="18"/>
      <c r="L191" s="18" t="s">
        <v>99</v>
      </c>
      <c r="M191" s="19">
        <v>17253</v>
      </c>
      <c r="N191" s="20" t="s">
        <v>100</v>
      </c>
      <c r="O191" s="13" t="b">
        <v>1</v>
      </c>
      <c r="P191" s="20" t="b">
        <v>1</v>
      </c>
      <c r="Q191" s="20" t="b">
        <v>0</v>
      </c>
      <c r="R191" s="13" t="b">
        <v>0</v>
      </c>
      <c r="S191" s="13" t="b">
        <v>1</v>
      </c>
      <c r="T191" s="13" t="b">
        <v>1</v>
      </c>
      <c r="U191" s="13" t="b">
        <v>1</v>
      </c>
      <c r="V191" s="13" t="b">
        <v>1</v>
      </c>
      <c r="W191" s="13" t="b">
        <v>1</v>
      </c>
      <c r="X191" s="13" t="b">
        <v>1</v>
      </c>
      <c r="Y191" s="21" t="s">
        <v>101</v>
      </c>
      <c r="Z191" s="21" t="s">
        <v>1170</v>
      </c>
      <c r="AA191" s="21" t="s">
        <v>1171</v>
      </c>
      <c r="AB191" s="22"/>
      <c r="AC191" s="23"/>
      <c r="AD191" s="13"/>
      <c r="AE191" s="47" t="b">
        <v>1</v>
      </c>
      <c r="AF191" s="48">
        <v>45936</v>
      </c>
      <c r="AG191" s="55" t="s">
        <v>1032</v>
      </c>
      <c r="AH191" s="27" t="b">
        <v>1</v>
      </c>
      <c r="AI191" s="48">
        <v>45987</v>
      </c>
      <c r="AJ191" s="39" t="s">
        <v>432</v>
      </c>
      <c r="AK191" s="39" t="b">
        <v>1</v>
      </c>
      <c r="AL191" s="30">
        <v>46002</v>
      </c>
      <c r="AM191" s="39" t="s">
        <v>485</v>
      </c>
      <c r="AN191" s="39"/>
      <c r="AO191" s="13"/>
      <c r="AP191" s="12"/>
      <c r="AQ191" s="16"/>
      <c r="AR191" s="12"/>
      <c r="AS191" s="33"/>
      <c r="AT191" s="32"/>
      <c r="AU191" s="33"/>
      <c r="AV191" s="34"/>
      <c r="AW191" s="33"/>
      <c r="AX191" s="37"/>
      <c r="AY191" s="38"/>
      <c r="AZ191" s="37"/>
      <c r="BA191" s="38"/>
      <c r="BB191" s="37"/>
      <c r="BC191" s="38"/>
      <c r="BD191" s="37"/>
      <c r="BE191" s="38"/>
      <c r="BF191" s="35" t="b">
        <v>1</v>
      </c>
      <c r="BG191" s="38">
        <f>IF(MOD(H191,4)=0,H191/4,ROUNDUP(H191/4,0))</f>
        <v>4317500</v>
      </c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38"/>
      <c r="BS191" s="38"/>
      <c r="BT191" s="38"/>
      <c r="BU191" s="38"/>
      <c r="BV191" s="38"/>
      <c r="BW191" s="38"/>
      <c r="BX191" s="38"/>
      <c r="BY191" s="38"/>
      <c r="BZ191" s="38" t="b">
        <v>1</v>
      </c>
      <c r="CA191" s="59">
        <f>IF(MOD(H191,4)=0,H191/4,ROUNDDOWN(H191/4,0))</f>
        <v>4317500</v>
      </c>
      <c r="CB191" s="59"/>
      <c r="CC191" s="59"/>
      <c r="CD191" s="59"/>
      <c r="CE191" s="59"/>
      <c r="CF191" s="59"/>
      <c r="CG191" s="59"/>
      <c r="CH191" s="59"/>
      <c r="CI191" s="59"/>
      <c r="CJ191" s="38"/>
      <c r="CK191" s="38"/>
      <c r="CL191" s="38"/>
      <c r="CM191" s="38"/>
      <c r="CN191" s="38"/>
      <c r="CO191" s="38"/>
      <c r="CP191" s="38"/>
      <c r="CQ191" s="38"/>
      <c r="CR191" s="12" t="b">
        <v>1</v>
      </c>
      <c r="CS191" s="36">
        <f>IF(MOD(H191,4)=0,H191/4,ROUNDUP(H191/4,0))</f>
        <v>4317500</v>
      </c>
      <c r="CT191" s="36"/>
      <c r="CU191" s="36"/>
      <c r="CV191" s="36"/>
      <c r="CW191" s="36"/>
    </row>
    <row r="192" spans="1:101" ht="32.25" customHeight="1" x14ac:dyDescent="0.25">
      <c r="A192" s="12">
        <f t="shared" si="0"/>
        <v>191</v>
      </c>
      <c r="B192" s="13" t="s">
        <v>94</v>
      </c>
      <c r="C192" s="13" t="s">
        <v>1132</v>
      </c>
      <c r="D192" s="14" t="s">
        <v>1172</v>
      </c>
      <c r="E192" s="15" t="s">
        <v>1173</v>
      </c>
      <c r="F192" s="15" t="s">
        <v>1174</v>
      </c>
      <c r="G192" s="16">
        <v>66</v>
      </c>
      <c r="H192" s="17">
        <v>103620000</v>
      </c>
      <c r="I192" s="18"/>
      <c r="J192" s="18"/>
      <c r="K192" s="18"/>
      <c r="L192" s="18" t="s">
        <v>99</v>
      </c>
      <c r="M192" s="19">
        <v>17254</v>
      </c>
      <c r="N192" s="20" t="s">
        <v>100</v>
      </c>
      <c r="O192" s="13" t="b">
        <v>0</v>
      </c>
      <c r="P192" s="20" t="b">
        <v>1</v>
      </c>
      <c r="Q192" s="20" t="b">
        <v>1</v>
      </c>
      <c r="R192" s="13" t="b">
        <v>1</v>
      </c>
      <c r="S192" s="13" t="b">
        <v>1</v>
      </c>
      <c r="T192" s="13" t="b">
        <v>1</v>
      </c>
      <c r="U192" s="13" t="b">
        <v>1</v>
      </c>
      <c r="V192" s="13" t="b">
        <v>1</v>
      </c>
      <c r="W192" s="13" t="b">
        <v>1</v>
      </c>
      <c r="X192" s="13" t="b">
        <v>1</v>
      </c>
      <c r="Y192" s="21" t="s">
        <v>443</v>
      </c>
      <c r="Z192" s="21" t="s">
        <v>1175</v>
      </c>
      <c r="AA192" s="21" t="s">
        <v>1173</v>
      </c>
      <c r="AB192" s="22"/>
      <c r="AC192" s="23"/>
      <c r="AD192" s="13"/>
      <c r="AE192" s="47" t="b">
        <v>1</v>
      </c>
      <c r="AF192" s="48">
        <v>45915</v>
      </c>
      <c r="AG192" s="55" t="s">
        <v>140</v>
      </c>
      <c r="AH192" s="27" t="b">
        <v>1</v>
      </c>
      <c r="AI192" s="48">
        <v>45952</v>
      </c>
      <c r="AJ192" s="56" t="s">
        <v>1176</v>
      </c>
      <c r="AK192" s="39" t="b">
        <v>1</v>
      </c>
      <c r="AL192" s="30">
        <v>46018</v>
      </c>
      <c r="AM192" s="39" t="s">
        <v>1177</v>
      </c>
      <c r="AN192" s="39"/>
      <c r="AO192" s="13"/>
      <c r="AP192" s="12"/>
      <c r="AQ192" s="16"/>
      <c r="AR192" s="12"/>
      <c r="AS192" s="33"/>
      <c r="AT192" s="32"/>
      <c r="AU192" s="33"/>
      <c r="AV192" s="34"/>
      <c r="AW192" s="33"/>
      <c r="AX192" s="37"/>
      <c r="AY192" s="38"/>
      <c r="AZ192" s="37"/>
      <c r="BA192" s="38"/>
      <c r="BB192" s="35" t="b">
        <v>1</v>
      </c>
      <c r="BC192" s="36">
        <f>IF(MOD(H192,4)=0,H192/4,ROUNDUP(H192/4,0))</f>
        <v>25905000</v>
      </c>
      <c r="BD192" s="41"/>
      <c r="BE192" s="36"/>
      <c r="BF192" s="41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41"/>
      <c r="BU192" s="41"/>
      <c r="BV192" s="35" t="b">
        <v>1</v>
      </c>
      <c r="BW192" s="41">
        <f>IF(MOD(H192,4)=0,H192/4,ROUNDDOWN(H192/4,0))</f>
        <v>25905000</v>
      </c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37" t="b">
        <v>1</v>
      </c>
      <c r="CU192" s="38">
        <f>IF(MOD(H192,4)=0,H192/4,ROUNDUP(H192/4,0))</f>
        <v>25905000</v>
      </c>
      <c r="CV192" s="38"/>
      <c r="CW192" s="38"/>
    </row>
    <row r="193" spans="1:101" ht="32.25" customHeight="1" x14ac:dyDescent="0.25">
      <c r="A193" s="12">
        <f t="shared" si="0"/>
        <v>192</v>
      </c>
      <c r="B193" s="13" t="s">
        <v>94</v>
      </c>
      <c r="C193" s="13" t="s">
        <v>1132</v>
      </c>
      <c r="D193" s="14" t="s">
        <v>1178</v>
      </c>
      <c r="E193" s="15" t="s">
        <v>1179</v>
      </c>
      <c r="F193" s="15" t="s">
        <v>1180</v>
      </c>
      <c r="G193" s="16">
        <v>28</v>
      </c>
      <c r="H193" s="17">
        <v>43960000</v>
      </c>
      <c r="I193" s="18"/>
      <c r="J193" s="18"/>
      <c r="K193" s="18"/>
      <c r="L193" s="18" t="s">
        <v>99</v>
      </c>
      <c r="M193" s="19">
        <v>17255</v>
      </c>
      <c r="N193" s="20" t="s">
        <v>100</v>
      </c>
      <c r="O193" s="13" t="b">
        <v>1</v>
      </c>
      <c r="P193" s="20" t="b">
        <v>1</v>
      </c>
      <c r="Q193" s="20" t="b">
        <v>1</v>
      </c>
      <c r="R193" s="13" t="b">
        <v>1</v>
      </c>
      <c r="S193" s="13" t="b">
        <v>1</v>
      </c>
      <c r="T193" s="13" t="b">
        <v>1</v>
      </c>
      <c r="U193" s="13" t="b">
        <v>1</v>
      </c>
      <c r="V193" s="13" t="b">
        <v>1</v>
      </c>
      <c r="W193" s="13" t="b">
        <v>1</v>
      </c>
      <c r="X193" s="13" t="b">
        <v>1</v>
      </c>
      <c r="Y193" s="21" t="s">
        <v>101</v>
      </c>
      <c r="Z193" s="21" t="s">
        <v>1181</v>
      </c>
      <c r="AA193" s="21" t="s">
        <v>1182</v>
      </c>
      <c r="AB193" s="22"/>
      <c r="AC193" s="23"/>
      <c r="AD193" s="13"/>
      <c r="AE193" s="13" t="b">
        <v>1</v>
      </c>
      <c r="AF193" s="48">
        <v>45880</v>
      </c>
      <c r="AG193" s="55"/>
      <c r="AH193" s="27" t="b">
        <v>1</v>
      </c>
      <c r="AI193" s="48">
        <v>45936</v>
      </c>
      <c r="AJ193" s="39" t="s">
        <v>432</v>
      </c>
      <c r="AK193" s="39" t="b">
        <v>1</v>
      </c>
      <c r="AL193" s="30">
        <v>45993</v>
      </c>
      <c r="AM193" s="39" t="s">
        <v>419</v>
      </c>
      <c r="AN193" s="39"/>
      <c r="AO193" s="13"/>
      <c r="AP193" s="12"/>
      <c r="AQ193" s="16"/>
      <c r="AR193" s="12"/>
      <c r="AS193" s="33"/>
      <c r="AT193" s="32"/>
      <c r="AU193" s="33"/>
      <c r="AV193" s="34"/>
      <c r="AW193" s="33"/>
      <c r="AX193" s="35" t="b">
        <v>1</v>
      </c>
      <c r="AY193" s="36">
        <f t="shared" ref="AY193:AY194" si="75">IF(MOD(H193,4)=0,H193/4,ROUNDUP(H193/4,0))</f>
        <v>10990000</v>
      </c>
      <c r="AZ193" s="37"/>
      <c r="BA193" s="38"/>
      <c r="BB193" s="37"/>
      <c r="BC193" s="38"/>
      <c r="BD193" s="37"/>
      <c r="BE193" s="38"/>
      <c r="BF193" s="37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5" t="b">
        <v>1</v>
      </c>
      <c r="BU193" s="36">
        <f t="shared" ref="BU193:BU194" si="76">IF(MOD(H193,4)=0,H193/4,ROUNDDOWN(H193/4,0))</f>
        <v>10990000</v>
      </c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5" t="b">
        <v>1</v>
      </c>
      <c r="CO193" s="36">
        <f>IF(MOD(H193,4)=0,H193/4,ROUNDUP(H193/4,0))</f>
        <v>10990000</v>
      </c>
      <c r="CP193" s="36"/>
      <c r="CQ193" s="36"/>
      <c r="CR193" s="36"/>
      <c r="CS193" s="36"/>
      <c r="CT193" s="36"/>
      <c r="CU193" s="36"/>
      <c r="CV193" s="36"/>
      <c r="CW193" s="36"/>
    </row>
    <row r="194" spans="1:101" ht="32.25" customHeight="1" x14ac:dyDescent="0.25">
      <c r="A194" s="12">
        <f t="shared" si="0"/>
        <v>193</v>
      </c>
      <c r="B194" s="13" t="s">
        <v>151</v>
      </c>
      <c r="C194" s="13" t="s">
        <v>1132</v>
      </c>
      <c r="D194" s="14" t="s">
        <v>1183</v>
      </c>
      <c r="E194" s="15" t="s">
        <v>1184</v>
      </c>
      <c r="F194" s="15" t="s">
        <v>1185</v>
      </c>
      <c r="G194" s="16">
        <v>11</v>
      </c>
      <c r="H194" s="17">
        <v>23820500</v>
      </c>
      <c r="I194" s="18"/>
      <c r="J194" s="18"/>
      <c r="K194" s="18"/>
      <c r="L194" s="18" t="s">
        <v>99</v>
      </c>
      <c r="M194" s="19">
        <v>17256</v>
      </c>
      <c r="N194" s="20" t="s">
        <v>100</v>
      </c>
      <c r="O194" s="13" t="b">
        <v>1</v>
      </c>
      <c r="P194" s="20" t="b">
        <v>1</v>
      </c>
      <c r="Q194" s="20" t="b">
        <v>1</v>
      </c>
      <c r="R194" s="13" t="b">
        <v>1</v>
      </c>
      <c r="S194" s="13" t="b">
        <v>1</v>
      </c>
      <c r="T194" s="13" t="b">
        <v>1</v>
      </c>
      <c r="U194" s="13" t="b">
        <v>1</v>
      </c>
      <c r="V194" s="13" t="b">
        <v>1</v>
      </c>
      <c r="W194" s="13" t="b">
        <v>1</v>
      </c>
      <c r="X194" s="13" t="b">
        <v>1</v>
      </c>
      <c r="Y194" s="21" t="s">
        <v>101</v>
      </c>
      <c r="Z194" s="21" t="s">
        <v>1186</v>
      </c>
      <c r="AA194" s="21" t="s">
        <v>1184</v>
      </c>
      <c r="AB194" s="22"/>
      <c r="AC194" s="23"/>
      <c r="AD194" s="21"/>
      <c r="AE194" s="47" t="b">
        <v>1</v>
      </c>
      <c r="AF194" s="52">
        <v>45873</v>
      </c>
      <c r="AG194" s="26" t="s">
        <v>1187</v>
      </c>
      <c r="AH194" s="39" t="b">
        <v>1</v>
      </c>
      <c r="AI194" s="40">
        <v>45915</v>
      </c>
      <c r="AJ194" s="54" t="s">
        <v>1188</v>
      </c>
      <c r="AK194" s="39" t="b">
        <v>1</v>
      </c>
      <c r="AL194" s="40">
        <v>46002</v>
      </c>
      <c r="AM194" s="29" t="s">
        <v>485</v>
      </c>
      <c r="AN194" s="29"/>
      <c r="AO194" s="13"/>
      <c r="AP194" s="12"/>
      <c r="AQ194" s="16"/>
      <c r="AR194" s="32"/>
      <c r="AS194" s="33"/>
      <c r="AT194" s="32"/>
      <c r="AU194" s="33"/>
      <c r="AV194" s="34"/>
      <c r="AW194" s="33"/>
      <c r="AX194" s="35" t="b">
        <v>1</v>
      </c>
      <c r="AY194" s="36">
        <f t="shared" si="75"/>
        <v>5955125</v>
      </c>
      <c r="AZ194" s="37"/>
      <c r="BA194" s="38"/>
      <c r="BB194" s="37"/>
      <c r="BC194" s="38"/>
      <c r="BD194" s="37"/>
      <c r="BE194" s="38"/>
      <c r="BF194" s="37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5" t="b">
        <v>1</v>
      </c>
      <c r="BU194" s="36">
        <f t="shared" si="76"/>
        <v>5955125</v>
      </c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12" t="b">
        <v>1</v>
      </c>
      <c r="CS194" s="36">
        <f>IF(MOD(H194,4)=0,H194/4,ROUNDUP(H194/4,0))</f>
        <v>5955125</v>
      </c>
      <c r="CT194" s="36"/>
      <c r="CU194" s="36"/>
      <c r="CV194" s="36"/>
      <c r="CW194" s="36"/>
    </row>
    <row r="195" spans="1:101" ht="32.25" customHeight="1" x14ac:dyDescent="0.25">
      <c r="A195" s="12">
        <f t="shared" si="0"/>
        <v>194</v>
      </c>
      <c r="B195" s="13" t="s">
        <v>151</v>
      </c>
      <c r="C195" s="13" t="s">
        <v>1132</v>
      </c>
      <c r="D195" s="14" t="s">
        <v>1189</v>
      </c>
      <c r="E195" s="15" t="s">
        <v>1190</v>
      </c>
      <c r="F195" s="15" t="s">
        <v>1191</v>
      </c>
      <c r="G195" s="16">
        <v>56</v>
      </c>
      <c r="H195" s="17">
        <v>121268000</v>
      </c>
      <c r="I195" s="18"/>
      <c r="J195" s="18"/>
      <c r="K195" s="18"/>
      <c r="L195" s="18" t="s">
        <v>99</v>
      </c>
      <c r="M195" s="19">
        <v>17257</v>
      </c>
      <c r="N195" s="20" t="s">
        <v>100</v>
      </c>
      <c r="O195" s="13" t="b">
        <v>1</v>
      </c>
      <c r="P195" s="20" t="b">
        <v>1</v>
      </c>
      <c r="Q195" s="20" t="b">
        <v>1</v>
      </c>
      <c r="R195" s="13" t="b">
        <v>1</v>
      </c>
      <c r="S195" s="13" t="b">
        <v>1</v>
      </c>
      <c r="T195" s="13" t="b">
        <v>1</v>
      </c>
      <c r="U195" s="13" t="b">
        <v>1</v>
      </c>
      <c r="V195" s="13" t="b">
        <v>1</v>
      </c>
      <c r="W195" s="13" t="b">
        <v>1</v>
      </c>
      <c r="X195" s="13" t="b">
        <v>1</v>
      </c>
      <c r="Y195" s="21" t="s">
        <v>101</v>
      </c>
      <c r="Z195" s="21" t="s">
        <v>1192</v>
      </c>
      <c r="AA195" s="21" t="s">
        <v>1193</v>
      </c>
      <c r="AB195" s="22"/>
      <c r="AC195" s="23"/>
      <c r="AD195" s="13"/>
      <c r="AE195" s="47" t="b">
        <v>1</v>
      </c>
      <c r="AF195" s="48">
        <v>45915</v>
      </c>
      <c r="AG195" s="26" t="s">
        <v>1194</v>
      </c>
      <c r="AH195" s="39" t="b">
        <v>1</v>
      </c>
      <c r="AI195" s="28">
        <v>45996</v>
      </c>
      <c r="AJ195" s="29" t="s">
        <v>590</v>
      </c>
      <c r="AK195" s="39" t="b">
        <v>0</v>
      </c>
      <c r="AL195" s="29"/>
      <c r="AM195" s="29"/>
      <c r="AN195" s="29"/>
      <c r="AO195" s="13"/>
      <c r="AP195" s="12"/>
      <c r="AQ195" s="16"/>
      <c r="AR195" s="12"/>
      <c r="AS195" s="33"/>
      <c r="AT195" s="32"/>
      <c r="AU195" s="33"/>
      <c r="AV195" s="34"/>
      <c r="AW195" s="33"/>
      <c r="AX195" s="37"/>
      <c r="AY195" s="38"/>
      <c r="AZ195" s="37"/>
      <c r="BA195" s="38"/>
      <c r="BB195" s="35" t="b">
        <v>1</v>
      </c>
      <c r="BC195" s="36">
        <f>IF(MOD(H195,4)=0,H195/4,ROUNDUP(H195/4,0))</f>
        <v>30317000</v>
      </c>
      <c r="BD195" s="41"/>
      <c r="BE195" s="36"/>
      <c r="BF195" s="41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37" t="b">
        <v>1</v>
      </c>
      <c r="CE195" s="38">
        <f>IF(MOD(H195,4)=0,H195/4,ROUNDDOWN(H195/4,0))</f>
        <v>30317000</v>
      </c>
      <c r="CF195" s="38"/>
      <c r="CG195" s="38"/>
      <c r="CH195" s="38"/>
      <c r="CI195" s="38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</row>
    <row r="196" spans="1:101" ht="32.25" customHeight="1" x14ac:dyDescent="0.25">
      <c r="A196" s="12">
        <f t="shared" si="0"/>
        <v>195</v>
      </c>
      <c r="B196" s="13" t="s">
        <v>134</v>
      </c>
      <c r="C196" s="13" t="s">
        <v>1132</v>
      </c>
      <c r="D196" s="14" t="s">
        <v>1195</v>
      </c>
      <c r="E196" s="15" t="s">
        <v>1196</v>
      </c>
      <c r="F196" s="15" t="s">
        <v>1197</v>
      </c>
      <c r="G196" s="16">
        <v>65</v>
      </c>
      <c r="H196" s="17">
        <v>102050000</v>
      </c>
      <c r="I196" s="18"/>
      <c r="J196" s="18"/>
      <c r="K196" s="18"/>
      <c r="L196" s="18" t="s">
        <v>99</v>
      </c>
      <c r="M196" s="19">
        <v>17258</v>
      </c>
      <c r="N196" s="20" t="s">
        <v>100</v>
      </c>
      <c r="O196" s="13" t="b">
        <v>1</v>
      </c>
      <c r="P196" s="20" t="b">
        <v>1</v>
      </c>
      <c r="Q196" s="20" t="b">
        <v>0</v>
      </c>
      <c r="R196" s="13" t="b">
        <v>0</v>
      </c>
      <c r="S196" s="13" t="b">
        <v>1</v>
      </c>
      <c r="T196" s="13" t="b">
        <v>1</v>
      </c>
      <c r="U196" s="13" t="b">
        <v>0</v>
      </c>
      <c r="V196" s="13" t="b">
        <v>1</v>
      </c>
      <c r="W196" s="13" t="b">
        <v>1</v>
      </c>
      <c r="X196" s="13" t="b">
        <v>1</v>
      </c>
      <c r="Y196" s="21" t="s">
        <v>101</v>
      </c>
      <c r="Z196" s="21" t="s">
        <v>1198</v>
      </c>
      <c r="AA196" s="21" t="s">
        <v>1199</v>
      </c>
      <c r="AB196" s="22"/>
      <c r="AC196" s="13"/>
      <c r="AD196" s="13"/>
      <c r="AE196" s="47" t="b">
        <v>1</v>
      </c>
      <c r="AF196" s="48">
        <v>45964</v>
      </c>
      <c r="AG196" s="26" t="s">
        <v>1200</v>
      </c>
      <c r="AH196" s="39" t="b">
        <v>1</v>
      </c>
      <c r="AI196" s="28">
        <v>45985</v>
      </c>
      <c r="AJ196" s="29" t="s">
        <v>1201</v>
      </c>
      <c r="AK196" s="39" t="b">
        <v>1</v>
      </c>
      <c r="AL196" s="40">
        <v>46008</v>
      </c>
      <c r="AM196" s="29" t="s">
        <v>1202</v>
      </c>
      <c r="AN196" s="29"/>
      <c r="AO196" s="13"/>
      <c r="AP196" s="12"/>
      <c r="AQ196" s="16"/>
      <c r="AR196" s="12"/>
      <c r="AS196" s="33"/>
      <c r="AT196" s="32"/>
      <c r="AU196" s="33"/>
      <c r="AV196" s="34"/>
      <c r="AW196" s="33"/>
      <c r="AX196" s="37"/>
      <c r="AY196" s="38"/>
      <c r="AZ196" s="37"/>
      <c r="BA196" s="38"/>
      <c r="BB196" s="37"/>
      <c r="BC196" s="38"/>
      <c r="BD196" s="37"/>
      <c r="BE196" s="38"/>
      <c r="BF196" s="37"/>
      <c r="BG196" s="38"/>
      <c r="BH196" s="42" t="b">
        <v>1</v>
      </c>
      <c r="BI196" s="38">
        <f>IF(MOD(H196,4)=0,H196/4,ROUNDUP(H196/4,0))</f>
        <v>25512500</v>
      </c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7"/>
      <c r="BU196" s="37"/>
      <c r="BV196" s="37"/>
      <c r="BW196" s="37"/>
      <c r="BX196" s="42" t="b">
        <v>1</v>
      </c>
      <c r="BY196" s="41">
        <f>IF(MOD(H196,4)=0,H196/4,ROUNDDOWN(H196/4,0))</f>
        <v>25512500</v>
      </c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37"/>
      <c r="CK196" s="37"/>
      <c r="CL196" s="37"/>
      <c r="CM196" s="37"/>
      <c r="CN196" s="37"/>
      <c r="CO196" s="37"/>
      <c r="CP196" s="37"/>
      <c r="CQ196" s="37"/>
      <c r="CR196" s="12" t="b">
        <v>1</v>
      </c>
      <c r="CS196" s="36">
        <f t="shared" ref="CS196:CS197" si="77">IF(MOD(H196,4)=0,H196/4,ROUNDUP(H196/4,0))</f>
        <v>25512500</v>
      </c>
      <c r="CT196" s="36"/>
      <c r="CU196" s="36"/>
      <c r="CV196" s="36"/>
      <c r="CW196" s="36"/>
    </row>
    <row r="197" spans="1:101" ht="32.25" customHeight="1" x14ac:dyDescent="0.25">
      <c r="A197" s="12">
        <f t="shared" si="0"/>
        <v>196</v>
      </c>
      <c r="B197" s="13" t="s">
        <v>134</v>
      </c>
      <c r="C197" s="13" t="s">
        <v>1132</v>
      </c>
      <c r="D197" s="14" t="s">
        <v>1203</v>
      </c>
      <c r="E197" s="15" t="s">
        <v>1204</v>
      </c>
      <c r="F197" s="15" t="s">
        <v>1205</v>
      </c>
      <c r="G197" s="16">
        <v>90</v>
      </c>
      <c r="H197" s="17">
        <v>141300000</v>
      </c>
      <c r="I197" s="18"/>
      <c r="J197" s="18"/>
      <c r="K197" s="18"/>
      <c r="L197" s="18" t="s">
        <v>99</v>
      </c>
      <c r="M197" s="19">
        <v>17259</v>
      </c>
      <c r="N197" s="20" t="s">
        <v>100</v>
      </c>
      <c r="O197" s="13" t="b">
        <v>1</v>
      </c>
      <c r="P197" s="20" t="b">
        <v>1</v>
      </c>
      <c r="Q197" s="20" t="b">
        <v>1</v>
      </c>
      <c r="R197" s="13" t="b">
        <v>1</v>
      </c>
      <c r="S197" s="13" t="b">
        <v>1</v>
      </c>
      <c r="T197" s="13" t="b">
        <v>1</v>
      </c>
      <c r="U197" s="13" t="b">
        <v>1</v>
      </c>
      <c r="V197" s="13" t="b">
        <v>1</v>
      </c>
      <c r="W197" s="13" t="b">
        <v>1</v>
      </c>
      <c r="X197" s="13" t="b">
        <v>1</v>
      </c>
      <c r="Y197" s="21" t="s">
        <v>101</v>
      </c>
      <c r="Z197" s="21" t="s">
        <v>1206</v>
      </c>
      <c r="AA197" s="21" t="s">
        <v>1207</v>
      </c>
      <c r="AB197" s="22"/>
      <c r="AC197" s="23"/>
      <c r="AD197" s="13"/>
      <c r="AE197" s="47" t="b">
        <v>1</v>
      </c>
      <c r="AF197" s="48">
        <v>45943</v>
      </c>
      <c r="AG197" s="26" t="s">
        <v>1208</v>
      </c>
      <c r="AH197" s="39" t="b">
        <v>1</v>
      </c>
      <c r="AI197" s="28">
        <v>45993</v>
      </c>
      <c r="AJ197" s="29" t="s">
        <v>104</v>
      </c>
      <c r="AK197" s="39" t="b">
        <v>1</v>
      </c>
      <c r="AL197" s="40">
        <v>46008</v>
      </c>
      <c r="AM197" s="29" t="s">
        <v>104</v>
      </c>
      <c r="AN197" s="29"/>
      <c r="AO197" s="13"/>
      <c r="AP197" s="12"/>
      <c r="AQ197" s="16"/>
      <c r="AR197" s="32"/>
      <c r="AS197" s="33"/>
      <c r="AT197" s="32"/>
      <c r="AU197" s="33"/>
      <c r="AV197" s="34"/>
      <c r="AW197" s="33"/>
      <c r="AX197" s="37"/>
      <c r="AY197" s="38"/>
      <c r="AZ197" s="37"/>
      <c r="BA197" s="38"/>
      <c r="BB197" s="37"/>
      <c r="BC197" s="38"/>
      <c r="BD197" s="37"/>
      <c r="BE197" s="38"/>
      <c r="BF197" s="35" t="b">
        <v>1</v>
      </c>
      <c r="BG197" s="38">
        <f>IF(MOD(H197,4)=0,H197/4,ROUNDUP(H197/4,0))</f>
        <v>35325000</v>
      </c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42" t="b">
        <v>1</v>
      </c>
      <c r="CC197" s="38">
        <f>IF(MOD(H197,4)=0,H197/4,ROUNDDOWN(H197/4,0))</f>
        <v>35325000</v>
      </c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12" t="b">
        <v>1</v>
      </c>
      <c r="CS197" s="36">
        <f t="shared" si="77"/>
        <v>35325000</v>
      </c>
      <c r="CT197" s="36"/>
      <c r="CU197" s="36"/>
      <c r="CV197" s="36"/>
      <c r="CW197" s="36"/>
    </row>
    <row r="198" spans="1:101" ht="32.25" customHeight="1" x14ac:dyDescent="0.25">
      <c r="A198" s="12">
        <f t="shared" si="0"/>
        <v>197</v>
      </c>
      <c r="B198" s="13" t="s">
        <v>134</v>
      </c>
      <c r="C198" s="13" t="s">
        <v>1132</v>
      </c>
      <c r="D198" s="14" t="s">
        <v>1209</v>
      </c>
      <c r="E198" s="15" t="s">
        <v>1210</v>
      </c>
      <c r="F198" s="15" t="s">
        <v>1211</v>
      </c>
      <c r="G198" s="16">
        <v>283</v>
      </c>
      <c r="H198" s="17">
        <v>444310000</v>
      </c>
      <c r="I198" s="18"/>
      <c r="J198" s="18"/>
      <c r="K198" s="18"/>
      <c r="L198" s="18" t="s">
        <v>99</v>
      </c>
      <c r="M198" s="19">
        <v>17260</v>
      </c>
      <c r="N198" s="20" t="s">
        <v>100</v>
      </c>
      <c r="O198" s="13" t="b">
        <v>1</v>
      </c>
      <c r="P198" s="20" t="b">
        <v>1</v>
      </c>
      <c r="Q198" s="20" t="b">
        <v>1</v>
      </c>
      <c r="R198" s="13" t="b">
        <v>1</v>
      </c>
      <c r="S198" s="13" t="b">
        <v>1</v>
      </c>
      <c r="T198" s="13" t="b">
        <v>1</v>
      </c>
      <c r="U198" s="13" t="b">
        <v>1</v>
      </c>
      <c r="V198" s="13" t="b">
        <v>1</v>
      </c>
      <c r="W198" s="13" t="b">
        <v>1</v>
      </c>
      <c r="X198" s="13" t="b">
        <v>1</v>
      </c>
      <c r="Y198" s="21" t="s">
        <v>101</v>
      </c>
      <c r="Z198" s="21" t="s">
        <v>1212</v>
      </c>
      <c r="AA198" s="21" t="s">
        <v>1213</v>
      </c>
      <c r="AB198" s="22"/>
      <c r="AC198" s="23"/>
      <c r="AD198" s="13"/>
      <c r="AE198" s="47" t="b">
        <v>1</v>
      </c>
      <c r="AF198" s="48">
        <v>45943</v>
      </c>
      <c r="AG198" s="26" t="s">
        <v>1214</v>
      </c>
      <c r="AH198" s="27" t="b">
        <v>1</v>
      </c>
      <c r="AI198" s="28">
        <v>45985</v>
      </c>
      <c r="AJ198" s="29" t="s">
        <v>1215</v>
      </c>
      <c r="AK198" s="39" t="b">
        <v>0</v>
      </c>
      <c r="AL198" s="29"/>
      <c r="AM198" s="29"/>
      <c r="AN198" s="29"/>
      <c r="AO198" s="13"/>
      <c r="AP198" s="12"/>
      <c r="AQ198" s="16"/>
      <c r="AR198" s="32"/>
      <c r="AS198" s="33"/>
      <c r="AT198" s="32"/>
      <c r="AU198" s="33"/>
      <c r="AV198" s="34"/>
      <c r="AW198" s="33"/>
      <c r="AX198" s="37"/>
      <c r="AY198" s="38"/>
      <c r="AZ198" s="37"/>
      <c r="BA198" s="38"/>
      <c r="BB198" s="37"/>
      <c r="BC198" s="38"/>
      <c r="BD198" s="37"/>
      <c r="BE198" s="38"/>
      <c r="BF198" s="37"/>
      <c r="BG198" s="38"/>
      <c r="BH198" s="42" t="b">
        <v>1</v>
      </c>
      <c r="BI198" s="38">
        <f>IF(MOD(H198,4)=0,H198/4,ROUNDUP(H198/4,0))</f>
        <v>111077500</v>
      </c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7"/>
      <c r="BU198" s="37"/>
      <c r="BV198" s="37"/>
      <c r="BW198" s="37"/>
      <c r="BX198" s="42" t="b">
        <v>1</v>
      </c>
      <c r="BY198" s="41">
        <f>IF(MOD(H198,4)=0,H198/4,ROUNDDOWN(H198/4,0))</f>
        <v>111077500</v>
      </c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</row>
    <row r="199" spans="1:101" ht="32.25" customHeight="1" x14ac:dyDescent="0.25">
      <c r="A199" s="12">
        <f t="shared" si="0"/>
        <v>198</v>
      </c>
      <c r="B199" s="13" t="s">
        <v>134</v>
      </c>
      <c r="C199" s="13" t="s">
        <v>1132</v>
      </c>
      <c r="D199" s="14" t="s">
        <v>1216</v>
      </c>
      <c r="E199" s="15" t="s">
        <v>1217</v>
      </c>
      <c r="F199" s="15" t="s">
        <v>1218</v>
      </c>
      <c r="G199" s="16">
        <v>141</v>
      </c>
      <c r="H199" s="17">
        <v>221370000</v>
      </c>
      <c r="I199" s="18"/>
      <c r="J199" s="18"/>
      <c r="K199" s="18"/>
      <c r="L199" s="18" t="s">
        <v>99</v>
      </c>
      <c r="M199" s="19">
        <v>17261</v>
      </c>
      <c r="N199" s="20" t="s">
        <v>100</v>
      </c>
      <c r="O199" s="13" t="b">
        <v>1</v>
      </c>
      <c r="P199" s="20" t="b">
        <v>1</v>
      </c>
      <c r="Q199" s="20" t="b">
        <v>1</v>
      </c>
      <c r="R199" s="13" t="b">
        <v>1</v>
      </c>
      <c r="S199" s="13" t="b">
        <v>1</v>
      </c>
      <c r="T199" s="13" t="b">
        <v>1</v>
      </c>
      <c r="U199" s="13" t="b">
        <v>0</v>
      </c>
      <c r="V199" s="13" t="b">
        <v>1</v>
      </c>
      <c r="W199" s="13" t="b">
        <v>1</v>
      </c>
      <c r="X199" s="13" t="b">
        <v>1</v>
      </c>
      <c r="Y199" s="21" t="s">
        <v>101</v>
      </c>
      <c r="Z199" s="21" t="s">
        <v>1219</v>
      </c>
      <c r="AA199" s="21" t="s">
        <v>1220</v>
      </c>
      <c r="AB199" s="22"/>
      <c r="AC199" s="23"/>
      <c r="AD199" s="13"/>
      <c r="AE199" s="47" t="b">
        <v>1</v>
      </c>
      <c r="AF199" s="30">
        <v>45919</v>
      </c>
      <c r="AG199" s="55" t="s">
        <v>1221</v>
      </c>
      <c r="AH199" s="27" t="b">
        <v>1</v>
      </c>
      <c r="AI199" s="28">
        <v>45950</v>
      </c>
      <c r="AJ199" s="49" t="s">
        <v>1222</v>
      </c>
      <c r="AK199" s="27" t="b">
        <v>1</v>
      </c>
      <c r="AL199" s="40">
        <v>45987</v>
      </c>
      <c r="AM199" s="29" t="s">
        <v>140</v>
      </c>
      <c r="AN199" s="29"/>
      <c r="AO199" s="13"/>
      <c r="AP199" s="12"/>
      <c r="AQ199" s="16"/>
      <c r="AR199" s="32"/>
      <c r="AS199" s="33"/>
      <c r="AT199" s="32"/>
      <c r="AU199" s="33"/>
      <c r="AV199" s="34"/>
      <c r="AW199" s="33"/>
      <c r="AX199" s="37"/>
      <c r="AY199" s="38"/>
      <c r="AZ199" s="37"/>
      <c r="BA199" s="38"/>
      <c r="BB199" s="37"/>
      <c r="BC199" s="38"/>
      <c r="BD199" s="42" t="b">
        <v>1</v>
      </c>
      <c r="BE199" s="36">
        <f>IF(MOD(H199,4)=0,H199/4,ROUNDUP(H199/4,0))</f>
        <v>55342500</v>
      </c>
      <c r="BF199" s="41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41"/>
      <c r="BU199" s="41"/>
      <c r="BV199" s="35" t="b">
        <v>1</v>
      </c>
      <c r="BW199" s="41">
        <f>IF(MOD(H199,4)=0,H199/4,ROUNDDOWN(H199/4,0))</f>
        <v>55342500</v>
      </c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35" t="b">
        <v>1</v>
      </c>
      <c r="CM199" s="41">
        <f>IF(MOD(H199,4)=0,H199/4,ROUNDUP(H199/4,0))</f>
        <v>55342500</v>
      </c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</row>
    <row r="200" spans="1:101" ht="32.25" customHeight="1" x14ac:dyDescent="0.25">
      <c r="A200" s="12">
        <f t="shared" si="0"/>
        <v>199</v>
      </c>
      <c r="B200" s="13" t="s">
        <v>134</v>
      </c>
      <c r="C200" s="13" t="s">
        <v>1132</v>
      </c>
      <c r="D200" s="14" t="s">
        <v>1223</v>
      </c>
      <c r="E200" s="15" t="s">
        <v>1981</v>
      </c>
      <c r="F200" s="15" t="s">
        <v>1225</v>
      </c>
      <c r="G200" s="16">
        <v>241</v>
      </c>
      <c r="H200" s="17">
        <v>378370000</v>
      </c>
      <c r="I200" s="18"/>
      <c r="J200" s="18"/>
      <c r="K200" s="18"/>
      <c r="L200" s="18" t="s">
        <v>99</v>
      </c>
      <c r="M200" s="19">
        <v>17262</v>
      </c>
      <c r="N200" s="20" t="s">
        <v>100</v>
      </c>
      <c r="O200" s="13" t="b">
        <v>1</v>
      </c>
      <c r="P200" s="20" t="b">
        <v>1</v>
      </c>
      <c r="Q200" s="20" t="b">
        <v>1</v>
      </c>
      <c r="R200" s="13" t="b">
        <v>1</v>
      </c>
      <c r="S200" s="13" t="b">
        <v>1</v>
      </c>
      <c r="T200" s="13" t="b">
        <v>1</v>
      </c>
      <c r="U200" s="13" t="b">
        <v>1</v>
      </c>
      <c r="V200" s="13" t="b">
        <v>1</v>
      </c>
      <c r="W200" s="13" t="b">
        <v>1</v>
      </c>
      <c r="X200" s="13" t="b">
        <v>1</v>
      </c>
      <c r="Y200" s="21" t="s">
        <v>101</v>
      </c>
      <c r="Z200" s="21" t="s">
        <v>1226</v>
      </c>
      <c r="AA200" s="21" t="s">
        <v>1227</v>
      </c>
      <c r="AB200" s="22"/>
      <c r="AC200" s="61"/>
      <c r="AD200" s="13"/>
      <c r="AE200" s="13" t="b">
        <v>1</v>
      </c>
      <c r="AF200" s="48">
        <v>46008</v>
      </c>
      <c r="AG200" s="26" t="s">
        <v>104</v>
      </c>
      <c r="AH200" s="39" t="b">
        <v>0</v>
      </c>
      <c r="AI200" s="28"/>
      <c r="AJ200" s="29"/>
      <c r="AK200" s="39" t="b">
        <v>0</v>
      </c>
      <c r="AL200" s="29"/>
      <c r="AM200" s="29"/>
      <c r="AN200" s="29"/>
      <c r="AO200" s="13"/>
      <c r="AP200" s="12"/>
      <c r="AQ200" s="16"/>
      <c r="AR200" s="32"/>
      <c r="AS200" s="33"/>
      <c r="AT200" s="32"/>
      <c r="AU200" s="33"/>
      <c r="AV200" s="34"/>
      <c r="AW200" s="33"/>
      <c r="AX200" s="37"/>
      <c r="AY200" s="38"/>
      <c r="AZ200" s="37"/>
      <c r="BA200" s="38"/>
      <c r="BB200" s="37"/>
      <c r="BC200" s="38"/>
      <c r="BD200" s="37"/>
      <c r="BE200" s="38"/>
      <c r="BF200" s="37"/>
      <c r="BG200" s="38"/>
      <c r="BH200" s="38"/>
      <c r="BI200" s="38"/>
      <c r="BJ200" s="38"/>
      <c r="BK200" s="38"/>
      <c r="BL200" s="38"/>
      <c r="BM200" s="38"/>
      <c r="BN200" s="38"/>
      <c r="BO200" s="38"/>
      <c r="BP200" s="42" t="b">
        <v>1</v>
      </c>
      <c r="BQ200" s="38">
        <f>IF(MOD(H200,4)=0,H200/4,ROUNDUP(H200/4,0))</f>
        <v>94592500</v>
      </c>
      <c r="BR200" s="38"/>
      <c r="BS200" s="38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</row>
    <row r="201" spans="1:101" ht="32.25" customHeight="1" x14ac:dyDescent="0.25">
      <c r="A201" s="12">
        <f t="shared" si="0"/>
        <v>200</v>
      </c>
      <c r="B201" s="13" t="s">
        <v>251</v>
      </c>
      <c r="C201" s="13" t="s">
        <v>1132</v>
      </c>
      <c r="D201" s="14" t="s">
        <v>1228</v>
      </c>
      <c r="E201" s="15" t="s">
        <v>1229</v>
      </c>
      <c r="F201" s="15" t="s">
        <v>1230</v>
      </c>
      <c r="G201" s="16">
        <v>38</v>
      </c>
      <c r="H201" s="17">
        <v>71953000</v>
      </c>
      <c r="I201" s="18"/>
      <c r="J201" s="18"/>
      <c r="K201" s="18"/>
      <c r="L201" s="18" t="s">
        <v>99</v>
      </c>
      <c r="M201" s="19">
        <v>17263</v>
      </c>
      <c r="N201" s="20" t="s">
        <v>100</v>
      </c>
      <c r="O201" s="13" t="b">
        <v>1</v>
      </c>
      <c r="P201" s="20" t="b">
        <v>1</v>
      </c>
      <c r="Q201" s="20" t="b">
        <v>0</v>
      </c>
      <c r="R201" s="13" t="b">
        <v>1</v>
      </c>
      <c r="S201" s="13" t="b">
        <v>1</v>
      </c>
      <c r="T201" s="13" t="b">
        <v>1</v>
      </c>
      <c r="U201" s="13" t="b">
        <v>1</v>
      </c>
      <c r="V201" s="13" t="b">
        <v>1</v>
      </c>
      <c r="W201" s="13" t="b">
        <v>1</v>
      </c>
      <c r="X201" s="13" t="b">
        <v>1</v>
      </c>
      <c r="Y201" s="21" t="s">
        <v>101</v>
      </c>
      <c r="Z201" s="21" t="s">
        <v>1231</v>
      </c>
      <c r="AA201" s="21" t="s">
        <v>1232</v>
      </c>
      <c r="AB201" s="22"/>
      <c r="AC201" s="23"/>
      <c r="AD201" s="13"/>
      <c r="AE201" s="47" t="b">
        <v>1</v>
      </c>
      <c r="AF201" s="48">
        <v>45950</v>
      </c>
      <c r="AG201" s="26" t="s">
        <v>1233</v>
      </c>
      <c r="AH201" s="27" t="b">
        <v>1</v>
      </c>
      <c r="AI201" s="28">
        <v>45985</v>
      </c>
      <c r="AJ201" s="29" t="s">
        <v>466</v>
      </c>
      <c r="AK201" s="39" t="b">
        <v>0</v>
      </c>
      <c r="AL201" s="29"/>
      <c r="AM201" s="29"/>
      <c r="AN201" s="29"/>
      <c r="AO201" s="13"/>
      <c r="AP201" s="12"/>
      <c r="AQ201" s="16"/>
      <c r="AR201" s="32"/>
      <c r="AS201" s="33"/>
      <c r="AT201" s="32"/>
      <c r="AU201" s="33"/>
      <c r="AV201" s="34"/>
      <c r="AW201" s="33"/>
      <c r="AX201" s="37"/>
      <c r="AY201" s="38"/>
      <c r="AZ201" s="37"/>
      <c r="BA201" s="38"/>
      <c r="BB201" s="37"/>
      <c r="BC201" s="38"/>
      <c r="BD201" s="37"/>
      <c r="BE201" s="38"/>
      <c r="BF201" s="37"/>
      <c r="BG201" s="38"/>
      <c r="BH201" s="42" t="b">
        <v>1</v>
      </c>
      <c r="BI201" s="38">
        <f>IF(MOD(H201,4)=0,H201/4,ROUNDUP(H201/4,0))</f>
        <v>17988250</v>
      </c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7"/>
      <c r="BU201" s="37"/>
      <c r="BV201" s="37"/>
      <c r="BW201" s="37"/>
      <c r="BX201" s="42" t="b">
        <v>1</v>
      </c>
      <c r="BY201" s="41">
        <f>IF(MOD(H201,4)=0,H201/4,ROUNDDOWN(H201/4,0))</f>
        <v>17988250</v>
      </c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</row>
    <row r="202" spans="1:101" ht="32.25" customHeight="1" x14ac:dyDescent="0.25">
      <c r="A202" s="12">
        <f t="shared" si="0"/>
        <v>201</v>
      </c>
      <c r="B202" s="13" t="s">
        <v>251</v>
      </c>
      <c r="C202" s="13" t="s">
        <v>1132</v>
      </c>
      <c r="D202" s="14" t="s">
        <v>1234</v>
      </c>
      <c r="E202" s="15" t="s">
        <v>1235</v>
      </c>
      <c r="F202" s="15" t="s">
        <v>1236</v>
      </c>
      <c r="G202" s="16">
        <v>103</v>
      </c>
      <c r="H202" s="17">
        <v>195030500</v>
      </c>
      <c r="I202" s="18"/>
      <c r="J202" s="18"/>
      <c r="K202" s="18"/>
      <c r="L202" s="18" t="s">
        <v>99</v>
      </c>
      <c r="M202" s="19">
        <v>17264</v>
      </c>
      <c r="N202" s="20" t="s">
        <v>100</v>
      </c>
      <c r="O202" s="13" t="b">
        <v>1</v>
      </c>
      <c r="P202" s="20" t="b">
        <v>1</v>
      </c>
      <c r="Q202" s="20" t="b">
        <v>1</v>
      </c>
      <c r="R202" s="13" t="b">
        <v>1</v>
      </c>
      <c r="S202" s="13" t="b">
        <v>1</v>
      </c>
      <c r="T202" s="13" t="b">
        <v>1</v>
      </c>
      <c r="U202" s="13" t="b">
        <v>1</v>
      </c>
      <c r="V202" s="13" t="b">
        <v>1</v>
      </c>
      <c r="W202" s="13" t="b">
        <v>1</v>
      </c>
      <c r="X202" s="13" t="b">
        <v>1</v>
      </c>
      <c r="Y202" s="21" t="s">
        <v>443</v>
      </c>
      <c r="Z202" s="21" t="s">
        <v>1237</v>
      </c>
      <c r="AA202" s="21" t="s">
        <v>1238</v>
      </c>
      <c r="AB202" s="22"/>
      <c r="AC202" s="23"/>
      <c r="AD202" s="21"/>
      <c r="AE202" s="47" t="b">
        <v>1</v>
      </c>
      <c r="AF202" s="48">
        <v>45873</v>
      </c>
      <c r="AG202" s="26" t="s">
        <v>1239</v>
      </c>
      <c r="AH202" s="27" t="b">
        <v>1</v>
      </c>
      <c r="AI202" s="28">
        <v>45943</v>
      </c>
      <c r="AJ202" s="49" t="s">
        <v>1240</v>
      </c>
      <c r="AK202" s="39" t="b">
        <v>1</v>
      </c>
      <c r="AL202" s="40">
        <v>46001</v>
      </c>
      <c r="AM202" s="29" t="s">
        <v>1241</v>
      </c>
      <c r="AN202" s="29"/>
      <c r="AO202" s="13"/>
      <c r="AP202" s="12"/>
      <c r="AQ202" s="16"/>
      <c r="AR202" s="32"/>
      <c r="AS202" s="33"/>
      <c r="AT202" s="32"/>
      <c r="AU202" s="33"/>
      <c r="AV202" s="34"/>
      <c r="AW202" s="33"/>
      <c r="AX202" s="35" t="b">
        <v>1</v>
      </c>
      <c r="AY202" s="36">
        <f>IF(MOD(H202,4)=0,H202/4,ROUNDUP(H202/4,0))</f>
        <v>48757625</v>
      </c>
      <c r="AZ202" s="37"/>
      <c r="BA202" s="38"/>
      <c r="BB202" s="37"/>
      <c r="BC202" s="38"/>
      <c r="BD202" s="37"/>
      <c r="BE202" s="38"/>
      <c r="BF202" s="37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7"/>
      <c r="BU202" s="37"/>
      <c r="BV202" s="35" t="b">
        <v>1</v>
      </c>
      <c r="BW202" s="41">
        <f>IF(MOD(H202,4)=0,H202/4,ROUNDDOWN(H202/4,0))</f>
        <v>48757625</v>
      </c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35" t="b">
        <v>1</v>
      </c>
      <c r="CQ202" s="41">
        <f>IF(MOD(H202,4)=0,H202/4,ROUNDUP(H202/4,0))</f>
        <v>48757625</v>
      </c>
      <c r="CR202" s="41"/>
      <c r="CS202" s="41"/>
      <c r="CT202" s="41"/>
      <c r="CU202" s="41"/>
      <c r="CV202" s="41"/>
      <c r="CW202" s="41"/>
    </row>
    <row r="203" spans="1:101" ht="32.25" customHeight="1" x14ac:dyDescent="0.25">
      <c r="A203" s="12">
        <f t="shared" si="0"/>
        <v>202</v>
      </c>
      <c r="B203" s="13" t="s">
        <v>251</v>
      </c>
      <c r="C203" s="13" t="s">
        <v>1132</v>
      </c>
      <c r="D203" s="14" t="s">
        <v>1242</v>
      </c>
      <c r="E203" s="15" t="s">
        <v>1243</v>
      </c>
      <c r="F203" s="15" t="s">
        <v>1244</v>
      </c>
      <c r="G203" s="16">
        <v>48</v>
      </c>
      <c r="H203" s="17">
        <v>90888000</v>
      </c>
      <c r="I203" s="18"/>
      <c r="J203" s="18"/>
      <c r="K203" s="18"/>
      <c r="L203" s="18" t="s">
        <v>99</v>
      </c>
      <c r="M203" s="19">
        <v>17265</v>
      </c>
      <c r="N203" s="20" t="s">
        <v>100</v>
      </c>
      <c r="O203" s="13" t="b">
        <v>1</v>
      </c>
      <c r="P203" s="20" t="b">
        <v>1</v>
      </c>
      <c r="Q203" s="20" t="b">
        <v>1</v>
      </c>
      <c r="R203" s="13" t="b">
        <v>1</v>
      </c>
      <c r="S203" s="13" t="b">
        <v>1</v>
      </c>
      <c r="T203" s="13" t="b">
        <v>1</v>
      </c>
      <c r="U203" s="13" t="b">
        <v>1</v>
      </c>
      <c r="V203" s="13" t="b">
        <v>1</v>
      </c>
      <c r="W203" s="13" t="b">
        <v>1</v>
      </c>
      <c r="X203" s="13" t="b">
        <v>1</v>
      </c>
      <c r="Y203" s="21" t="s">
        <v>101</v>
      </c>
      <c r="Z203" s="21" t="s">
        <v>1245</v>
      </c>
      <c r="AA203" s="21" t="s">
        <v>1246</v>
      </c>
      <c r="AB203" s="22"/>
      <c r="AC203" s="23"/>
      <c r="AD203" s="13"/>
      <c r="AE203" s="13" t="b">
        <v>1</v>
      </c>
      <c r="AF203" s="48">
        <v>46013</v>
      </c>
      <c r="AG203" s="39" t="s">
        <v>1247</v>
      </c>
      <c r="AH203" s="39" t="b">
        <v>0</v>
      </c>
      <c r="AI203" s="28"/>
      <c r="AJ203" s="29"/>
      <c r="AK203" s="39" t="b">
        <v>0</v>
      </c>
      <c r="AL203" s="29"/>
      <c r="AM203" s="29"/>
      <c r="AN203" s="29"/>
      <c r="AO203" s="13"/>
      <c r="AP203" s="12"/>
      <c r="AQ203" s="16"/>
      <c r="AR203" s="32"/>
      <c r="AS203" s="33"/>
      <c r="AT203" s="32"/>
      <c r="AU203" s="33"/>
      <c r="AV203" s="34"/>
      <c r="AW203" s="33"/>
      <c r="AX203" s="37"/>
      <c r="AY203" s="38"/>
      <c r="AZ203" s="37"/>
      <c r="BA203" s="38"/>
      <c r="BB203" s="37"/>
      <c r="BC203" s="38"/>
      <c r="BD203" s="37"/>
      <c r="BE203" s="38"/>
      <c r="BF203" s="37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42" t="b">
        <v>1</v>
      </c>
      <c r="BS203" s="38">
        <f>IF(MOD(H203,4)=0,H203/4,ROUNDUP(H203/4,0))</f>
        <v>22722000</v>
      </c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</row>
    <row r="204" spans="1:101" ht="32.25" customHeight="1" x14ac:dyDescent="0.25">
      <c r="A204" s="12">
        <f t="shared" si="0"/>
        <v>203</v>
      </c>
      <c r="B204" s="13" t="s">
        <v>251</v>
      </c>
      <c r="C204" s="13" t="s">
        <v>1132</v>
      </c>
      <c r="D204" s="14" t="s">
        <v>1248</v>
      </c>
      <c r="E204" s="15" t="s">
        <v>1249</v>
      </c>
      <c r="F204" s="15" t="s">
        <v>1250</v>
      </c>
      <c r="G204" s="16">
        <v>305</v>
      </c>
      <c r="H204" s="17">
        <v>577517500</v>
      </c>
      <c r="I204" s="18"/>
      <c r="J204" s="18"/>
      <c r="K204" s="18"/>
      <c r="L204" s="18" t="s">
        <v>99</v>
      </c>
      <c r="M204" s="19">
        <v>17266</v>
      </c>
      <c r="N204" s="20" t="s">
        <v>100</v>
      </c>
      <c r="O204" s="13" t="b">
        <v>1</v>
      </c>
      <c r="P204" s="20" t="b">
        <v>1</v>
      </c>
      <c r="Q204" s="20" t="b">
        <v>1</v>
      </c>
      <c r="R204" s="13" t="b">
        <v>1</v>
      </c>
      <c r="S204" s="13" t="b">
        <v>1</v>
      </c>
      <c r="T204" s="13" t="b">
        <v>1</v>
      </c>
      <c r="U204" s="13" t="b">
        <v>1</v>
      </c>
      <c r="V204" s="13" t="b">
        <v>1</v>
      </c>
      <c r="W204" s="13" t="b">
        <v>1</v>
      </c>
      <c r="X204" s="13" t="b">
        <v>0</v>
      </c>
      <c r="Y204" s="21" t="s">
        <v>443</v>
      </c>
      <c r="Z204" s="21" t="s">
        <v>1251</v>
      </c>
      <c r="AA204" s="21" t="s">
        <v>1249</v>
      </c>
      <c r="AB204" s="22"/>
      <c r="AC204" s="23"/>
      <c r="AD204" s="13"/>
      <c r="AE204" s="47" t="b">
        <v>1</v>
      </c>
      <c r="AF204" s="48">
        <v>45904</v>
      </c>
      <c r="AG204" s="26" t="s">
        <v>1252</v>
      </c>
      <c r="AH204" s="27" t="b">
        <v>1</v>
      </c>
      <c r="AI204" s="28">
        <v>45957</v>
      </c>
      <c r="AJ204" s="49" t="s">
        <v>1253</v>
      </c>
      <c r="AK204" s="39" t="b">
        <v>1</v>
      </c>
      <c r="AL204" s="40">
        <v>46013</v>
      </c>
      <c r="AM204" s="29" t="s">
        <v>1254</v>
      </c>
      <c r="AN204" s="29"/>
      <c r="AO204" s="13"/>
      <c r="AP204" s="12"/>
      <c r="AQ204" s="16"/>
      <c r="AR204" s="12"/>
      <c r="AS204" s="33"/>
      <c r="AT204" s="32"/>
      <c r="AU204" s="33"/>
      <c r="AV204" s="34"/>
      <c r="AW204" s="33"/>
      <c r="AX204" s="37"/>
      <c r="AY204" s="38"/>
      <c r="AZ204" s="37"/>
      <c r="BA204" s="38"/>
      <c r="BB204" s="35" t="b">
        <v>1</v>
      </c>
      <c r="BC204" s="36">
        <f>IF(MOD(H204,4)=0,H204/4,ROUNDUP(H204/4,0))</f>
        <v>144379375</v>
      </c>
      <c r="BD204" s="41"/>
      <c r="BE204" s="36"/>
      <c r="BF204" s="41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41"/>
      <c r="BU204" s="41"/>
      <c r="BV204" s="35" t="b">
        <v>1</v>
      </c>
      <c r="BW204" s="41">
        <f>IF(MOD(H204,4)=0,H204/4,ROUNDDOWN(H204/4,0))</f>
        <v>144379375</v>
      </c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37" t="b">
        <v>1</v>
      </c>
      <c r="CU204" s="38">
        <f>IF(MOD(H204,4)=0,H204/4,ROUNDUP(H204/4,0))</f>
        <v>144379375</v>
      </c>
      <c r="CV204" s="38"/>
      <c r="CW204" s="38"/>
    </row>
    <row r="205" spans="1:101" ht="32.25" customHeight="1" x14ac:dyDescent="0.25">
      <c r="A205" s="12">
        <f t="shared" si="0"/>
        <v>204</v>
      </c>
      <c r="B205" s="13" t="s">
        <v>251</v>
      </c>
      <c r="C205" s="13" t="s">
        <v>1132</v>
      </c>
      <c r="D205" s="14" t="s">
        <v>1255</v>
      </c>
      <c r="E205" s="15" t="s">
        <v>1256</v>
      </c>
      <c r="F205" s="15" t="s">
        <v>1257</v>
      </c>
      <c r="G205" s="16">
        <v>289</v>
      </c>
      <c r="H205" s="17">
        <v>547221500</v>
      </c>
      <c r="I205" s="18"/>
      <c r="J205" s="18"/>
      <c r="K205" s="18"/>
      <c r="L205" s="18" t="s">
        <v>99</v>
      </c>
      <c r="M205" s="19">
        <v>17267</v>
      </c>
      <c r="N205" s="20" t="s">
        <v>100</v>
      </c>
      <c r="O205" s="13" t="b">
        <v>1</v>
      </c>
      <c r="P205" s="20" t="b">
        <v>1</v>
      </c>
      <c r="Q205" s="20" t="b">
        <v>1</v>
      </c>
      <c r="R205" s="13" t="b">
        <v>1</v>
      </c>
      <c r="S205" s="13" t="b">
        <v>1</v>
      </c>
      <c r="T205" s="13" t="b">
        <v>1</v>
      </c>
      <c r="U205" s="13" t="b">
        <v>1</v>
      </c>
      <c r="V205" s="13" t="b">
        <v>1</v>
      </c>
      <c r="W205" s="13" t="b">
        <v>1</v>
      </c>
      <c r="X205" s="13" t="b">
        <v>1</v>
      </c>
      <c r="Y205" s="21" t="s">
        <v>101</v>
      </c>
      <c r="Z205" s="21" t="s">
        <v>1258</v>
      </c>
      <c r="AA205" s="21" t="s">
        <v>1259</v>
      </c>
      <c r="AB205" s="22"/>
      <c r="AC205" s="23"/>
      <c r="AD205" s="13"/>
      <c r="AE205" s="47" t="b">
        <v>1</v>
      </c>
      <c r="AF205" s="48">
        <v>45880</v>
      </c>
      <c r="AG205" s="26"/>
      <c r="AH205" s="27" t="b">
        <v>1</v>
      </c>
      <c r="AI205" s="28">
        <v>45957</v>
      </c>
      <c r="AJ205" s="54" t="s">
        <v>1260</v>
      </c>
      <c r="AK205" s="27" t="b">
        <v>1</v>
      </c>
      <c r="AL205" s="40">
        <v>45973</v>
      </c>
      <c r="AM205" s="29" t="s">
        <v>1261</v>
      </c>
      <c r="AN205" s="29"/>
      <c r="AO205" s="13"/>
      <c r="AP205" s="12"/>
      <c r="AQ205" s="16"/>
      <c r="AR205" s="32"/>
      <c r="AS205" s="33"/>
      <c r="AT205" s="32"/>
      <c r="AU205" s="33"/>
      <c r="AV205" s="34"/>
      <c r="AW205" s="33"/>
      <c r="AX205" s="35" t="b">
        <v>1</v>
      </c>
      <c r="AY205" s="36">
        <f>IF(MOD(H205,4)=0,H205/4,ROUNDUP(H205/4,0))</f>
        <v>136805375</v>
      </c>
      <c r="AZ205" s="37"/>
      <c r="BA205" s="38"/>
      <c r="BB205" s="37"/>
      <c r="BC205" s="38"/>
      <c r="BD205" s="37"/>
      <c r="BE205" s="38"/>
      <c r="BF205" s="37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  <c r="BT205" s="35" t="b">
        <v>1</v>
      </c>
      <c r="BU205" s="36">
        <f t="shared" ref="BU205:BU208" si="78">IF(MOD(H205,4)=0,H205/4,ROUNDDOWN(H205/4,0))</f>
        <v>136805375</v>
      </c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5" t="b">
        <v>1</v>
      </c>
      <c r="CK205" s="36">
        <f t="shared" ref="CK205:CK208" si="79">IF(MOD(H205,4)=0,H205/4,ROUNDUP(H205/4,0))</f>
        <v>136805375</v>
      </c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</row>
    <row r="206" spans="1:101" ht="32.25" customHeight="1" x14ac:dyDescent="0.25">
      <c r="A206" s="12">
        <f t="shared" si="0"/>
        <v>205</v>
      </c>
      <c r="B206" s="13" t="s">
        <v>251</v>
      </c>
      <c r="C206" s="13" t="s">
        <v>1132</v>
      </c>
      <c r="D206" s="14" t="s">
        <v>1262</v>
      </c>
      <c r="E206" s="15" t="s">
        <v>1263</v>
      </c>
      <c r="F206" s="15" t="s">
        <v>1264</v>
      </c>
      <c r="G206" s="16">
        <v>213</v>
      </c>
      <c r="H206" s="17">
        <v>403315500</v>
      </c>
      <c r="I206" s="18"/>
      <c r="J206" s="18"/>
      <c r="K206" s="18"/>
      <c r="L206" s="18" t="s">
        <v>99</v>
      </c>
      <c r="M206" s="19">
        <v>17268</v>
      </c>
      <c r="N206" s="20" t="s">
        <v>100</v>
      </c>
      <c r="O206" s="13" t="b">
        <v>1</v>
      </c>
      <c r="P206" s="20" t="b">
        <v>1</v>
      </c>
      <c r="Q206" s="20" t="b">
        <v>1</v>
      </c>
      <c r="R206" s="13" t="b">
        <v>1</v>
      </c>
      <c r="S206" s="13" t="b">
        <v>1</v>
      </c>
      <c r="T206" s="13" t="b">
        <v>1</v>
      </c>
      <c r="U206" s="13" t="b">
        <v>1</v>
      </c>
      <c r="V206" s="13" t="b">
        <v>1</v>
      </c>
      <c r="W206" s="13" t="b">
        <v>1</v>
      </c>
      <c r="X206" s="13" t="b">
        <v>1</v>
      </c>
      <c r="Y206" s="21" t="s">
        <v>443</v>
      </c>
      <c r="Z206" s="21" t="s">
        <v>1265</v>
      </c>
      <c r="AA206" s="21" t="s">
        <v>1266</v>
      </c>
      <c r="AB206" s="22"/>
      <c r="AC206" s="23"/>
      <c r="AD206" s="13"/>
      <c r="AE206" s="13" t="b">
        <v>1</v>
      </c>
      <c r="AF206" s="48">
        <v>45894</v>
      </c>
      <c r="AG206" s="49" t="s">
        <v>104</v>
      </c>
      <c r="AH206" s="27" t="b">
        <v>1</v>
      </c>
      <c r="AI206" s="28">
        <v>45936</v>
      </c>
      <c r="AJ206" s="29" t="s">
        <v>1267</v>
      </c>
      <c r="AK206" s="27" t="b">
        <v>1</v>
      </c>
      <c r="AL206" s="40">
        <v>45973</v>
      </c>
      <c r="AM206" s="29" t="s">
        <v>1268</v>
      </c>
      <c r="AN206" s="29"/>
      <c r="AO206" s="13"/>
      <c r="AP206" s="12"/>
      <c r="AQ206" s="16"/>
      <c r="AR206" s="32"/>
      <c r="AS206" s="33"/>
      <c r="AT206" s="32"/>
      <c r="AU206" s="33"/>
      <c r="AV206" s="34"/>
      <c r="AW206" s="33"/>
      <c r="AX206" s="37"/>
      <c r="AY206" s="38"/>
      <c r="AZ206" s="35" t="b">
        <v>1</v>
      </c>
      <c r="BA206" s="36">
        <f>IF(MOD(H206,4)=0,H206/4,ROUNDUP(H206/4,0))</f>
        <v>100828875</v>
      </c>
      <c r="BB206" s="41"/>
      <c r="BC206" s="36"/>
      <c r="BD206" s="41"/>
      <c r="BE206" s="36"/>
      <c r="BF206" s="41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5" t="b">
        <v>1</v>
      </c>
      <c r="BU206" s="36">
        <f t="shared" si="78"/>
        <v>100828875</v>
      </c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5" t="b">
        <v>1</v>
      </c>
      <c r="CK206" s="36">
        <f t="shared" si="79"/>
        <v>100828875</v>
      </c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</row>
    <row r="207" spans="1:101" ht="32.25" customHeight="1" x14ac:dyDescent="0.25">
      <c r="A207" s="12">
        <f t="shared" si="0"/>
        <v>206</v>
      </c>
      <c r="B207" s="13" t="s">
        <v>251</v>
      </c>
      <c r="C207" s="13" t="s">
        <v>1132</v>
      </c>
      <c r="D207" s="14" t="s">
        <v>1269</v>
      </c>
      <c r="E207" s="15" t="s">
        <v>1270</v>
      </c>
      <c r="F207" s="15" t="s">
        <v>1271</v>
      </c>
      <c r="G207" s="16">
        <v>745</v>
      </c>
      <c r="H207" s="17">
        <v>1410657500</v>
      </c>
      <c r="I207" s="18"/>
      <c r="J207" s="18"/>
      <c r="K207" s="18"/>
      <c r="L207" s="18" t="s">
        <v>99</v>
      </c>
      <c r="M207" s="19">
        <v>17269</v>
      </c>
      <c r="N207" s="20" t="s">
        <v>100</v>
      </c>
      <c r="O207" s="13" t="b">
        <v>1</v>
      </c>
      <c r="P207" s="20" t="b">
        <v>1</v>
      </c>
      <c r="Q207" s="20" t="b">
        <v>1</v>
      </c>
      <c r="R207" s="13" t="b">
        <v>1</v>
      </c>
      <c r="S207" s="13" t="b">
        <v>1</v>
      </c>
      <c r="T207" s="13" t="b">
        <v>1</v>
      </c>
      <c r="U207" s="13" t="b">
        <v>1</v>
      </c>
      <c r="V207" s="13" t="b">
        <v>1</v>
      </c>
      <c r="W207" s="13" t="b">
        <v>1</v>
      </c>
      <c r="X207" s="13" t="b">
        <v>1</v>
      </c>
      <c r="Y207" s="21" t="s">
        <v>101</v>
      </c>
      <c r="Z207" s="21" t="s">
        <v>1272</v>
      </c>
      <c r="AA207" s="21" t="s">
        <v>1273</v>
      </c>
      <c r="AB207" s="22"/>
      <c r="AC207" s="23"/>
      <c r="AD207" s="13"/>
      <c r="AE207" s="47" t="b">
        <v>1</v>
      </c>
      <c r="AF207" s="48">
        <v>45873</v>
      </c>
      <c r="AG207" s="26" t="s">
        <v>1239</v>
      </c>
      <c r="AH207" s="27" t="b">
        <v>1</v>
      </c>
      <c r="AI207" s="48">
        <v>45915</v>
      </c>
      <c r="AJ207" s="29" t="s">
        <v>1274</v>
      </c>
      <c r="AK207" s="27" t="b">
        <v>1</v>
      </c>
      <c r="AL207" s="40">
        <v>45973</v>
      </c>
      <c r="AM207" s="29" t="s">
        <v>1275</v>
      </c>
      <c r="AN207" s="29"/>
      <c r="AO207" s="13"/>
      <c r="AP207" s="12"/>
      <c r="AQ207" s="16"/>
      <c r="AR207" s="32"/>
      <c r="AS207" s="33"/>
      <c r="AT207" s="32"/>
      <c r="AU207" s="33"/>
      <c r="AV207" s="34"/>
      <c r="AW207" s="33"/>
      <c r="AX207" s="35" t="b">
        <v>1</v>
      </c>
      <c r="AY207" s="36">
        <f t="shared" ref="AY207:AY210" si="80">IF(MOD(H207,4)=0,H207/4,ROUNDUP(H207/4,0))</f>
        <v>352664375</v>
      </c>
      <c r="AZ207" s="37"/>
      <c r="BA207" s="38"/>
      <c r="BB207" s="37"/>
      <c r="BC207" s="38"/>
      <c r="BD207" s="37"/>
      <c r="BE207" s="38"/>
      <c r="BF207" s="37"/>
      <c r="BG207" s="38"/>
      <c r="BH207" s="38"/>
      <c r="BI207" s="38"/>
      <c r="BJ207" s="38"/>
      <c r="BK207" s="38"/>
      <c r="BL207" s="38"/>
      <c r="BM207" s="38"/>
      <c r="BN207" s="38"/>
      <c r="BO207" s="38"/>
      <c r="BP207" s="38"/>
      <c r="BQ207" s="38"/>
      <c r="BR207" s="38"/>
      <c r="BS207" s="38"/>
      <c r="BT207" s="35" t="b">
        <v>1</v>
      </c>
      <c r="BU207" s="36">
        <f t="shared" si="78"/>
        <v>352664375</v>
      </c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5" t="b">
        <v>1</v>
      </c>
      <c r="CK207" s="36">
        <f t="shared" si="79"/>
        <v>352664375</v>
      </c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</row>
    <row r="208" spans="1:101" ht="32.25" customHeight="1" x14ac:dyDescent="0.25">
      <c r="A208" s="12">
        <f t="shared" si="0"/>
        <v>207</v>
      </c>
      <c r="B208" s="13" t="s">
        <v>251</v>
      </c>
      <c r="C208" s="13" t="s">
        <v>1132</v>
      </c>
      <c r="D208" s="14" t="s">
        <v>1276</v>
      </c>
      <c r="E208" s="15" t="s">
        <v>1277</v>
      </c>
      <c r="F208" s="15" t="s">
        <v>1278</v>
      </c>
      <c r="G208" s="16">
        <v>278</v>
      </c>
      <c r="H208" s="17">
        <v>526393000</v>
      </c>
      <c r="I208" s="18"/>
      <c r="J208" s="18"/>
      <c r="K208" s="18"/>
      <c r="L208" s="18" t="s">
        <v>99</v>
      </c>
      <c r="M208" s="19">
        <v>17270</v>
      </c>
      <c r="N208" s="20" t="s">
        <v>100</v>
      </c>
      <c r="O208" s="13" t="b">
        <v>1</v>
      </c>
      <c r="P208" s="20" t="b">
        <v>1</v>
      </c>
      <c r="Q208" s="20" t="b">
        <v>1</v>
      </c>
      <c r="R208" s="13" t="b">
        <v>1</v>
      </c>
      <c r="S208" s="13" t="b">
        <v>1</v>
      </c>
      <c r="T208" s="13" t="b">
        <v>1</v>
      </c>
      <c r="U208" s="13" t="b">
        <v>1</v>
      </c>
      <c r="V208" s="13" t="b">
        <v>1</v>
      </c>
      <c r="W208" s="13" t="b">
        <v>1</v>
      </c>
      <c r="X208" s="13" t="b">
        <v>1</v>
      </c>
      <c r="Y208" s="21" t="s">
        <v>101</v>
      </c>
      <c r="Z208" s="21" t="s">
        <v>1279</v>
      </c>
      <c r="AA208" s="21" t="s">
        <v>1280</v>
      </c>
      <c r="AB208" s="22"/>
      <c r="AC208" s="23"/>
      <c r="AD208" s="13"/>
      <c r="AE208" s="47" t="b">
        <v>1</v>
      </c>
      <c r="AF208" s="48">
        <v>45873</v>
      </c>
      <c r="AG208" s="49" t="s">
        <v>577</v>
      </c>
      <c r="AH208" s="27" t="b">
        <v>1</v>
      </c>
      <c r="AI208" s="28">
        <v>45915</v>
      </c>
      <c r="AJ208" s="29" t="s">
        <v>1281</v>
      </c>
      <c r="AK208" s="27" t="b">
        <v>1</v>
      </c>
      <c r="AL208" s="40">
        <v>45979</v>
      </c>
      <c r="AM208" s="29" t="s">
        <v>1282</v>
      </c>
      <c r="AN208" s="29"/>
      <c r="AO208" s="13"/>
      <c r="AP208" s="12"/>
      <c r="AQ208" s="16"/>
      <c r="AR208" s="32"/>
      <c r="AS208" s="33"/>
      <c r="AT208" s="32"/>
      <c r="AU208" s="33"/>
      <c r="AV208" s="34"/>
      <c r="AW208" s="33"/>
      <c r="AX208" s="35" t="b">
        <v>1</v>
      </c>
      <c r="AY208" s="36">
        <f t="shared" si="80"/>
        <v>131598250</v>
      </c>
      <c r="AZ208" s="37"/>
      <c r="BA208" s="38"/>
      <c r="BB208" s="37"/>
      <c r="BC208" s="38"/>
      <c r="BD208" s="37"/>
      <c r="BE208" s="38"/>
      <c r="BF208" s="37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  <c r="BS208" s="38"/>
      <c r="BT208" s="35" t="b">
        <v>1</v>
      </c>
      <c r="BU208" s="36">
        <f t="shared" si="78"/>
        <v>131598250</v>
      </c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5" t="b">
        <v>1</v>
      </c>
      <c r="CK208" s="36">
        <f t="shared" si="79"/>
        <v>131598250</v>
      </c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</row>
    <row r="209" spans="1:101" ht="32.25" customHeight="1" x14ac:dyDescent="0.25">
      <c r="A209" s="12">
        <f t="shared" si="0"/>
        <v>208</v>
      </c>
      <c r="B209" s="13" t="s">
        <v>251</v>
      </c>
      <c r="C209" s="13" t="s">
        <v>1132</v>
      </c>
      <c r="D209" s="14" t="s">
        <v>1283</v>
      </c>
      <c r="E209" s="15" t="s">
        <v>1284</v>
      </c>
      <c r="F209" s="15" t="s">
        <v>1285</v>
      </c>
      <c r="G209" s="16">
        <v>43</v>
      </c>
      <c r="H209" s="17">
        <v>81420500</v>
      </c>
      <c r="I209" s="18"/>
      <c r="J209" s="18"/>
      <c r="K209" s="18"/>
      <c r="L209" s="18" t="s">
        <v>99</v>
      </c>
      <c r="M209" s="19">
        <v>17271</v>
      </c>
      <c r="N209" s="20" t="s">
        <v>100</v>
      </c>
      <c r="O209" s="13" t="b">
        <v>1</v>
      </c>
      <c r="P209" s="20" t="b">
        <v>1</v>
      </c>
      <c r="Q209" s="20" t="b">
        <v>1</v>
      </c>
      <c r="R209" s="13" t="b">
        <v>1</v>
      </c>
      <c r="S209" s="13" t="b">
        <v>1</v>
      </c>
      <c r="T209" s="13" t="b">
        <v>1</v>
      </c>
      <c r="U209" s="13" t="b">
        <v>1</v>
      </c>
      <c r="V209" s="13" t="b">
        <v>1</v>
      </c>
      <c r="W209" s="13" t="b">
        <v>1</v>
      </c>
      <c r="X209" s="13" t="b">
        <v>0</v>
      </c>
      <c r="Y209" s="21" t="s">
        <v>443</v>
      </c>
      <c r="Z209" s="21" t="s">
        <v>1286</v>
      </c>
      <c r="AA209" s="21" t="s">
        <v>1287</v>
      </c>
      <c r="AB209" s="22"/>
      <c r="AC209" s="23"/>
      <c r="AD209" s="13"/>
      <c r="AE209" s="47" t="b">
        <v>1</v>
      </c>
      <c r="AF209" s="48">
        <v>45873</v>
      </c>
      <c r="AG209" s="49" t="s">
        <v>1288</v>
      </c>
      <c r="AH209" s="39" t="b">
        <v>0</v>
      </c>
      <c r="AI209" s="28"/>
      <c r="AJ209" s="29"/>
      <c r="AK209" s="39" t="b">
        <v>0</v>
      </c>
      <c r="AL209" s="29"/>
      <c r="AM209" s="29"/>
      <c r="AN209" s="29"/>
      <c r="AO209" s="13"/>
      <c r="AP209" s="12"/>
      <c r="AQ209" s="16"/>
      <c r="AR209" s="32"/>
      <c r="AS209" s="33"/>
      <c r="AT209" s="32"/>
      <c r="AU209" s="33"/>
      <c r="AV209" s="34"/>
      <c r="AW209" s="33"/>
      <c r="AX209" s="35" t="b">
        <v>1</v>
      </c>
      <c r="AY209" s="36">
        <f t="shared" si="80"/>
        <v>20355125</v>
      </c>
      <c r="AZ209" s="37"/>
      <c r="BA209" s="38"/>
      <c r="BB209" s="37"/>
      <c r="BC209" s="38"/>
      <c r="BD209" s="37"/>
      <c r="BE209" s="38"/>
      <c r="BF209" s="37"/>
      <c r="BG209" s="38"/>
      <c r="BH209" s="38"/>
      <c r="BI209" s="38"/>
      <c r="BJ209" s="38"/>
      <c r="BK209" s="38"/>
      <c r="BL209" s="38"/>
      <c r="BM209" s="38"/>
      <c r="BN209" s="38"/>
      <c r="BO209" s="38"/>
      <c r="BP209" s="38"/>
      <c r="BQ209" s="38"/>
      <c r="BR209" s="38"/>
      <c r="BS209" s="38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</row>
    <row r="210" spans="1:101" ht="32.25" customHeight="1" x14ac:dyDescent="0.25">
      <c r="A210" s="12">
        <f t="shared" si="0"/>
        <v>209</v>
      </c>
      <c r="B210" s="13" t="s">
        <v>251</v>
      </c>
      <c r="C210" s="13" t="s">
        <v>1132</v>
      </c>
      <c r="D210" s="14" t="s">
        <v>1289</v>
      </c>
      <c r="E210" s="15" t="s">
        <v>1290</v>
      </c>
      <c r="F210" s="15" t="s">
        <v>1291</v>
      </c>
      <c r="G210" s="16">
        <v>154</v>
      </c>
      <c r="H210" s="17">
        <v>291599000</v>
      </c>
      <c r="I210" s="18"/>
      <c r="J210" s="18"/>
      <c r="K210" s="18"/>
      <c r="L210" s="18" t="s">
        <v>99</v>
      </c>
      <c r="M210" s="19">
        <v>17272</v>
      </c>
      <c r="N210" s="20" t="s">
        <v>100</v>
      </c>
      <c r="O210" s="13" t="b">
        <v>1</v>
      </c>
      <c r="P210" s="20" t="b">
        <v>1</v>
      </c>
      <c r="Q210" s="20" t="b">
        <v>1</v>
      </c>
      <c r="R210" s="13" t="b">
        <v>1</v>
      </c>
      <c r="S210" s="13" t="b">
        <v>1</v>
      </c>
      <c r="T210" s="13" t="b">
        <v>1</v>
      </c>
      <c r="U210" s="13" t="b">
        <v>1</v>
      </c>
      <c r="V210" s="13" t="b">
        <v>1</v>
      </c>
      <c r="W210" s="13" t="b">
        <v>0</v>
      </c>
      <c r="X210" s="13" t="b">
        <v>1</v>
      </c>
      <c r="Y210" s="21" t="s">
        <v>443</v>
      </c>
      <c r="Z210" s="21" t="s">
        <v>1292</v>
      </c>
      <c r="AA210" s="21" t="s">
        <v>1293</v>
      </c>
      <c r="AB210" s="22"/>
      <c r="AC210" s="23"/>
      <c r="AD210" s="13"/>
      <c r="AE210" s="47" t="b">
        <v>1</v>
      </c>
      <c r="AF210" s="48">
        <v>45873</v>
      </c>
      <c r="AG210" s="26" t="s">
        <v>1239</v>
      </c>
      <c r="AH210" s="27" t="b">
        <v>1</v>
      </c>
      <c r="AI210" s="28">
        <v>45938</v>
      </c>
      <c r="AJ210" s="29" t="s">
        <v>1294</v>
      </c>
      <c r="AK210" s="27" t="b">
        <v>1</v>
      </c>
      <c r="AL210" s="40">
        <v>45979</v>
      </c>
      <c r="AM210" s="29" t="s">
        <v>1295</v>
      </c>
      <c r="AN210" s="29"/>
      <c r="AO210" s="13"/>
      <c r="AP210" s="12"/>
      <c r="AQ210" s="16"/>
      <c r="AR210" s="32"/>
      <c r="AS210" s="33"/>
      <c r="AT210" s="32"/>
      <c r="AU210" s="33"/>
      <c r="AV210" s="34"/>
      <c r="AW210" s="33"/>
      <c r="AX210" s="35" t="b">
        <v>1</v>
      </c>
      <c r="AY210" s="36">
        <f t="shared" si="80"/>
        <v>72899750</v>
      </c>
      <c r="AZ210" s="37"/>
      <c r="BA210" s="38"/>
      <c r="BB210" s="37"/>
      <c r="BC210" s="38"/>
      <c r="BD210" s="37"/>
      <c r="BE210" s="38"/>
      <c r="BF210" s="37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  <c r="BQ210" s="38"/>
      <c r="BR210" s="38"/>
      <c r="BS210" s="38"/>
      <c r="BT210" s="35" t="b">
        <v>1</v>
      </c>
      <c r="BU210" s="36">
        <f>IF(MOD(H210,4)=0,H210/4,ROUNDDOWN(H210/4,0))</f>
        <v>72899750</v>
      </c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5" t="b">
        <v>1</v>
      </c>
      <c r="CK210" s="36">
        <f>IF(MOD(H210,4)=0,H210/4,ROUNDUP(H210/4,0))</f>
        <v>72899750</v>
      </c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</row>
    <row r="211" spans="1:101" ht="32.25" customHeight="1" x14ac:dyDescent="0.25">
      <c r="A211" s="12">
        <f t="shared" si="0"/>
        <v>210</v>
      </c>
      <c r="B211" s="13" t="s">
        <v>134</v>
      </c>
      <c r="C211" s="13" t="s">
        <v>1296</v>
      </c>
      <c r="D211" s="14" t="s">
        <v>1297</v>
      </c>
      <c r="E211" s="15" t="s">
        <v>1298</v>
      </c>
      <c r="F211" s="15" t="s">
        <v>1299</v>
      </c>
      <c r="G211" s="16">
        <v>19</v>
      </c>
      <c r="H211" s="17">
        <v>30841750</v>
      </c>
      <c r="I211" s="18"/>
      <c r="J211" s="18"/>
      <c r="K211" s="18"/>
      <c r="L211" s="18" t="s">
        <v>99</v>
      </c>
      <c r="M211" s="19">
        <v>17273</v>
      </c>
      <c r="N211" s="20" t="s">
        <v>100</v>
      </c>
      <c r="O211" s="13" t="b">
        <v>1</v>
      </c>
      <c r="P211" s="20" t="b">
        <v>0</v>
      </c>
      <c r="Q211" s="20" t="b">
        <v>1</v>
      </c>
      <c r="R211" s="13" t="b">
        <v>0</v>
      </c>
      <c r="S211" s="13" t="b">
        <v>0</v>
      </c>
      <c r="T211" s="13" t="b">
        <v>1</v>
      </c>
      <c r="U211" s="13" t="b">
        <v>1</v>
      </c>
      <c r="V211" s="13" t="b">
        <v>1</v>
      </c>
      <c r="W211" s="13" t="b">
        <v>1</v>
      </c>
      <c r="X211" s="13" t="b">
        <v>0</v>
      </c>
      <c r="Y211" s="21" t="s">
        <v>101</v>
      </c>
      <c r="Z211" s="21" t="s">
        <v>1300</v>
      </c>
      <c r="AA211" s="21" t="s">
        <v>1301</v>
      </c>
      <c r="AB211" s="22"/>
      <c r="AC211" s="23"/>
      <c r="AD211" s="13"/>
      <c r="AE211" s="47" t="b">
        <v>1</v>
      </c>
      <c r="AF211" s="48">
        <v>45916</v>
      </c>
      <c r="AG211" s="26" t="s">
        <v>1302</v>
      </c>
      <c r="AH211" s="39" t="b">
        <v>0</v>
      </c>
      <c r="AI211" s="28"/>
      <c r="AJ211" s="29"/>
      <c r="AK211" s="39" t="b">
        <v>0</v>
      </c>
      <c r="AL211" s="29"/>
      <c r="AM211" s="29"/>
      <c r="AN211" s="29"/>
      <c r="AO211" s="13"/>
      <c r="AP211" s="12"/>
      <c r="AQ211" s="16"/>
      <c r="AR211" s="32"/>
      <c r="AS211" s="33"/>
      <c r="AT211" s="32"/>
      <c r="AU211" s="33"/>
      <c r="AV211" s="34"/>
      <c r="AW211" s="16"/>
      <c r="AX211" s="37"/>
      <c r="AY211" s="38"/>
      <c r="AZ211" s="37"/>
      <c r="BA211" s="38"/>
      <c r="BB211" s="35" t="b">
        <v>1</v>
      </c>
      <c r="BC211" s="36">
        <f>IF(MOD(H211,4)=0,H211/4,ROUNDUP(H211/4,0))</f>
        <v>7710438</v>
      </c>
      <c r="BD211" s="41"/>
      <c r="BE211" s="36"/>
      <c r="BF211" s="41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</row>
    <row r="212" spans="1:101" ht="32.25" customHeight="1" x14ac:dyDescent="0.25">
      <c r="A212" s="12">
        <f t="shared" si="0"/>
        <v>211</v>
      </c>
      <c r="B212" s="13" t="s">
        <v>134</v>
      </c>
      <c r="C212" s="13" t="s">
        <v>1296</v>
      </c>
      <c r="D212" s="14" t="s">
        <v>1303</v>
      </c>
      <c r="E212" s="15" t="s">
        <v>1304</v>
      </c>
      <c r="F212" s="15" t="s">
        <v>1305</v>
      </c>
      <c r="G212" s="16">
        <v>26</v>
      </c>
      <c r="H212" s="17">
        <v>42204500</v>
      </c>
      <c r="I212" s="18"/>
      <c r="J212" s="18"/>
      <c r="K212" s="18"/>
      <c r="L212" s="18" t="s">
        <v>99</v>
      </c>
      <c r="M212" s="19">
        <v>17274</v>
      </c>
      <c r="N212" s="20" t="s">
        <v>100</v>
      </c>
      <c r="O212" s="13" t="b">
        <v>1</v>
      </c>
      <c r="P212" s="20" t="b">
        <v>0</v>
      </c>
      <c r="Q212" s="20" t="b">
        <v>1</v>
      </c>
      <c r="R212" s="13" t="b">
        <v>0</v>
      </c>
      <c r="S212" s="13" t="b">
        <v>0</v>
      </c>
      <c r="T212" s="13" t="b">
        <v>0</v>
      </c>
      <c r="U212" s="13" t="b">
        <v>0</v>
      </c>
      <c r="V212" s="13" t="b">
        <v>0</v>
      </c>
      <c r="W212" s="13" t="b">
        <v>0</v>
      </c>
      <c r="X212" s="13" t="b">
        <v>0</v>
      </c>
      <c r="Y212" s="21" t="s">
        <v>101</v>
      </c>
      <c r="Z212" s="21" t="s">
        <v>1306</v>
      </c>
      <c r="AA212" s="21" t="s">
        <v>1307</v>
      </c>
      <c r="AB212" s="22"/>
      <c r="AC212" s="13"/>
      <c r="AD212" s="13"/>
      <c r="AE212" s="13" t="b">
        <v>0</v>
      </c>
      <c r="AF212" s="48"/>
      <c r="AG212" s="26"/>
      <c r="AH212" s="39" t="b">
        <v>0</v>
      </c>
      <c r="AI212" s="28"/>
      <c r="AJ212" s="29"/>
      <c r="AK212" s="39" t="b">
        <v>0</v>
      </c>
      <c r="AL212" s="29"/>
      <c r="AM212" s="29"/>
      <c r="AN212" s="29"/>
      <c r="AO212" s="13"/>
      <c r="AP212" s="32"/>
      <c r="AQ212" s="33"/>
      <c r="AR212" s="32"/>
      <c r="AS212" s="33"/>
      <c r="AT212" s="32"/>
      <c r="AU212" s="33"/>
      <c r="AV212" s="34"/>
      <c r="AW212" s="33"/>
      <c r="AX212" s="37"/>
      <c r="AY212" s="38"/>
      <c r="AZ212" s="37"/>
      <c r="BA212" s="38"/>
      <c r="BB212" s="37"/>
      <c r="BC212" s="38"/>
      <c r="BD212" s="37"/>
      <c r="BE212" s="38"/>
      <c r="BF212" s="37"/>
      <c r="BG212" s="38"/>
      <c r="BH212" s="38"/>
      <c r="BI212" s="38"/>
      <c r="BJ212" s="38"/>
      <c r="BK212" s="38"/>
      <c r="BL212" s="38"/>
      <c r="BM212" s="38"/>
      <c r="BN212" s="38"/>
      <c r="BO212" s="38"/>
      <c r="BP212" s="38"/>
      <c r="BQ212" s="38"/>
      <c r="BR212" s="38"/>
      <c r="BS212" s="38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</row>
    <row r="213" spans="1:101" ht="32.25" customHeight="1" x14ac:dyDescent="0.25">
      <c r="A213" s="12">
        <f t="shared" si="0"/>
        <v>212</v>
      </c>
      <c r="B213" s="13" t="s">
        <v>251</v>
      </c>
      <c r="C213" s="13" t="s">
        <v>1296</v>
      </c>
      <c r="D213" s="14" t="s">
        <v>1308</v>
      </c>
      <c r="E213" s="15" t="s">
        <v>1309</v>
      </c>
      <c r="F213" s="15" t="s">
        <v>1310</v>
      </c>
      <c r="G213" s="16">
        <v>47</v>
      </c>
      <c r="H213" s="17">
        <v>88465750</v>
      </c>
      <c r="I213" s="18"/>
      <c r="J213" s="18"/>
      <c r="K213" s="18"/>
      <c r="L213" s="18" t="s">
        <v>99</v>
      </c>
      <c r="M213" s="19">
        <v>17275</v>
      </c>
      <c r="N213" s="20" t="s">
        <v>100</v>
      </c>
      <c r="O213" s="13" t="b">
        <v>1</v>
      </c>
      <c r="P213" s="20" t="b">
        <v>1</v>
      </c>
      <c r="Q213" s="20" t="b">
        <v>1</v>
      </c>
      <c r="R213" s="13" t="b">
        <v>1</v>
      </c>
      <c r="S213" s="13" t="b">
        <v>1</v>
      </c>
      <c r="T213" s="13" t="b">
        <v>1</v>
      </c>
      <c r="U213" s="13" t="b">
        <v>0</v>
      </c>
      <c r="V213" s="13" t="b">
        <v>1</v>
      </c>
      <c r="W213" s="13" t="b">
        <v>1</v>
      </c>
      <c r="X213" s="13" t="b">
        <v>0</v>
      </c>
      <c r="Y213" s="21" t="s">
        <v>101</v>
      </c>
      <c r="Z213" s="21" t="s">
        <v>1311</v>
      </c>
      <c r="AA213" s="21" t="s">
        <v>1312</v>
      </c>
      <c r="AB213" s="22"/>
      <c r="AC213" s="23"/>
      <c r="AD213" s="13"/>
      <c r="AE213" s="47" t="b">
        <v>1</v>
      </c>
      <c r="AF213" s="48">
        <v>45979</v>
      </c>
      <c r="AG213" s="26" t="s">
        <v>1313</v>
      </c>
      <c r="AH213" s="39" t="b">
        <v>0</v>
      </c>
      <c r="AI213" s="28"/>
      <c r="AJ213" s="29"/>
      <c r="AK213" s="39" t="b">
        <v>0</v>
      </c>
      <c r="AL213" s="29"/>
      <c r="AM213" s="29"/>
      <c r="AN213" s="29"/>
      <c r="AO213" s="13"/>
      <c r="AP213" s="12"/>
      <c r="AQ213" s="16"/>
      <c r="AR213" s="12"/>
      <c r="AS213" s="33"/>
      <c r="AT213" s="32"/>
      <c r="AU213" s="33"/>
      <c r="AV213" s="34"/>
      <c r="AW213" s="33"/>
      <c r="AX213" s="37"/>
      <c r="AY213" s="38"/>
      <c r="AZ213" s="37"/>
      <c r="BA213" s="38"/>
      <c r="BB213" s="37"/>
      <c r="BC213" s="38"/>
      <c r="BD213" s="37"/>
      <c r="BE213" s="38"/>
      <c r="BF213" s="37"/>
      <c r="BG213" s="38"/>
      <c r="BH213" s="38"/>
      <c r="BI213" s="38"/>
      <c r="BJ213" s="37" t="b">
        <v>1</v>
      </c>
      <c r="BK213" s="38">
        <f>IF(MOD(H213,4)=0,H213/4,ROUNDUP(H213/4,0))</f>
        <v>22116438</v>
      </c>
      <c r="BL213" s="38"/>
      <c r="BM213" s="38"/>
      <c r="BN213" s="38"/>
      <c r="BO213" s="38"/>
      <c r="BP213" s="38"/>
      <c r="BQ213" s="38"/>
      <c r="BR213" s="38"/>
      <c r="BS213" s="38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</row>
    <row r="214" spans="1:101" ht="32.25" customHeight="1" x14ac:dyDescent="0.25">
      <c r="A214" s="12">
        <f t="shared" si="0"/>
        <v>213</v>
      </c>
      <c r="B214" s="13" t="s">
        <v>251</v>
      </c>
      <c r="C214" s="13" t="s">
        <v>1296</v>
      </c>
      <c r="D214" s="14" t="s">
        <v>1314</v>
      </c>
      <c r="E214" s="15" t="s">
        <v>1315</v>
      </c>
      <c r="F214" s="15" t="s">
        <v>1316</v>
      </c>
      <c r="G214" s="16">
        <v>65</v>
      </c>
      <c r="H214" s="17">
        <v>122346250</v>
      </c>
      <c r="I214" s="18"/>
      <c r="J214" s="18"/>
      <c r="K214" s="18"/>
      <c r="L214" s="18" t="s">
        <v>99</v>
      </c>
      <c r="M214" s="19">
        <v>17276</v>
      </c>
      <c r="N214" s="20" t="s">
        <v>100</v>
      </c>
      <c r="O214" s="13" t="b">
        <v>1</v>
      </c>
      <c r="P214" s="20" t="b">
        <v>1</v>
      </c>
      <c r="Q214" s="20" t="b">
        <v>1</v>
      </c>
      <c r="R214" s="13" t="b">
        <v>1</v>
      </c>
      <c r="S214" s="13" t="b">
        <v>1</v>
      </c>
      <c r="T214" s="13" t="b">
        <v>1</v>
      </c>
      <c r="U214" s="13" t="b">
        <v>1</v>
      </c>
      <c r="V214" s="13" t="b">
        <v>1</v>
      </c>
      <c r="W214" s="13" t="b">
        <v>1</v>
      </c>
      <c r="X214" s="13" t="b">
        <v>0</v>
      </c>
      <c r="Y214" s="21" t="s">
        <v>101</v>
      </c>
      <c r="Z214" s="21" t="s">
        <v>1317</v>
      </c>
      <c r="AA214" s="21" t="s">
        <v>1318</v>
      </c>
      <c r="AB214" s="22"/>
      <c r="AC214" s="23"/>
      <c r="AD214" s="13"/>
      <c r="AE214" s="13" t="b">
        <v>1</v>
      </c>
      <c r="AF214" s="48">
        <v>45881</v>
      </c>
      <c r="AG214" s="26"/>
      <c r="AH214" s="27" t="b">
        <v>1</v>
      </c>
      <c r="AI214" s="28">
        <v>45968</v>
      </c>
      <c r="AJ214" s="29" t="s">
        <v>1319</v>
      </c>
      <c r="AK214" s="39" t="b">
        <v>1</v>
      </c>
      <c r="AL214" s="40">
        <v>46008</v>
      </c>
      <c r="AM214" s="29" t="s">
        <v>1319</v>
      </c>
      <c r="AN214" s="29"/>
      <c r="AO214" s="13"/>
      <c r="AP214" s="12"/>
      <c r="AQ214" s="16"/>
      <c r="AR214" s="32"/>
      <c r="AS214" s="33"/>
      <c r="AT214" s="32"/>
      <c r="AU214" s="33"/>
      <c r="AV214" s="34"/>
      <c r="AW214" s="33"/>
      <c r="AX214" s="35" t="b">
        <v>1</v>
      </c>
      <c r="AY214" s="36">
        <f>IF(MOD(H214,4)=0,H214/4,ROUNDUP(H214/4,0))</f>
        <v>30586563</v>
      </c>
      <c r="AZ214" s="37"/>
      <c r="BA214" s="38"/>
      <c r="BB214" s="37"/>
      <c r="BC214" s="38"/>
      <c r="BD214" s="37"/>
      <c r="BE214" s="38"/>
      <c r="BF214" s="37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  <c r="BS214" s="38"/>
      <c r="BT214" s="37"/>
      <c r="BU214" s="37"/>
      <c r="BV214" s="37"/>
      <c r="BW214" s="37"/>
      <c r="BX214" s="42" t="b">
        <v>1</v>
      </c>
      <c r="BY214" s="41">
        <f>IF(MOD(H214,4)=0,H214/4,ROUNDDOWN(H214/4,0))</f>
        <v>30586562</v>
      </c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12" t="b">
        <v>1</v>
      </c>
      <c r="CS214" s="36">
        <f>IF(MOD(H214,4)=0,H214/4,ROUNDUP(H214/4,0))</f>
        <v>30586563</v>
      </c>
      <c r="CT214" s="36"/>
      <c r="CU214" s="36"/>
      <c r="CV214" s="36"/>
      <c r="CW214" s="36"/>
    </row>
    <row r="215" spans="1:101" ht="32.25" customHeight="1" x14ac:dyDescent="0.25">
      <c r="A215" s="12">
        <f t="shared" si="0"/>
        <v>214</v>
      </c>
      <c r="B215" s="13" t="s">
        <v>94</v>
      </c>
      <c r="C215" s="13" t="s">
        <v>1320</v>
      </c>
      <c r="D215" s="14" t="s">
        <v>1321</v>
      </c>
      <c r="E215" s="15" t="s">
        <v>1322</v>
      </c>
      <c r="F215" s="15" t="s">
        <v>1323</v>
      </c>
      <c r="G215" s="16">
        <v>97</v>
      </c>
      <c r="H215" s="17">
        <v>161383750</v>
      </c>
      <c r="I215" s="18"/>
      <c r="J215" s="18"/>
      <c r="K215" s="18"/>
      <c r="L215" s="18" t="s">
        <v>99</v>
      </c>
      <c r="M215" s="19">
        <v>17277</v>
      </c>
      <c r="N215" s="20" t="s">
        <v>100</v>
      </c>
      <c r="O215" s="13" t="b">
        <v>1</v>
      </c>
      <c r="P215" s="20" t="b">
        <v>1</v>
      </c>
      <c r="Q215" s="20" t="b">
        <v>1</v>
      </c>
      <c r="R215" s="13" t="b">
        <v>1</v>
      </c>
      <c r="S215" s="13" t="b">
        <v>1</v>
      </c>
      <c r="T215" s="13" t="b">
        <v>1</v>
      </c>
      <c r="U215" s="13" t="b">
        <v>1</v>
      </c>
      <c r="V215" s="13" t="b">
        <v>1</v>
      </c>
      <c r="W215" s="13" t="b">
        <v>1</v>
      </c>
      <c r="X215" s="13" t="b">
        <v>1</v>
      </c>
      <c r="Y215" s="21" t="s">
        <v>101</v>
      </c>
      <c r="Z215" s="21" t="s">
        <v>1324</v>
      </c>
      <c r="AA215" s="21" t="s">
        <v>1325</v>
      </c>
      <c r="AB215" s="22"/>
      <c r="AC215" s="23"/>
      <c r="AD215" s="13"/>
      <c r="AE215" s="47" t="b">
        <v>1</v>
      </c>
      <c r="AF215" s="48">
        <v>45915</v>
      </c>
      <c r="AG215" s="55" t="s">
        <v>304</v>
      </c>
      <c r="AH215" s="27" t="b">
        <v>1</v>
      </c>
      <c r="AI215" s="48">
        <v>45964</v>
      </c>
      <c r="AJ215" s="39" t="s">
        <v>1032</v>
      </c>
      <c r="AK215" s="39" t="b">
        <v>1</v>
      </c>
      <c r="AL215" s="30">
        <v>46001</v>
      </c>
      <c r="AM215" s="39" t="s">
        <v>472</v>
      </c>
      <c r="AN215" s="39"/>
      <c r="AO215" s="13"/>
      <c r="AP215" s="12"/>
      <c r="AQ215" s="16"/>
      <c r="AR215" s="32"/>
      <c r="AS215" s="33"/>
      <c r="AT215" s="32"/>
      <c r="AU215" s="33"/>
      <c r="AV215" s="34"/>
      <c r="AW215" s="33"/>
      <c r="AX215" s="37"/>
      <c r="AY215" s="38"/>
      <c r="AZ215" s="37"/>
      <c r="BA215" s="38"/>
      <c r="BB215" s="35" t="b">
        <v>1</v>
      </c>
      <c r="BC215" s="36">
        <f>IF(MOD(H215,4)=0,H215/4,ROUNDUP(H215/4,0))</f>
        <v>40345938</v>
      </c>
      <c r="BD215" s="41"/>
      <c r="BE215" s="36"/>
      <c r="BF215" s="41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41"/>
      <c r="BU215" s="41"/>
      <c r="BV215" s="35" t="b">
        <v>1</v>
      </c>
      <c r="BW215" s="41">
        <f>IF(MOD(H215,4)=0,H215/4,ROUNDDOWN(H215/4,0))</f>
        <v>40345937</v>
      </c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35" t="b">
        <v>1</v>
      </c>
      <c r="CQ215" s="41">
        <f>IF(MOD(H215,4)=0,H215/4,ROUNDUP(H215/4,0))</f>
        <v>40345938</v>
      </c>
      <c r="CR215" s="41"/>
      <c r="CS215" s="41"/>
      <c r="CT215" s="41"/>
      <c r="CU215" s="41"/>
      <c r="CV215" s="41"/>
      <c r="CW215" s="41"/>
    </row>
    <row r="216" spans="1:101" ht="32.25" customHeight="1" x14ac:dyDescent="0.25">
      <c r="A216" s="12">
        <f t="shared" si="0"/>
        <v>215</v>
      </c>
      <c r="B216" s="13" t="s">
        <v>94</v>
      </c>
      <c r="C216" s="13" t="s">
        <v>1320</v>
      </c>
      <c r="D216" s="14" t="s">
        <v>1326</v>
      </c>
      <c r="E216" s="15" t="s">
        <v>1327</v>
      </c>
      <c r="F216" s="15" t="s">
        <v>1328</v>
      </c>
      <c r="G216" s="16">
        <v>11</v>
      </c>
      <c r="H216" s="17">
        <v>18301250</v>
      </c>
      <c r="I216" s="18"/>
      <c r="J216" s="18"/>
      <c r="K216" s="18"/>
      <c r="L216" s="18" t="s">
        <v>99</v>
      </c>
      <c r="M216" s="19">
        <v>17278</v>
      </c>
      <c r="N216" s="20" t="s">
        <v>100</v>
      </c>
      <c r="O216" s="13" t="b">
        <v>1</v>
      </c>
      <c r="P216" s="20" t="b">
        <v>1</v>
      </c>
      <c r="Q216" s="20" t="b">
        <v>1</v>
      </c>
      <c r="R216" s="13" t="b">
        <v>1</v>
      </c>
      <c r="S216" s="13" t="b">
        <v>1</v>
      </c>
      <c r="T216" s="13" t="b">
        <v>1</v>
      </c>
      <c r="U216" s="13" t="b">
        <v>1</v>
      </c>
      <c r="V216" s="13" t="b">
        <v>1</v>
      </c>
      <c r="W216" s="13" t="b">
        <v>1</v>
      </c>
      <c r="X216" s="13" t="b">
        <v>0</v>
      </c>
      <c r="Y216" s="21" t="s">
        <v>101</v>
      </c>
      <c r="Z216" s="21" t="s">
        <v>1329</v>
      </c>
      <c r="AA216" s="21" t="s">
        <v>1327</v>
      </c>
      <c r="AB216" s="22"/>
      <c r="AC216" s="23"/>
      <c r="AD216" s="13"/>
      <c r="AE216" s="47" t="b">
        <v>1</v>
      </c>
      <c r="AF216" s="48">
        <v>45873</v>
      </c>
      <c r="AG216" s="55" t="s">
        <v>1330</v>
      </c>
      <c r="AH216" s="27" t="b">
        <v>1</v>
      </c>
      <c r="AI216" s="48">
        <v>45915</v>
      </c>
      <c r="AJ216" s="39" t="s">
        <v>725</v>
      </c>
      <c r="AK216" s="27" t="b">
        <v>1</v>
      </c>
      <c r="AL216" s="30">
        <v>45979</v>
      </c>
      <c r="AM216" s="39" t="s">
        <v>1331</v>
      </c>
      <c r="AN216" s="39"/>
      <c r="AO216" s="13"/>
      <c r="AP216" s="12"/>
      <c r="AQ216" s="16"/>
      <c r="AR216" s="32"/>
      <c r="AS216" s="33"/>
      <c r="AT216" s="32"/>
      <c r="AU216" s="33"/>
      <c r="AV216" s="34"/>
      <c r="AW216" s="33"/>
      <c r="AX216" s="35" t="b">
        <v>1</v>
      </c>
      <c r="AY216" s="36">
        <f>IF(MOD(H216,4)=0,H216/4,ROUNDUP(H216/4,0))</f>
        <v>4575313</v>
      </c>
      <c r="AZ216" s="37"/>
      <c r="BA216" s="38"/>
      <c r="BB216" s="37"/>
      <c r="BC216" s="38"/>
      <c r="BD216" s="37"/>
      <c r="BE216" s="38"/>
      <c r="BF216" s="37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  <c r="BT216" s="35" t="b">
        <v>1</v>
      </c>
      <c r="BU216" s="36">
        <f>IF(MOD(H216,4)=0,H216/4,ROUNDDOWN(H216/4,0))</f>
        <v>4575312</v>
      </c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5" t="b">
        <v>1</v>
      </c>
      <c r="CK216" s="36">
        <f>IF(MOD(H216,4)=0,H216/4,ROUNDUP(H216/4,0))</f>
        <v>4575313</v>
      </c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</row>
    <row r="217" spans="1:101" ht="32.25" customHeight="1" x14ac:dyDescent="0.25">
      <c r="A217" s="12">
        <f t="shared" si="0"/>
        <v>216</v>
      </c>
      <c r="B217" s="13" t="s">
        <v>94</v>
      </c>
      <c r="C217" s="13" t="s">
        <v>1320</v>
      </c>
      <c r="D217" s="14" t="s">
        <v>1332</v>
      </c>
      <c r="E217" s="15" t="s">
        <v>1333</v>
      </c>
      <c r="F217" s="15" t="s">
        <v>1334</v>
      </c>
      <c r="G217" s="16">
        <v>58</v>
      </c>
      <c r="H217" s="17">
        <v>96497500</v>
      </c>
      <c r="I217" s="18"/>
      <c r="J217" s="18"/>
      <c r="K217" s="18"/>
      <c r="L217" s="18" t="s">
        <v>99</v>
      </c>
      <c r="M217" s="19">
        <v>17279</v>
      </c>
      <c r="N217" s="20" t="s">
        <v>100</v>
      </c>
      <c r="O217" s="13" t="b">
        <v>1</v>
      </c>
      <c r="P217" s="20" t="b">
        <v>1</v>
      </c>
      <c r="Q217" s="20" t="b">
        <v>1</v>
      </c>
      <c r="R217" s="13" t="b">
        <v>1</v>
      </c>
      <c r="S217" s="13" t="b">
        <v>1</v>
      </c>
      <c r="T217" s="13" t="b">
        <v>1</v>
      </c>
      <c r="U217" s="13" t="b">
        <v>1</v>
      </c>
      <c r="V217" s="13" t="b">
        <v>1</v>
      </c>
      <c r="W217" s="13" t="b">
        <v>1</v>
      </c>
      <c r="X217" s="13" t="b">
        <v>1</v>
      </c>
      <c r="Y217" s="21" t="s">
        <v>101</v>
      </c>
      <c r="Z217" s="21" t="s">
        <v>1335</v>
      </c>
      <c r="AA217" s="21" t="s">
        <v>1333</v>
      </c>
      <c r="AB217" s="22"/>
      <c r="AC217" s="23"/>
      <c r="AD217" s="13"/>
      <c r="AE217" s="47" t="b">
        <v>1</v>
      </c>
      <c r="AF217" s="48">
        <v>45915</v>
      </c>
      <c r="AG217" s="55" t="s">
        <v>492</v>
      </c>
      <c r="AH217" s="27" t="b">
        <v>1</v>
      </c>
      <c r="AI217" s="48">
        <v>45979</v>
      </c>
      <c r="AJ217" s="39" t="s">
        <v>1336</v>
      </c>
      <c r="AK217" s="39" t="b">
        <v>1</v>
      </c>
      <c r="AL217" s="30">
        <v>46013</v>
      </c>
      <c r="AM217" s="39" t="s">
        <v>472</v>
      </c>
      <c r="AN217" s="39"/>
      <c r="AO217" s="13"/>
      <c r="AP217" s="12"/>
      <c r="AQ217" s="16"/>
      <c r="AR217" s="32"/>
      <c r="AS217" s="33"/>
      <c r="AT217" s="32"/>
      <c r="AU217" s="33"/>
      <c r="AV217" s="34"/>
      <c r="AW217" s="33"/>
      <c r="AX217" s="37"/>
      <c r="AY217" s="38"/>
      <c r="AZ217" s="37"/>
      <c r="BA217" s="38"/>
      <c r="BB217" s="35" t="b">
        <v>1</v>
      </c>
      <c r="BC217" s="36">
        <f>IF(MOD(H217,4)=0,H217/4,ROUNDUP(H217/4,0))</f>
        <v>24124375</v>
      </c>
      <c r="BD217" s="41"/>
      <c r="BE217" s="36"/>
      <c r="BF217" s="41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41"/>
      <c r="BU217" s="41"/>
      <c r="BV217" s="41"/>
      <c r="BW217" s="41"/>
      <c r="BX217" s="42" t="b">
        <v>1</v>
      </c>
      <c r="BY217" s="41">
        <f>IF(MOD(H217,4)=0,H217/4,ROUNDDOWN(H217/4,0))</f>
        <v>24124375</v>
      </c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37" t="b">
        <v>1</v>
      </c>
      <c r="CU217" s="38">
        <f>IF(MOD(H217,4)=0,H217/4,ROUNDUP(H217/4,0))</f>
        <v>24124375</v>
      </c>
      <c r="CV217" s="38"/>
      <c r="CW217" s="38"/>
    </row>
    <row r="218" spans="1:101" ht="32.25" customHeight="1" x14ac:dyDescent="0.25">
      <c r="A218" s="12">
        <f t="shared" si="0"/>
        <v>217</v>
      </c>
      <c r="B218" s="13" t="s">
        <v>94</v>
      </c>
      <c r="C218" s="13" t="s">
        <v>1320</v>
      </c>
      <c r="D218" s="14" t="s">
        <v>1337</v>
      </c>
      <c r="E218" s="15" t="s">
        <v>1338</v>
      </c>
      <c r="F218" s="15" t="s">
        <v>1339</v>
      </c>
      <c r="G218" s="16">
        <v>356</v>
      </c>
      <c r="H218" s="17">
        <v>592295000</v>
      </c>
      <c r="I218" s="18"/>
      <c r="J218" s="18"/>
      <c r="K218" s="18"/>
      <c r="L218" s="18" t="s">
        <v>99</v>
      </c>
      <c r="M218" s="19">
        <v>17280</v>
      </c>
      <c r="N218" s="20" t="s">
        <v>100</v>
      </c>
      <c r="O218" s="13" t="b">
        <v>1</v>
      </c>
      <c r="P218" s="20" t="b">
        <v>1</v>
      </c>
      <c r="Q218" s="20" t="b">
        <v>1</v>
      </c>
      <c r="R218" s="13" t="b">
        <v>1</v>
      </c>
      <c r="S218" s="13" t="b">
        <v>1</v>
      </c>
      <c r="T218" s="13" t="b">
        <v>1</v>
      </c>
      <c r="U218" s="13" t="b">
        <v>1</v>
      </c>
      <c r="V218" s="13" t="b">
        <v>1</v>
      </c>
      <c r="W218" s="13" t="b">
        <v>1</v>
      </c>
      <c r="X218" s="13" t="b">
        <v>1</v>
      </c>
      <c r="Y218" s="21" t="s">
        <v>101</v>
      </c>
      <c r="Z218" s="21" t="s">
        <v>1340</v>
      </c>
      <c r="AA218" s="21" t="s">
        <v>1341</v>
      </c>
      <c r="AB218" s="22"/>
      <c r="AC218" s="23"/>
      <c r="AD218" s="13"/>
      <c r="AE218" s="13" t="b">
        <v>1</v>
      </c>
      <c r="AF218" s="48">
        <v>45884</v>
      </c>
      <c r="AG218" s="55"/>
      <c r="AH218" s="27" t="b">
        <v>1</v>
      </c>
      <c r="AI218" s="48">
        <v>45936</v>
      </c>
      <c r="AJ218" s="39" t="s">
        <v>104</v>
      </c>
      <c r="AK218" s="27" t="b">
        <v>1</v>
      </c>
      <c r="AL218" s="30">
        <v>45982</v>
      </c>
      <c r="AM218" s="39" t="s">
        <v>104</v>
      </c>
      <c r="AN218" s="39"/>
      <c r="AO218" s="13"/>
      <c r="AP218" s="12"/>
      <c r="AQ218" s="16"/>
      <c r="AR218" s="32"/>
      <c r="AS218" s="33"/>
      <c r="AT218" s="32"/>
      <c r="AU218" s="33"/>
      <c r="AV218" s="34"/>
      <c r="AW218" s="33"/>
      <c r="AX218" s="37"/>
      <c r="AY218" s="38"/>
      <c r="AZ218" s="35" t="b">
        <v>1</v>
      </c>
      <c r="BA218" s="36">
        <f t="shared" ref="BA218:BA220" si="81">IF(MOD(H218,4)=0,H218/4,ROUNDUP(H218/4,0))</f>
        <v>148073750</v>
      </c>
      <c r="BB218" s="41"/>
      <c r="BC218" s="36"/>
      <c r="BD218" s="41"/>
      <c r="BE218" s="36"/>
      <c r="BF218" s="41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5" t="b">
        <v>1</v>
      </c>
      <c r="BU218" s="36">
        <f t="shared" ref="BU218:BU219" si="82">IF(MOD(H218,4)=0,H218/4,ROUNDDOWN(H218/4,0))</f>
        <v>148073750</v>
      </c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5" t="b">
        <v>1</v>
      </c>
      <c r="CK218" s="36">
        <f t="shared" ref="CK218:CK219" si="83">IF(MOD(H218,4)=0,H218/4,ROUNDUP(H218/4,0))</f>
        <v>148073750</v>
      </c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</row>
    <row r="219" spans="1:101" ht="32.25" customHeight="1" x14ac:dyDescent="0.25">
      <c r="A219" s="12">
        <f t="shared" si="0"/>
        <v>218</v>
      </c>
      <c r="B219" s="13" t="s">
        <v>94</v>
      </c>
      <c r="C219" s="13" t="s">
        <v>1320</v>
      </c>
      <c r="D219" s="14" t="s">
        <v>1342</v>
      </c>
      <c r="E219" s="15" t="s">
        <v>1343</v>
      </c>
      <c r="F219" s="15" t="s">
        <v>1344</v>
      </c>
      <c r="G219" s="16">
        <v>589</v>
      </c>
      <c r="H219" s="17">
        <v>979948750</v>
      </c>
      <c r="I219" s="18"/>
      <c r="J219" s="18"/>
      <c r="K219" s="18"/>
      <c r="L219" s="18" t="s">
        <v>99</v>
      </c>
      <c r="M219" s="19">
        <v>17281</v>
      </c>
      <c r="N219" s="20" t="s">
        <v>100</v>
      </c>
      <c r="O219" s="13" t="b">
        <v>1</v>
      </c>
      <c r="P219" s="20" t="b">
        <v>1</v>
      </c>
      <c r="Q219" s="20" t="b">
        <v>1</v>
      </c>
      <c r="R219" s="13" t="b">
        <v>1</v>
      </c>
      <c r="S219" s="13" t="b">
        <v>1</v>
      </c>
      <c r="T219" s="13" t="b">
        <v>1</v>
      </c>
      <c r="U219" s="13" t="b">
        <v>1</v>
      </c>
      <c r="V219" s="13" t="b">
        <v>1</v>
      </c>
      <c r="W219" s="13" t="b">
        <v>1</v>
      </c>
      <c r="X219" s="13" t="b">
        <v>0</v>
      </c>
      <c r="Y219" s="21" t="s">
        <v>101</v>
      </c>
      <c r="Z219" s="21" t="s">
        <v>1345</v>
      </c>
      <c r="AA219" s="21" t="s">
        <v>1346</v>
      </c>
      <c r="AB219" s="22"/>
      <c r="AC219" s="23"/>
      <c r="AD219" s="13"/>
      <c r="AE219" s="13" t="b">
        <v>1</v>
      </c>
      <c r="AF219" s="48">
        <v>45894</v>
      </c>
      <c r="AG219" s="55"/>
      <c r="AH219" s="27" t="b">
        <v>1</v>
      </c>
      <c r="AI219" s="48">
        <v>45936</v>
      </c>
      <c r="AJ219" s="39" t="s">
        <v>1347</v>
      </c>
      <c r="AK219" s="39" t="b">
        <v>1</v>
      </c>
      <c r="AL219" s="30">
        <v>45982</v>
      </c>
      <c r="AM219" s="39" t="s">
        <v>104</v>
      </c>
      <c r="AN219" s="39"/>
      <c r="AO219" s="13"/>
      <c r="AP219" s="12"/>
      <c r="AQ219" s="16"/>
      <c r="AR219" s="32"/>
      <c r="AS219" s="33"/>
      <c r="AT219" s="32"/>
      <c r="AU219" s="33"/>
      <c r="AV219" s="34"/>
      <c r="AW219" s="33"/>
      <c r="AX219" s="37"/>
      <c r="AY219" s="38"/>
      <c r="AZ219" s="35" t="b">
        <v>1</v>
      </c>
      <c r="BA219" s="36">
        <f t="shared" si="81"/>
        <v>244987188</v>
      </c>
      <c r="BB219" s="41"/>
      <c r="BC219" s="36"/>
      <c r="BD219" s="41"/>
      <c r="BE219" s="36"/>
      <c r="BF219" s="41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5" t="b">
        <v>1</v>
      </c>
      <c r="BU219" s="36">
        <f t="shared" si="82"/>
        <v>244987187</v>
      </c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5" t="b">
        <v>1</v>
      </c>
      <c r="CK219" s="36">
        <f t="shared" si="83"/>
        <v>244987188</v>
      </c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</row>
    <row r="220" spans="1:101" ht="32.25" customHeight="1" x14ac:dyDescent="0.25">
      <c r="A220" s="12">
        <f t="shared" si="0"/>
        <v>219</v>
      </c>
      <c r="B220" s="13" t="s">
        <v>94</v>
      </c>
      <c r="C220" s="13" t="s">
        <v>1320</v>
      </c>
      <c r="D220" s="14" t="s">
        <v>1348</v>
      </c>
      <c r="E220" s="15" t="s">
        <v>1349</v>
      </c>
      <c r="F220" s="15" t="s">
        <v>1350</v>
      </c>
      <c r="G220" s="16">
        <v>130</v>
      </c>
      <c r="H220" s="17">
        <v>216287500</v>
      </c>
      <c r="I220" s="18"/>
      <c r="J220" s="18"/>
      <c r="K220" s="18"/>
      <c r="L220" s="18" t="s">
        <v>99</v>
      </c>
      <c r="M220" s="19">
        <v>17282</v>
      </c>
      <c r="N220" s="20" t="s">
        <v>100</v>
      </c>
      <c r="O220" s="13" t="b">
        <v>1</v>
      </c>
      <c r="P220" s="20" t="b">
        <v>1</v>
      </c>
      <c r="Q220" s="20" t="b">
        <v>1</v>
      </c>
      <c r="R220" s="13" t="b">
        <v>0</v>
      </c>
      <c r="S220" s="13" t="b">
        <v>0</v>
      </c>
      <c r="T220" s="13" t="b">
        <v>1</v>
      </c>
      <c r="U220" s="13" t="b">
        <v>1</v>
      </c>
      <c r="V220" s="13" t="b">
        <v>1</v>
      </c>
      <c r="W220" s="13" t="b">
        <v>0</v>
      </c>
      <c r="X220" s="13" t="b">
        <v>0</v>
      </c>
      <c r="Y220" s="21" t="s">
        <v>101</v>
      </c>
      <c r="Z220" s="21" t="s">
        <v>1351</v>
      </c>
      <c r="AA220" s="21" t="s">
        <v>1352</v>
      </c>
      <c r="AB220" s="22"/>
      <c r="AC220" s="23"/>
      <c r="AD220" s="13"/>
      <c r="AE220" s="47" t="b">
        <v>1</v>
      </c>
      <c r="AF220" s="48">
        <v>45896</v>
      </c>
      <c r="AG220" s="55" t="s">
        <v>1353</v>
      </c>
      <c r="AH220" s="27" t="b">
        <v>1</v>
      </c>
      <c r="AI220" s="48">
        <v>45965</v>
      </c>
      <c r="AJ220" s="39" t="s">
        <v>1354</v>
      </c>
      <c r="AK220" s="39" t="b">
        <v>1</v>
      </c>
      <c r="AL220" s="30">
        <v>46001</v>
      </c>
      <c r="AM220" s="39" t="s">
        <v>1355</v>
      </c>
      <c r="AN220" s="39"/>
      <c r="AO220" s="13"/>
      <c r="AP220" s="12"/>
      <c r="AQ220" s="16"/>
      <c r="AR220" s="32"/>
      <c r="AS220" s="33"/>
      <c r="AT220" s="32"/>
      <c r="AU220" s="33"/>
      <c r="AV220" s="34"/>
      <c r="AW220" s="33"/>
      <c r="AX220" s="37"/>
      <c r="AY220" s="38"/>
      <c r="AZ220" s="35" t="b">
        <v>1</v>
      </c>
      <c r="BA220" s="36">
        <f t="shared" si="81"/>
        <v>54071875</v>
      </c>
      <c r="BB220" s="41"/>
      <c r="BC220" s="36"/>
      <c r="BD220" s="41"/>
      <c r="BE220" s="36"/>
      <c r="BF220" s="41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41"/>
      <c r="BU220" s="41"/>
      <c r="BV220" s="41"/>
      <c r="BW220" s="41"/>
      <c r="BX220" s="42" t="b">
        <v>1</v>
      </c>
      <c r="BY220" s="41">
        <f>IF(MOD(H220,4)=0,H220/4,ROUNDDOWN(H220/4,0))</f>
        <v>54071875</v>
      </c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35" t="b">
        <v>1</v>
      </c>
      <c r="CQ220" s="41">
        <f>IF(MOD(H220,4)=0,H220/4,ROUNDUP(H220/4,0))</f>
        <v>54071875</v>
      </c>
      <c r="CR220" s="41"/>
      <c r="CS220" s="41"/>
      <c r="CT220" s="41"/>
      <c r="CU220" s="41"/>
      <c r="CV220" s="41"/>
      <c r="CW220" s="41"/>
    </row>
    <row r="221" spans="1:101" ht="32.25" customHeight="1" x14ac:dyDescent="0.25">
      <c r="A221" s="12">
        <f t="shared" si="0"/>
        <v>220</v>
      </c>
      <c r="B221" s="13" t="s">
        <v>94</v>
      </c>
      <c r="C221" s="13" t="s">
        <v>1320</v>
      </c>
      <c r="D221" s="14" t="s">
        <v>1356</v>
      </c>
      <c r="E221" s="15" t="s">
        <v>1357</v>
      </c>
      <c r="F221" s="15" t="s">
        <v>1358</v>
      </c>
      <c r="G221" s="16">
        <v>112</v>
      </c>
      <c r="H221" s="17">
        <v>186340000</v>
      </c>
      <c r="I221" s="18"/>
      <c r="J221" s="18"/>
      <c r="K221" s="18"/>
      <c r="L221" s="18" t="s">
        <v>99</v>
      </c>
      <c r="M221" s="19">
        <v>17283</v>
      </c>
      <c r="N221" s="20" t="s">
        <v>100</v>
      </c>
      <c r="O221" s="13" t="b">
        <v>1</v>
      </c>
      <c r="P221" s="20" t="b">
        <v>1</v>
      </c>
      <c r="Q221" s="20" t="b">
        <v>1</v>
      </c>
      <c r="R221" s="13" t="b">
        <v>1</v>
      </c>
      <c r="S221" s="13" t="b">
        <v>1</v>
      </c>
      <c r="T221" s="13" t="b">
        <v>1</v>
      </c>
      <c r="U221" s="13" t="b">
        <v>1</v>
      </c>
      <c r="V221" s="13" t="b">
        <v>1</v>
      </c>
      <c r="W221" s="13" t="b">
        <v>1</v>
      </c>
      <c r="X221" s="13" t="b">
        <v>1</v>
      </c>
      <c r="Y221" s="21" t="s">
        <v>101</v>
      </c>
      <c r="Z221" s="21" t="s">
        <v>1359</v>
      </c>
      <c r="AA221" s="21" t="s">
        <v>1360</v>
      </c>
      <c r="AB221" s="22"/>
      <c r="AC221" s="23"/>
      <c r="AD221" s="13"/>
      <c r="AE221" s="47" t="b">
        <v>1</v>
      </c>
      <c r="AF221" s="48">
        <v>45904</v>
      </c>
      <c r="AG221" s="55" t="s">
        <v>1361</v>
      </c>
      <c r="AH221" s="27" t="b">
        <v>1</v>
      </c>
      <c r="AI221" s="48">
        <v>45950</v>
      </c>
      <c r="AJ221" s="56" t="s">
        <v>1362</v>
      </c>
      <c r="AK221" s="27" t="b">
        <v>1</v>
      </c>
      <c r="AL221" s="30">
        <v>45987</v>
      </c>
      <c r="AM221" s="39" t="s">
        <v>1363</v>
      </c>
      <c r="AN221" s="39"/>
      <c r="AO221" s="13"/>
      <c r="AP221" s="12"/>
      <c r="AQ221" s="16"/>
      <c r="AR221" s="32"/>
      <c r="AS221" s="33"/>
      <c r="AT221" s="32"/>
      <c r="AU221" s="33"/>
      <c r="AV221" s="34"/>
      <c r="AW221" s="33"/>
      <c r="AX221" s="37"/>
      <c r="AY221" s="38"/>
      <c r="AZ221" s="37"/>
      <c r="BA221" s="38"/>
      <c r="BB221" s="35" t="b">
        <v>1</v>
      </c>
      <c r="BC221" s="36">
        <f>IF(MOD(H221,4)=0,H221/4,ROUNDUP(H221/4,0))</f>
        <v>46585000</v>
      </c>
      <c r="BD221" s="41"/>
      <c r="BE221" s="36"/>
      <c r="BF221" s="41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41"/>
      <c r="BU221" s="41"/>
      <c r="BV221" s="35" t="b">
        <v>1</v>
      </c>
      <c r="BW221" s="41">
        <f>IF(MOD(H221,4)=0,H221/4,ROUNDDOWN(H221/4,0))</f>
        <v>46585000</v>
      </c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35" t="b">
        <v>1</v>
      </c>
      <c r="CM221" s="41">
        <f>IF(MOD(H221,4)=0,H221/4,ROUNDUP(H221/4,0))</f>
        <v>46585000</v>
      </c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</row>
    <row r="222" spans="1:101" ht="32.25" customHeight="1" x14ac:dyDescent="0.25">
      <c r="A222" s="12">
        <f t="shared" si="0"/>
        <v>221</v>
      </c>
      <c r="B222" s="13" t="s">
        <v>94</v>
      </c>
      <c r="C222" s="13" t="s">
        <v>1320</v>
      </c>
      <c r="D222" s="14" t="s">
        <v>1364</v>
      </c>
      <c r="E222" s="15" t="s">
        <v>1365</v>
      </c>
      <c r="F222" s="15" t="s">
        <v>1366</v>
      </c>
      <c r="G222" s="16">
        <v>114</v>
      </c>
      <c r="H222" s="17">
        <v>189667500</v>
      </c>
      <c r="I222" s="18"/>
      <c r="J222" s="18"/>
      <c r="K222" s="18"/>
      <c r="L222" s="18" t="s">
        <v>99</v>
      </c>
      <c r="M222" s="19">
        <v>17284</v>
      </c>
      <c r="N222" s="20" t="s">
        <v>100</v>
      </c>
      <c r="O222" s="13" t="b">
        <v>1</v>
      </c>
      <c r="P222" s="20" t="b">
        <v>1</v>
      </c>
      <c r="Q222" s="20" t="b">
        <v>1</v>
      </c>
      <c r="R222" s="13" t="b">
        <v>1</v>
      </c>
      <c r="S222" s="13" t="b">
        <v>1</v>
      </c>
      <c r="T222" s="13" t="b">
        <v>1</v>
      </c>
      <c r="U222" s="13" t="b">
        <v>1</v>
      </c>
      <c r="V222" s="13" t="b">
        <v>1</v>
      </c>
      <c r="W222" s="13" t="b">
        <v>1</v>
      </c>
      <c r="X222" s="13" t="b">
        <v>0</v>
      </c>
      <c r="Y222" s="21" t="s">
        <v>101</v>
      </c>
      <c r="Z222" s="21" t="s">
        <v>1367</v>
      </c>
      <c r="AA222" s="21" t="s">
        <v>1368</v>
      </c>
      <c r="AB222" s="22"/>
      <c r="AC222" s="23"/>
      <c r="AD222" s="13"/>
      <c r="AE222" s="47" t="b">
        <v>1</v>
      </c>
      <c r="AF222" s="48">
        <v>45936</v>
      </c>
      <c r="AG222" s="55" t="s">
        <v>1369</v>
      </c>
      <c r="AH222" s="27" t="b">
        <v>1</v>
      </c>
      <c r="AI222" s="48">
        <v>45979</v>
      </c>
      <c r="AJ222" s="39" t="s">
        <v>439</v>
      </c>
      <c r="AK222" s="39" t="b">
        <v>1</v>
      </c>
      <c r="AL222" s="30">
        <v>46013</v>
      </c>
      <c r="AM222" s="39" t="s">
        <v>1370</v>
      </c>
      <c r="AN222" s="39"/>
      <c r="AO222" s="13"/>
      <c r="AP222" s="12"/>
      <c r="AQ222" s="16"/>
      <c r="AR222" s="32"/>
      <c r="AS222" s="33"/>
      <c r="AT222" s="32"/>
      <c r="AU222" s="33"/>
      <c r="AV222" s="34"/>
      <c r="AW222" s="33"/>
      <c r="AX222" s="37"/>
      <c r="AY222" s="38"/>
      <c r="AZ222" s="37"/>
      <c r="BA222" s="38"/>
      <c r="BB222" s="37"/>
      <c r="BC222" s="38"/>
      <c r="BD222" s="37"/>
      <c r="BE222" s="38"/>
      <c r="BF222" s="35" t="b">
        <v>1</v>
      </c>
      <c r="BG222" s="38">
        <f>IF(MOD(H222,4)=0,H222/4,ROUNDUP(H222/4,0))</f>
        <v>47416875</v>
      </c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42" t="b">
        <v>1</v>
      </c>
      <c r="BY222" s="41">
        <f>IF(MOD(H222,4)=0,H222/4,ROUNDDOWN(H222/4,0))</f>
        <v>47416875</v>
      </c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37" t="b">
        <v>1</v>
      </c>
      <c r="CU222" s="38">
        <f>IF(MOD(H222,4)=0,H222/4,ROUNDUP(H222/4,0))</f>
        <v>47416875</v>
      </c>
      <c r="CV222" s="38"/>
      <c r="CW222" s="38"/>
    </row>
    <row r="223" spans="1:101" ht="32.25" customHeight="1" x14ac:dyDescent="0.25">
      <c r="A223" s="12">
        <f t="shared" si="0"/>
        <v>222</v>
      </c>
      <c r="B223" s="13" t="s">
        <v>94</v>
      </c>
      <c r="C223" s="13" t="s">
        <v>1320</v>
      </c>
      <c r="D223" s="14" t="s">
        <v>1371</v>
      </c>
      <c r="E223" s="15" t="s">
        <v>1372</v>
      </c>
      <c r="F223" s="15" t="s">
        <v>1373</v>
      </c>
      <c r="G223" s="16">
        <v>11</v>
      </c>
      <c r="H223" s="17">
        <v>18301250</v>
      </c>
      <c r="I223" s="18"/>
      <c r="J223" s="18"/>
      <c r="K223" s="18"/>
      <c r="L223" s="18" t="s">
        <v>99</v>
      </c>
      <c r="M223" s="19">
        <v>17285</v>
      </c>
      <c r="N223" s="20" t="s">
        <v>100</v>
      </c>
      <c r="O223" s="13" t="b">
        <v>1</v>
      </c>
      <c r="P223" s="20" t="b">
        <v>1</v>
      </c>
      <c r="Q223" s="20" t="b">
        <v>1</v>
      </c>
      <c r="R223" s="13" t="b">
        <v>1</v>
      </c>
      <c r="S223" s="13" t="b">
        <v>1</v>
      </c>
      <c r="T223" s="13" t="b">
        <v>1</v>
      </c>
      <c r="U223" s="13" t="b">
        <v>1</v>
      </c>
      <c r="V223" s="13" t="b">
        <v>1</v>
      </c>
      <c r="W223" s="13" t="b">
        <v>1</v>
      </c>
      <c r="X223" s="13" t="b">
        <v>1</v>
      </c>
      <c r="Y223" s="21" t="s">
        <v>101</v>
      </c>
      <c r="Z223" s="21" t="s">
        <v>1374</v>
      </c>
      <c r="AA223" s="21" t="s">
        <v>1375</v>
      </c>
      <c r="AB223" s="22"/>
      <c r="AC223" s="23"/>
      <c r="AD223" s="13"/>
      <c r="AE223" s="47" t="b">
        <v>1</v>
      </c>
      <c r="AF223" s="48">
        <v>45891</v>
      </c>
      <c r="AG223" s="55" t="s">
        <v>1376</v>
      </c>
      <c r="AH223" s="27" t="b">
        <v>1</v>
      </c>
      <c r="AI223" s="48">
        <v>45943</v>
      </c>
      <c r="AJ223" s="56" t="s">
        <v>1377</v>
      </c>
      <c r="AK223" s="39" t="b">
        <v>1</v>
      </c>
      <c r="AL223" s="30">
        <v>45996</v>
      </c>
      <c r="AM223" s="56" t="s">
        <v>1377</v>
      </c>
      <c r="AN223" s="39"/>
      <c r="AO223" s="13"/>
      <c r="AP223" s="12"/>
      <c r="AQ223" s="16"/>
      <c r="AR223" s="32"/>
      <c r="AS223" s="33"/>
      <c r="AT223" s="32"/>
      <c r="AU223" s="33"/>
      <c r="AV223" s="34"/>
      <c r="AW223" s="33"/>
      <c r="AX223" s="37"/>
      <c r="AY223" s="38"/>
      <c r="AZ223" s="35" t="b">
        <v>1</v>
      </c>
      <c r="BA223" s="36">
        <f>IF(MOD(H223,4)=0,H223/4,ROUNDUP(H223/4,0))</f>
        <v>4575313</v>
      </c>
      <c r="BB223" s="41"/>
      <c r="BC223" s="36"/>
      <c r="BD223" s="41"/>
      <c r="BE223" s="36"/>
      <c r="BF223" s="41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41"/>
      <c r="BU223" s="41"/>
      <c r="BV223" s="35" t="b">
        <v>1</v>
      </c>
      <c r="BW223" s="41">
        <f t="shared" ref="BW223:BW225" si="84">IF(MOD(H223,4)=0,H223/4,ROUNDDOWN(H223/4,0))</f>
        <v>4575312</v>
      </c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35" t="b">
        <v>1</v>
      </c>
      <c r="CQ223" s="41">
        <f>IF(MOD(H223,4)=0,H223/4,ROUNDUP(H223/4,0))</f>
        <v>4575313</v>
      </c>
      <c r="CR223" s="41"/>
      <c r="CS223" s="41"/>
      <c r="CT223" s="41"/>
      <c r="CU223" s="41"/>
      <c r="CV223" s="41"/>
      <c r="CW223" s="41"/>
    </row>
    <row r="224" spans="1:101" ht="32.25" customHeight="1" x14ac:dyDescent="0.25">
      <c r="A224" s="12">
        <f t="shared" si="0"/>
        <v>223</v>
      </c>
      <c r="B224" s="13" t="s">
        <v>94</v>
      </c>
      <c r="C224" s="13" t="s">
        <v>1320</v>
      </c>
      <c r="D224" s="14" t="s">
        <v>1378</v>
      </c>
      <c r="E224" s="15" t="s">
        <v>1379</v>
      </c>
      <c r="F224" s="15" t="s">
        <v>1380</v>
      </c>
      <c r="G224" s="16">
        <v>60</v>
      </c>
      <c r="H224" s="17">
        <v>99825000</v>
      </c>
      <c r="I224" s="18"/>
      <c r="J224" s="18"/>
      <c r="K224" s="18"/>
      <c r="L224" s="18" t="s">
        <v>99</v>
      </c>
      <c r="M224" s="19">
        <v>17286</v>
      </c>
      <c r="N224" s="20" t="s">
        <v>100</v>
      </c>
      <c r="O224" s="13" t="b">
        <v>1</v>
      </c>
      <c r="P224" s="20" t="b">
        <v>1</v>
      </c>
      <c r="Q224" s="20" t="b">
        <v>1</v>
      </c>
      <c r="R224" s="13" t="b">
        <v>1</v>
      </c>
      <c r="S224" s="13" t="b">
        <v>1</v>
      </c>
      <c r="T224" s="13" t="b">
        <v>1</v>
      </c>
      <c r="U224" s="13" t="b">
        <v>1</v>
      </c>
      <c r="V224" s="13" t="b">
        <v>1</v>
      </c>
      <c r="W224" s="13" t="b">
        <v>1</v>
      </c>
      <c r="X224" s="13" t="b">
        <v>0</v>
      </c>
      <c r="Y224" s="21" t="s">
        <v>101</v>
      </c>
      <c r="Z224" s="21" t="s">
        <v>1381</v>
      </c>
      <c r="AA224" s="21" t="s">
        <v>1382</v>
      </c>
      <c r="AB224" s="22"/>
      <c r="AC224" s="23"/>
      <c r="AD224" s="13"/>
      <c r="AE224" s="47" t="b">
        <v>1</v>
      </c>
      <c r="AF224" s="48">
        <v>45873</v>
      </c>
      <c r="AG224" s="55" t="s">
        <v>104</v>
      </c>
      <c r="AH224" s="27" t="b">
        <v>1</v>
      </c>
      <c r="AI224" s="48">
        <v>45946</v>
      </c>
      <c r="AJ224" s="56" t="s">
        <v>104</v>
      </c>
      <c r="AK224" s="27" t="b">
        <v>1</v>
      </c>
      <c r="AL224" s="30">
        <v>45988</v>
      </c>
      <c r="AM224" s="39" t="s">
        <v>104</v>
      </c>
      <c r="AN224" s="39"/>
      <c r="AO224" s="13"/>
      <c r="AP224" s="12"/>
      <c r="AQ224" s="16"/>
      <c r="AR224" s="32"/>
      <c r="AS224" s="33"/>
      <c r="AT224" s="32"/>
      <c r="AU224" s="33"/>
      <c r="AV224" s="34"/>
      <c r="AW224" s="33"/>
      <c r="AX224" s="35" t="b">
        <v>1</v>
      </c>
      <c r="AY224" s="36">
        <f t="shared" ref="AY224:AY226" si="85">IF(MOD(H224,4)=0,H224/4,ROUNDUP(H224/4,0))</f>
        <v>24956250</v>
      </c>
      <c r="AZ224" s="37"/>
      <c r="BA224" s="38"/>
      <c r="BB224" s="37"/>
      <c r="BC224" s="38"/>
      <c r="BD224" s="37"/>
      <c r="BE224" s="38"/>
      <c r="BF224" s="37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7"/>
      <c r="BU224" s="37"/>
      <c r="BV224" s="35" t="b">
        <v>1</v>
      </c>
      <c r="BW224" s="41">
        <f t="shared" si="84"/>
        <v>24956250</v>
      </c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35" t="b">
        <v>1</v>
      </c>
      <c r="CM224" s="41">
        <f>IF(MOD(H224,4)=0,H224/4,ROUNDUP(H224/4,0))</f>
        <v>24956250</v>
      </c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</row>
    <row r="225" spans="1:101" ht="32.25" customHeight="1" x14ac:dyDescent="0.25">
      <c r="A225" s="12">
        <f t="shared" si="0"/>
        <v>224</v>
      </c>
      <c r="B225" s="13" t="s">
        <v>94</v>
      </c>
      <c r="C225" s="13" t="s">
        <v>1320</v>
      </c>
      <c r="D225" s="14" t="s">
        <v>1383</v>
      </c>
      <c r="E225" s="15" t="s">
        <v>1384</v>
      </c>
      <c r="F225" s="15" t="s">
        <v>1385</v>
      </c>
      <c r="G225" s="16">
        <v>112</v>
      </c>
      <c r="H225" s="17">
        <v>186340000</v>
      </c>
      <c r="I225" s="18"/>
      <c r="J225" s="18"/>
      <c r="K225" s="18"/>
      <c r="L225" s="18" t="s">
        <v>99</v>
      </c>
      <c r="M225" s="19">
        <v>17287</v>
      </c>
      <c r="N225" s="20" t="s">
        <v>100</v>
      </c>
      <c r="O225" s="13" t="b">
        <v>1</v>
      </c>
      <c r="P225" s="20" t="b">
        <v>1</v>
      </c>
      <c r="Q225" s="20" t="b">
        <v>1</v>
      </c>
      <c r="R225" s="13" t="b">
        <v>1</v>
      </c>
      <c r="S225" s="13" t="b">
        <v>1</v>
      </c>
      <c r="T225" s="13" t="b">
        <v>1</v>
      </c>
      <c r="U225" s="13" t="b">
        <v>1</v>
      </c>
      <c r="V225" s="13" t="b">
        <v>1</v>
      </c>
      <c r="W225" s="13" t="b">
        <v>1</v>
      </c>
      <c r="X225" s="13" t="b">
        <v>1</v>
      </c>
      <c r="Y225" s="21" t="s">
        <v>101</v>
      </c>
      <c r="Z225" s="21" t="s">
        <v>1386</v>
      </c>
      <c r="AA225" s="21" t="s">
        <v>1387</v>
      </c>
      <c r="AB225" s="22"/>
      <c r="AC225" s="23"/>
      <c r="AD225" s="13"/>
      <c r="AE225" s="47" t="b">
        <v>1</v>
      </c>
      <c r="AF225" s="48">
        <v>45873</v>
      </c>
      <c r="AG225" s="55"/>
      <c r="AH225" s="27" t="b">
        <v>1</v>
      </c>
      <c r="AI225" s="48">
        <v>45943</v>
      </c>
      <c r="AJ225" s="56" t="s">
        <v>1388</v>
      </c>
      <c r="AK225" s="39" t="b">
        <v>1</v>
      </c>
      <c r="AL225" s="30">
        <v>45996</v>
      </c>
      <c r="AM225" s="39" t="s">
        <v>1389</v>
      </c>
      <c r="AN225" s="39"/>
      <c r="AO225" s="13"/>
      <c r="AP225" s="12"/>
      <c r="AQ225" s="16"/>
      <c r="AR225" s="32"/>
      <c r="AS225" s="33"/>
      <c r="AT225" s="32"/>
      <c r="AU225" s="33"/>
      <c r="AV225" s="34"/>
      <c r="AW225" s="33"/>
      <c r="AX225" s="35" t="b">
        <v>1</v>
      </c>
      <c r="AY225" s="36">
        <f t="shared" si="85"/>
        <v>46585000</v>
      </c>
      <c r="AZ225" s="37"/>
      <c r="BA225" s="38"/>
      <c r="BB225" s="37"/>
      <c r="BC225" s="38"/>
      <c r="BD225" s="37"/>
      <c r="BE225" s="38"/>
      <c r="BF225" s="37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7"/>
      <c r="BU225" s="37"/>
      <c r="BV225" s="35" t="b">
        <v>1</v>
      </c>
      <c r="BW225" s="41">
        <f t="shared" si="84"/>
        <v>46585000</v>
      </c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35" t="b">
        <v>1</v>
      </c>
      <c r="CQ225" s="41">
        <f t="shared" ref="CQ225:CQ226" si="86">IF(MOD(H225,4)=0,H225/4,ROUNDUP(H225/4,0))</f>
        <v>46585000</v>
      </c>
      <c r="CR225" s="41"/>
      <c r="CS225" s="41"/>
      <c r="CT225" s="41"/>
      <c r="CU225" s="41"/>
      <c r="CV225" s="41"/>
      <c r="CW225" s="41"/>
    </row>
    <row r="226" spans="1:101" ht="32.25" customHeight="1" x14ac:dyDescent="0.25">
      <c r="A226" s="12">
        <f t="shared" si="0"/>
        <v>225</v>
      </c>
      <c r="B226" s="13" t="s">
        <v>94</v>
      </c>
      <c r="C226" s="13" t="s">
        <v>1320</v>
      </c>
      <c r="D226" s="14" t="s">
        <v>1390</v>
      </c>
      <c r="E226" s="15" t="s">
        <v>1391</v>
      </c>
      <c r="F226" s="15" t="s">
        <v>1392</v>
      </c>
      <c r="G226" s="16">
        <v>14</v>
      </c>
      <c r="H226" s="17">
        <v>23292500</v>
      </c>
      <c r="I226" s="18"/>
      <c r="J226" s="18"/>
      <c r="K226" s="18"/>
      <c r="L226" s="18" t="s">
        <v>99</v>
      </c>
      <c r="M226" s="19">
        <v>17288</v>
      </c>
      <c r="N226" s="20" t="s">
        <v>100</v>
      </c>
      <c r="O226" s="13" t="b">
        <v>1</v>
      </c>
      <c r="P226" s="20" t="b">
        <v>1</v>
      </c>
      <c r="Q226" s="20" t="b">
        <v>1</v>
      </c>
      <c r="R226" s="13" t="b">
        <v>1</v>
      </c>
      <c r="S226" s="13" t="b">
        <v>1</v>
      </c>
      <c r="T226" s="13" t="b">
        <v>1</v>
      </c>
      <c r="U226" s="13" t="b">
        <v>1</v>
      </c>
      <c r="V226" s="13" t="b">
        <v>1</v>
      </c>
      <c r="W226" s="13" t="b">
        <v>1</v>
      </c>
      <c r="X226" s="13" t="b">
        <v>1</v>
      </c>
      <c r="Y226" s="21" t="s">
        <v>101</v>
      </c>
      <c r="Z226" s="21" t="s">
        <v>1393</v>
      </c>
      <c r="AA226" s="21" t="s">
        <v>1391</v>
      </c>
      <c r="AB226" s="22"/>
      <c r="AC226" s="23"/>
      <c r="AD226" s="13"/>
      <c r="AE226" s="47" t="b">
        <v>1</v>
      </c>
      <c r="AF226" s="48">
        <v>45873</v>
      </c>
      <c r="AG226" s="55" t="s">
        <v>1394</v>
      </c>
      <c r="AH226" s="27" t="b">
        <v>1</v>
      </c>
      <c r="AI226" s="48">
        <v>45967</v>
      </c>
      <c r="AJ226" s="39" t="s">
        <v>1395</v>
      </c>
      <c r="AK226" s="39" t="b">
        <v>1</v>
      </c>
      <c r="AL226" s="30">
        <v>45996</v>
      </c>
      <c r="AM226" s="39" t="s">
        <v>590</v>
      </c>
      <c r="AN226" s="39"/>
      <c r="AO226" s="13"/>
      <c r="AP226" s="12"/>
      <c r="AQ226" s="16"/>
      <c r="AR226" s="32"/>
      <c r="AS226" s="33"/>
      <c r="AT226" s="32"/>
      <c r="AU226" s="33"/>
      <c r="AV226" s="34"/>
      <c r="AW226" s="33"/>
      <c r="AX226" s="35" t="b">
        <v>1</v>
      </c>
      <c r="AY226" s="36">
        <f t="shared" si="85"/>
        <v>5823125</v>
      </c>
      <c r="AZ226" s="37"/>
      <c r="BA226" s="38"/>
      <c r="BB226" s="37"/>
      <c r="BC226" s="38"/>
      <c r="BD226" s="37"/>
      <c r="BE226" s="38"/>
      <c r="BF226" s="37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7"/>
      <c r="BU226" s="37"/>
      <c r="BV226" s="37"/>
      <c r="BW226" s="37"/>
      <c r="BX226" s="42" t="b">
        <v>1</v>
      </c>
      <c r="BY226" s="41">
        <f t="shared" ref="BY226:BY227" si="87">IF(MOD(H226,4)=0,H226/4,ROUNDDOWN(H226/4,0))</f>
        <v>5823125</v>
      </c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35" t="b">
        <v>1</v>
      </c>
      <c r="CQ226" s="41">
        <f t="shared" si="86"/>
        <v>5823125</v>
      </c>
      <c r="CR226" s="41"/>
      <c r="CS226" s="41"/>
      <c r="CT226" s="41"/>
      <c r="CU226" s="41"/>
      <c r="CV226" s="41"/>
      <c r="CW226" s="41"/>
    </row>
    <row r="227" spans="1:101" ht="32.25" customHeight="1" x14ac:dyDescent="0.25">
      <c r="A227" s="12">
        <f t="shared" si="0"/>
        <v>226</v>
      </c>
      <c r="B227" s="13" t="s">
        <v>94</v>
      </c>
      <c r="C227" s="13" t="s">
        <v>1320</v>
      </c>
      <c r="D227" s="14" t="s">
        <v>1396</v>
      </c>
      <c r="E227" s="15" t="s">
        <v>1397</v>
      </c>
      <c r="F227" s="15" t="s">
        <v>1398</v>
      </c>
      <c r="G227" s="16">
        <v>18</v>
      </c>
      <c r="H227" s="17">
        <v>29947500</v>
      </c>
      <c r="I227" s="18"/>
      <c r="J227" s="18"/>
      <c r="K227" s="18"/>
      <c r="L227" s="18" t="s">
        <v>99</v>
      </c>
      <c r="M227" s="19">
        <v>17289</v>
      </c>
      <c r="N227" s="20" t="s">
        <v>100</v>
      </c>
      <c r="O227" s="13" t="b">
        <v>1</v>
      </c>
      <c r="P227" s="20" t="b">
        <v>1</v>
      </c>
      <c r="Q227" s="20" t="b">
        <v>1</v>
      </c>
      <c r="R227" s="13" t="b">
        <v>1</v>
      </c>
      <c r="S227" s="13" t="b">
        <v>1</v>
      </c>
      <c r="T227" s="13" t="b">
        <v>1</v>
      </c>
      <c r="U227" s="13" t="b">
        <v>1</v>
      </c>
      <c r="V227" s="13" t="b">
        <v>1</v>
      </c>
      <c r="W227" s="13" t="b">
        <v>1</v>
      </c>
      <c r="X227" s="13" t="b">
        <v>1</v>
      </c>
      <c r="Y227" s="21" t="s">
        <v>101</v>
      </c>
      <c r="Z227" s="21" t="s">
        <v>1399</v>
      </c>
      <c r="AA227" s="21" t="s">
        <v>1400</v>
      </c>
      <c r="AB227" s="22"/>
      <c r="AC227" s="23"/>
      <c r="AD227" s="13"/>
      <c r="AE227" s="47" t="b">
        <v>1</v>
      </c>
      <c r="AF227" s="48">
        <v>45904</v>
      </c>
      <c r="AG227" s="55" t="s">
        <v>1401</v>
      </c>
      <c r="AH227" s="27" t="b">
        <v>1</v>
      </c>
      <c r="AI227" s="30">
        <v>45979</v>
      </c>
      <c r="AJ227" s="39" t="s">
        <v>1402</v>
      </c>
      <c r="AK227" s="39" t="b">
        <v>1</v>
      </c>
      <c r="AL227" s="30">
        <v>46018</v>
      </c>
      <c r="AM227" s="39" t="s">
        <v>1363</v>
      </c>
      <c r="AN227" s="39"/>
      <c r="AO227" s="13"/>
      <c r="AP227" s="12"/>
      <c r="AQ227" s="16"/>
      <c r="AR227" s="32"/>
      <c r="AS227" s="33"/>
      <c r="AT227" s="32"/>
      <c r="AU227" s="33"/>
      <c r="AV227" s="34"/>
      <c r="AW227" s="33"/>
      <c r="AX227" s="37"/>
      <c r="AY227" s="38"/>
      <c r="AZ227" s="37"/>
      <c r="BA227" s="38"/>
      <c r="BB227" s="35" t="b">
        <v>1</v>
      </c>
      <c r="BC227" s="36">
        <f>IF(MOD(H227,4)=0,H227/4,ROUNDUP(H227/4,0))</f>
        <v>7486875</v>
      </c>
      <c r="BD227" s="41"/>
      <c r="BE227" s="36"/>
      <c r="BF227" s="41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41"/>
      <c r="BU227" s="41"/>
      <c r="BV227" s="41"/>
      <c r="BW227" s="41"/>
      <c r="BX227" s="42" t="b">
        <v>1</v>
      </c>
      <c r="BY227" s="41">
        <f t="shared" si="87"/>
        <v>7486875</v>
      </c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37" t="b">
        <v>1</v>
      </c>
      <c r="CU227" s="38">
        <f>IF(MOD(H227,4)=0,H227/4,ROUNDUP(H227/4,0))</f>
        <v>7486875</v>
      </c>
      <c r="CV227" s="38"/>
      <c r="CW227" s="38"/>
    </row>
    <row r="228" spans="1:101" ht="32.25" customHeight="1" x14ac:dyDescent="0.25">
      <c r="A228" s="12">
        <f t="shared" si="0"/>
        <v>227</v>
      </c>
      <c r="B228" s="13" t="s">
        <v>94</v>
      </c>
      <c r="C228" s="13" t="s">
        <v>1320</v>
      </c>
      <c r="D228" s="14" t="s">
        <v>1403</v>
      </c>
      <c r="E228" s="15" t="s">
        <v>1404</v>
      </c>
      <c r="F228" s="15" t="s">
        <v>1405</v>
      </c>
      <c r="G228" s="16">
        <v>73</v>
      </c>
      <c r="H228" s="17">
        <v>121453750</v>
      </c>
      <c r="I228" s="18"/>
      <c r="J228" s="18"/>
      <c r="K228" s="18"/>
      <c r="L228" s="18" t="s">
        <v>99</v>
      </c>
      <c r="M228" s="19">
        <v>17290</v>
      </c>
      <c r="N228" s="20" t="s">
        <v>100</v>
      </c>
      <c r="O228" s="13" t="b">
        <v>1</v>
      </c>
      <c r="P228" s="20" t="b">
        <v>1</v>
      </c>
      <c r="Q228" s="20" t="b">
        <v>0</v>
      </c>
      <c r="R228" s="13" t="b">
        <v>0</v>
      </c>
      <c r="S228" s="13" t="b">
        <v>0</v>
      </c>
      <c r="T228" s="13" t="b">
        <v>1</v>
      </c>
      <c r="U228" s="13" t="b">
        <v>1</v>
      </c>
      <c r="V228" s="13" t="b">
        <v>1</v>
      </c>
      <c r="W228" s="13" t="b">
        <v>1</v>
      </c>
      <c r="X228" s="13" t="b">
        <v>1</v>
      </c>
      <c r="Y228" s="21" t="s">
        <v>101</v>
      </c>
      <c r="Z228" s="21" t="s">
        <v>1406</v>
      </c>
      <c r="AA228" s="21" t="s">
        <v>1407</v>
      </c>
      <c r="AB228" s="22"/>
      <c r="AC228" s="23"/>
      <c r="AD228" s="13"/>
      <c r="AE228" s="47" t="b">
        <v>1</v>
      </c>
      <c r="AF228" s="28">
        <v>45979</v>
      </c>
      <c r="AG228" s="55" t="s">
        <v>1408</v>
      </c>
      <c r="AH228" s="39" t="b">
        <v>1</v>
      </c>
      <c r="AI228" s="48">
        <v>46013</v>
      </c>
      <c r="AJ228" s="39" t="s">
        <v>1370</v>
      </c>
      <c r="AK228" s="39" t="b">
        <v>0</v>
      </c>
      <c r="AL228" s="39"/>
      <c r="AM228" s="39"/>
      <c r="AN228" s="39"/>
      <c r="AO228" s="13"/>
      <c r="AP228" s="12"/>
      <c r="AQ228" s="16"/>
      <c r="AR228" s="32"/>
      <c r="AS228" s="33"/>
      <c r="AT228" s="32"/>
      <c r="AU228" s="33"/>
      <c r="AV228" s="34"/>
      <c r="AW228" s="33"/>
      <c r="AX228" s="37"/>
      <c r="AY228" s="38"/>
      <c r="AZ228" s="37"/>
      <c r="BA228" s="38"/>
      <c r="BB228" s="37"/>
      <c r="BC228" s="38"/>
      <c r="BD228" s="37"/>
      <c r="BE228" s="38"/>
      <c r="BF228" s="37"/>
      <c r="BG228" s="38"/>
      <c r="BH228" s="38"/>
      <c r="BI228" s="38"/>
      <c r="BJ228" s="37" t="b">
        <v>1</v>
      </c>
      <c r="BK228" s="38">
        <f>IF(MOD(H228,4)=0,H228/4,ROUNDUP(H228/4,0))</f>
        <v>30363438</v>
      </c>
      <c r="BL228" s="38"/>
      <c r="BM228" s="38"/>
      <c r="BN228" s="38"/>
      <c r="BO228" s="38"/>
      <c r="BP228" s="38"/>
      <c r="BQ228" s="38"/>
      <c r="BR228" s="38"/>
      <c r="BS228" s="38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42" t="b">
        <v>1</v>
      </c>
      <c r="CI228" s="38">
        <f>IF(MOD(H228,4)=0,H228/4,ROUNDDOWN(H228/4,0))</f>
        <v>30363437</v>
      </c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</row>
    <row r="229" spans="1:101" ht="32.25" customHeight="1" x14ac:dyDescent="0.25">
      <c r="A229" s="12">
        <f t="shared" si="0"/>
        <v>228</v>
      </c>
      <c r="B229" s="13" t="s">
        <v>94</v>
      </c>
      <c r="C229" s="13" t="s">
        <v>1320</v>
      </c>
      <c r="D229" s="14" t="s">
        <v>1409</v>
      </c>
      <c r="E229" s="15" t="s">
        <v>1410</v>
      </c>
      <c r="F229" s="15" t="s">
        <v>1411</v>
      </c>
      <c r="G229" s="16">
        <v>31</v>
      </c>
      <c r="H229" s="17">
        <v>51576250</v>
      </c>
      <c r="I229" s="18"/>
      <c r="J229" s="18"/>
      <c r="K229" s="18"/>
      <c r="L229" s="18" t="s">
        <v>99</v>
      </c>
      <c r="M229" s="19">
        <v>17291</v>
      </c>
      <c r="N229" s="20" t="s">
        <v>100</v>
      </c>
      <c r="O229" s="13" t="b">
        <v>1</v>
      </c>
      <c r="P229" s="20" t="b">
        <v>1</v>
      </c>
      <c r="Q229" s="20" t="b">
        <v>1</v>
      </c>
      <c r="R229" s="13" t="b">
        <v>1</v>
      </c>
      <c r="S229" s="13" t="b">
        <v>1</v>
      </c>
      <c r="T229" s="13" t="b">
        <v>1</v>
      </c>
      <c r="U229" s="13" t="b">
        <v>1</v>
      </c>
      <c r="V229" s="13" t="b">
        <v>1</v>
      </c>
      <c r="W229" s="13" t="b">
        <v>1</v>
      </c>
      <c r="X229" s="13" t="b">
        <v>1</v>
      </c>
      <c r="Y229" s="21" t="s">
        <v>101</v>
      </c>
      <c r="Z229" s="21" t="s">
        <v>1412</v>
      </c>
      <c r="AA229" s="21" t="s">
        <v>1413</v>
      </c>
      <c r="AB229" s="22"/>
      <c r="AC229" s="23"/>
      <c r="AD229" s="13"/>
      <c r="AE229" s="47" t="b">
        <v>1</v>
      </c>
      <c r="AF229" s="48">
        <v>45873</v>
      </c>
      <c r="AG229" s="55" t="s">
        <v>425</v>
      </c>
      <c r="AH229" s="27" t="b">
        <v>1</v>
      </c>
      <c r="AI229" s="48">
        <v>45965</v>
      </c>
      <c r="AJ229" s="39" t="s">
        <v>1414</v>
      </c>
      <c r="AK229" s="39" t="b">
        <v>1</v>
      </c>
      <c r="AL229" s="30">
        <v>46001</v>
      </c>
      <c r="AM229" s="39" t="s">
        <v>104</v>
      </c>
      <c r="AN229" s="39"/>
      <c r="AO229" s="13"/>
      <c r="AP229" s="12"/>
      <c r="AQ229" s="16"/>
      <c r="AR229" s="32"/>
      <c r="AS229" s="33"/>
      <c r="AT229" s="32"/>
      <c r="AU229" s="33"/>
      <c r="AV229" s="34"/>
      <c r="AW229" s="33"/>
      <c r="AX229" s="35" t="b">
        <v>1</v>
      </c>
      <c r="AY229" s="36">
        <f>IF(MOD(H229,4)=0,H229/4,ROUNDUP(H229/4,0))</f>
        <v>12894063</v>
      </c>
      <c r="AZ229" s="37"/>
      <c r="BA229" s="38"/>
      <c r="BB229" s="37"/>
      <c r="BC229" s="38"/>
      <c r="BD229" s="37"/>
      <c r="BE229" s="38"/>
      <c r="BF229" s="37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  <c r="BS229" s="38"/>
      <c r="BT229" s="37"/>
      <c r="BU229" s="37"/>
      <c r="BV229" s="35" t="b">
        <v>1</v>
      </c>
      <c r="BW229" s="41">
        <f t="shared" ref="BW229:BW230" si="88">IF(MOD(H229,4)=0,H229/4,ROUNDDOWN(H229/4,0))</f>
        <v>12894062</v>
      </c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35" t="b">
        <v>1</v>
      </c>
      <c r="CQ229" s="41">
        <f>IF(MOD(H229,4)=0,H229/4,ROUNDUP(H229/4,0))</f>
        <v>12894063</v>
      </c>
      <c r="CR229" s="41"/>
      <c r="CS229" s="41"/>
      <c r="CT229" s="41"/>
      <c r="CU229" s="41"/>
      <c r="CV229" s="41"/>
      <c r="CW229" s="41"/>
    </row>
    <row r="230" spans="1:101" ht="32.25" customHeight="1" x14ac:dyDescent="0.25">
      <c r="A230" s="12">
        <f t="shared" si="0"/>
        <v>229</v>
      </c>
      <c r="B230" s="13" t="s">
        <v>94</v>
      </c>
      <c r="C230" s="13" t="s">
        <v>1320</v>
      </c>
      <c r="D230" s="14" t="s">
        <v>1415</v>
      </c>
      <c r="E230" s="15" t="s">
        <v>1416</v>
      </c>
      <c r="F230" s="15" t="s">
        <v>1417</v>
      </c>
      <c r="G230" s="16">
        <v>184</v>
      </c>
      <c r="H230" s="17">
        <v>306130000</v>
      </c>
      <c r="I230" s="18"/>
      <c r="J230" s="18"/>
      <c r="K230" s="18"/>
      <c r="L230" s="18" t="s">
        <v>99</v>
      </c>
      <c r="M230" s="19">
        <v>17292</v>
      </c>
      <c r="N230" s="20" t="s">
        <v>100</v>
      </c>
      <c r="O230" s="13" t="b">
        <v>1</v>
      </c>
      <c r="P230" s="20" t="b">
        <v>1</v>
      </c>
      <c r="Q230" s="20" t="b">
        <v>1</v>
      </c>
      <c r="R230" s="13" t="b">
        <v>1</v>
      </c>
      <c r="S230" s="13" t="b">
        <v>1</v>
      </c>
      <c r="T230" s="13" t="b">
        <v>1</v>
      </c>
      <c r="U230" s="13" t="b">
        <v>1</v>
      </c>
      <c r="V230" s="13" t="b">
        <v>0</v>
      </c>
      <c r="W230" s="13" t="b">
        <v>1</v>
      </c>
      <c r="X230" s="13" t="b">
        <v>0</v>
      </c>
      <c r="Y230" s="21" t="s">
        <v>101</v>
      </c>
      <c r="Z230" s="66" t="s">
        <v>1418</v>
      </c>
      <c r="AA230" s="15" t="s">
        <v>1419</v>
      </c>
      <c r="AB230" s="22"/>
      <c r="AC230" s="23"/>
      <c r="AD230" s="21"/>
      <c r="AE230" s="47" t="b">
        <v>1</v>
      </c>
      <c r="AF230" s="48">
        <v>45915</v>
      </c>
      <c r="AG230" s="55" t="s">
        <v>1420</v>
      </c>
      <c r="AH230" s="27" t="b">
        <v>1</v>
      </c>
      <c r="AI230" s="48">
        <v>45952</v>
      </c>
      <c r="AJ230" s="56" t="s">
        <v>1420</v>
      </c>
      <c r="AK230" s="39" t="b">
        <v>1</v>
      </c>
      <c r="AL230" s="30">
        <v>46002</v>
      </c>
      <c r="AM230" s="39" t="s">
        <v>1370</v>
      </c>
      <c r="AN230" s="39"/>
      <c r="AO230" s="13"/>
      <c r="AP230" s="12"/>
      <c r="AQ230" s="16"/>
      <c r="AR230" s="32"/>
      <c r="AS230" s="33"/>
      <c r="AT230" s="32"/>
      <c r="AU230" s="33"/>
      <c r="AV230" s="34"/>
      <c r="AW230" s="33"/>
      <c r="AX230" s="37"/>
      <c r="AY230" s="38"/>
      <c r="AZ230" s="37"/>
      <c r="BA230" s="38"/>
      <c r="BB230" s="35" t="b">
        <v>1</v>
      </c>
      <c r="BC230" s="36">
        <f>IF(MOD(H230,4)=0,H230/4,ROUNDUP(H230/4,0))</f>
        <v>76532500</v>
      </c>
      <c r="BD230" s="41"/>
      <c r="BE230" s="36"/>
      <c r="BF230" s="41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41"/>
      <c r="BU230" s="41"/>
      <c r="BV230" s="35" t="b">
        <v>1</v>
      </c>
      <c r="BW230" s="41">
        <f t="shared" si="88"/>
        <v>76532500</v>
      </c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12" t="b">
        <v>1</v>
      </c>
      <c r="CS230" s="36">
        <f>IF(MOD(H230,4)=0,H230/4,ROUNDUP(H230/4,0))</f>
        <v>76532500</v>
      </c>
      <c r="CT230" s="36"/>
      <c r="CU230" s="36"/>
      <c r="CV230" s="36"/>
      <c r="CW230" s="36"/>
    </row>
    <row r="231" spans="1:101" ht="32.25" customHeight="1" x14ac:dyDescent="0.25">
      <c r="A231" s="12">
        <f t="shared" si="0"/>
        <v>230</v>
      </c>
      <c r="B231" s="13" t="s">
        <v>134</v>
      </c>
      <c r="C231" s="13" t="s">
        <v>1320</v>
      </c>
      <c r="D231" s="14" t="s">
        <v>1421</v>
      </c>
      <c r="E231" s="15" t="s">
        <v>175</v>
      </c>
      <c r="F231" s="15" t="s">
        <v>1422</v>
      </c>
      <c r="G231" s="16">
        <v>41</v>
      </c>
      <c r="H231" s="17">
        <v>66983750</v>
      </c>
      <c r="I231" s="18"/>
      <c r="J231" s="18"/>
      <c r="K231" s="18"/>
      <c r="L231" s="18" t="s">
        <v>99</v>
      </c>
      <c r="M231" s="19">
        <v>17293</v>
      </c>
      <c r="N231" s="20" t="s">
        <v>100</v>
      </c>
      <c r="O231" s="13" t="b">
        <v>1</v>
      </c>
      <c r="P231" s="20" t="b">
        <v>1</v>
      </c>
      <c r="Q231" s="20" t="b">
        <v>1</v>
      </c>
      <c r="R231" s="13" t="b">
        <v>1</v>
      </c>
      <c r="S231" s="13" t="b">
        <v>1</v>
      </c>
      <c r="T231" s="13" t="b">
        <v>1</v>
      </c>
      <c r="U231" s="13" t="b">
        <v>1</v>
      </c>
      <c r="V231" s="13" t="b">
        <v>0</v>
      </c>
      <c r="W231" s="13" t="b">
        <v>1</v>
      </c>
      <c r="X231" s="13" t="b">
        <v>1</v>
      </c>
      <c r="Y231" s="21" t="s">
        <v>101</v>
      </c>
      <c r="Z231" s="21" t="s">
        <v>1423</v>
      </c>
      <c r="AA231" s="21" t="s">
        <v>1424</v>
      </c>
      <c r="AB231" s="22"/>
      <c r="AC231" s="23"/>
      <c r="AD231" s="13"/>
      <c r="AE231" s="47" t="b">
        <v>1</v>
      </c>
      <c r="AF231" s="48">
        <v>45880</v>
      </c>
      <c r="AG231" s="26"/>
      <c r="AH231" s="27" t="b">
        <v>1</v>
      </c>
      <c r="AI231" s="28">
        <v>45979</v>
      </c>
      <c r="AJ231" s="29" t="s">
        <v>140</v>
      </c>
      <c r="AK231" s="39" t="b">
        <v>1</v>
      </c>
      <c r="AL231" s="40">
        <v>46010</v>
      </c>
      <c r="AM231" s="29" t="s">
        <v>1425</v>
      </c>
      <c r="AN231" s="29"/>
      <c r="AO231" s="13"/>
      <c r="AP231" s="12"/>
      <c r="AQ231" s="16"/>
      <c r="AR231" s="32"/>
      <c r="AS231" s="33"/>
      <c r="AT231" s="32"/>
      <c r="AU231" s="33"/>
      <c r="AV231" s="34"/>
      <c r="AW231" s="33"/>
      <c r="AX231" s="35" t="b">
        <v>1</v>
      </c>
      <c r="AY231" s="36">
        <f t="shared" ref="AY231:AY240" si="89">IF(MOD(H231,4)=0,H231/4,ROUNDUP(H231/4,0))</f>
        <v>16745938</v>
      </c>
      <c r="AZ231" s="37"/>
      <c r="BA231" s="38"/>
      <c r="BB231" s="37"/>
      <c r="BC231" s="38"/>
      <c r="BD231" s="37"/>
      <c r="BE231" s="38"/>
      <c r="BF231" s="37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38"/>
      <c r="BS231" s="38"/>
      <c r="BT231" s="37"/>
      <c r="BU231" s="37"/>
      <c r="BV231" s="37"/>
      <c r="BW231" s="37"/>
      <c r="BX231" s="42" t="b">
        <v>1</v>
      </c>
      <c r="BY231" s="41">
        <f>IF(MOD(H231,4)=0,H231/4,ROUNDDOWN(H231/4,0))</f>
        <v>16745937</v>
      </c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37" t="b">
        <v>1</v>
      </c>
      <c r="CU231" s="38">
        <f>IF(MOD(H231,4)=0,H231/4,ROUNDUP(H231/4,0))</f>
        <v>16745938</v>
      </c>
      <c r="CV231" s="38"/>
      <c r="CW231" s="38"/>
    </row>
    <row r="232" spans="1:101" ht="32.25" customHeight="1" x14ac:dyDescent="0.25">
      <c r="A232" s="12">
        <f t="shared" si="0"/>
        <v>231</v>
      </c>
      <c r="B232" s="13" t="s">
        <v>134</v>
      </c>
      <c r="C232" s="13" t="s">
        <v>1320</v>
      </c>
      <c r="D232" s="14" t="s">
        <v>1426</v>
      </c>
      <c r="E232" s="15" t="s">
        <v>1427</v>
      </c>
      <c r="F232" s="15" t="s">
        <v>1428</v>
      </c>
      <c r="G232" s="16">
        <v>65</v>
      </c>
      <c r="H232" s="17">
        <v>106193750</v>
      </c>
      <c r="I232" s="18"/>
      <c r="J232" s="18"/>
      <c r="K232" s="18"/>
      <c r="L232" s="18" t="s">
        <v>99</v>
      </c>
      <c r="M232" s="19">
        <v>17294</v>
      </c>
      <c r="N232" s="20" t="s">
        <v>100</v>
      </c>
      <c r="O232" s="13" t="b">
        <v>1</v>
      </c>
      <c r="P232" s="20" t="b">
        <v>1</v>
      </c>
      <c r="Q232" s="20" t="b">
        <v>1</v>
      </c>
      <c r="R232" s="13" t="b">
        <v>1</v>
      </c>
      <c r="S232" s="13" t="b">
        <v>1</v>
      </c>
      <c r="T232" s="13" t="b">
        <v>1</v>
      </c>
      <c r="U232" s="13" t="b">
        <v>1</v>
      </c>
      <c r="V232" s="13" t="b">
        <v>1</v>
      </c>
      <c r="W232" s="13" t="b">
        <v>1</v>
      </c>
      <c r="X232" s="13" t="b">
        <v>1</v>
      </c>
      <c r="Y232" s="21" t="s">
        <v>101</v>
      </c>
      <c r="Z232" s="21" t="s">
        <v>1429</v>
      </c>
      <c r="AA232" s="21" t="s">
        <v>1430</v>
      </c>
      <c r="AB232" s="22"/>
      <c r="AC232" s="23"/>
      <c r="AD232" s="13"/>
      <c r="AE232" s="47" t="b">
        <v>1</v>
      </c>
      <c r="AF232" s="48">
        <v>45880</v>
      </c>
      <c r="AG232" s="26"/>
      <c r="AH232" s="27" t="b">
        <v>1</v>
      </c>
      <c r="AI232" s="28">
        <v>45936</v>
      </c>
      <c r="AJ232" s="29" t="s">
        <v>1431</v>
      </c>
      <c r="AK232" s="27" t="b">
        <v>1</v>
      </c>
      <c r="AL232" s="40">
        <v>45979</v>
      </c>
      <c r="AM232" s="29" t="s">
        <v>1432</v>
      </c>
      <c r="AN232" s="29"/>
      <c r="AO232" s="13"/>
      <c r="AP232" s="12"/>
      <c r="AQ232" s="16"/>
      <c r="AR232" s="32"/>
      <c r="AS232" s="33"/>
      <c r="AT232" s="32"/>
      <c r="AU232" s="33"/>
      <c r="AV232" s="34"/>
      <c r="AW232" s="33"/>
      <c r="AX232" s="35" t="b">
        <v>1</v>
      </c>
      <c r="AY232" s="36">
        <f t="shared" si="89"/>
        <v>26548438</v>
      </c>
      <c r="AZ232" s="37"/>
      <c r="BA232" s="38"/>
      <c r="BB232" s="37"/>
      <c r="BC232" s="38"/>
      <c r="BD232" s="37"/>
      <c r="BE232" s="38"/>
      <c r="BF232" s="37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  <c r="BQ232" s="38"/>
      <c r="BR232" s="38"/>
      <c r="BS232" s="38"/>
      <c r="BT232" s="35" t="b">
        <v>1</v>
      </c>
      <c r="BU232" s="36">
        <f t="shared" ref="BU232:BU235" si="90">IF(MOD(H232,4)=0,H232/4,ROUNDDOWN(H232/4,0))</f>
        <v>26548437</v>
      </c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5" t="b">
        <v>1</v>
      </c>
      <c r="CK232" s="36">
        <f t="shared" ref="CK232:CK234" si="91">IF(MOD(H232,4)=0,H232/4,ROUNDUP(H232/4,0))</f>
        <v>26548438</v>
      </c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</row>
    <row r="233" spans="1:101" ht="32.25" customHeight="1" x14ac:dyDescent="0.25">
      <c r="A233" s="12">
        <f t="shared" si="0"/>
        <v>232</v>
      </c>
      <c r="B233" s="13" t="s">
        <v>134</v>
      </c>
      <c r="C233" s="13" t="s">
        <v>1320</v>
      </c>
      <c r="D233" s="14" t="s">
        <v>1433</v>
      </c>
      <c r="E233" s="15" t="s">
        <v>1434</v>
      </c>
      <c r="F233" s="15" t="s">
        <v>1435</v>
      </c>
      <c r="G233" s="16">
        <v>47</v>
      </c>
      <c r="H233" s="17">
        <v>76786250</v>
      </c>
      <c r="I233" s="18"/>
      <c r="J233" s="18"/>
      <c r="K233" s="18"/>
      <c r="L233" s="18" t="s">
        <v>99</v>
      </c>
      <c r="M233" s="19">
        <v>17295</v>
      </c>
      <c r="N233" s="20" t="s">
        <v>100</v>
      </c>
      <c r="O233" s="13" t="b">
        <v>1</v>
      </c>
      <c r="P233" s="20" t="b">
        <v>1</v>
      </c>
      <c r="Q233" s="20" t="b">
        <v>1</v>
      </c>
      <c r="R233" s="13" t="b">
        <v>1</v>
      </c>
      <c r="S233" s="13" t="b">
        <v>1</v>
      </c>
      <c r="T233" s="13" t="b">
        <v>1</v>
      </c>
      <c r="U233" s="13" t="b">
        <v>1</v>
      </c>
      <c r="V233" s="13" t="b">
        <v>1</v>
      </c>
      <c r="W233" s="13" t="b">
        <v>1</v>
      </c>
      <c r="X233" s="13" t="b">
        <v>1</v>
      </c>
      <c r="Y233" s="21" t="s">
        <v>101</v>
      </c>
      <c r="Z233" s="21" t="s">
        <v>1436</v>
      </c>
      <c r="AA233" s="21" t="s">
        <v>1437</v>
      </c>
      <c r="AB233" s="22"/>
      <c r="AC233" s="23"/>
      <c r="AD233" s="13"/>
      <c r="AE233" s="47" t="b">
        <v>1</v>
      </c>
      <c r="AF233" s="48">
        <v>45880</v>
      </c>
      <c r="AG233" s="26" t="s">
        <v>1438</v>
      </c>
      <c r="AH233" s="27" t="b">
        <v>1</v>
      </c>
      <c r="AI233" s="28">
        <v>45929</v>
      </c>
      <c r="AJ233" s="29" t="s">
        <v>695</v>
      </c>
      <c r="AK233" s="27" t="b">
        <v>1</v>
      </c>
      <c r="AL233" s="40">
        <v>45979</v>
      </c>
      <c r="AM233" s="29" t="s">
        <v>1439</v>
      </c>
      <c r="AN233" s="29"/>
      <c r="AO233" s="13"/>
      <c r="AP233" s="12"/>
      <c r="AQ233" s="16"/>
      <c r="AR233" s="32"/>
      <c r="AS233" s="33"/>
      <c r="AT233" s="32"/>
      <c r="AU233" s="33"/>
      <c r="AV233" s="34"/>
      <c r="AW233" s="33"/>
      <c r="AX233" s="35" t="b">
        <v>1</v>
      </c>
      <c r="AY233" s="36">
        <f t="shared" si="89"/>
        <v>19196563</v>
      </c>
      <c r="AZ233" s="37"/>
      <c r="BA233" s="38"/>
      <c r="BB233" s="37"/>
      <c r="BC233" s="38"/>
      <c r="BD233" s="37"/>
      <c r="BE233" s="38"/>
      <c r="BF233" s="37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5" t="b">
        <v>1</v>
      </c>
      <c r="BU233" s="36">
        <f t="shared" si="90"/>
        <v>19196562</v>
      </c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5" t="b">
        <v>1</v>
      </c>
      <c r="CK233" s="36">
        <f t="shared" si="91"/>
        <v>19196563</v>
      </c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</row>
    <row r="234" spans="1:101" ht="32.25" customHeight="1" x14ac:dyDescent="0.25">
      <c r="A234" s="12">
        <f t="shared" si="0"/>
        <v>233</v>
      </c>
      <c r="B234" s="13" t="s">
        <v>134</v>
      </c>
      <c r="C234" s="13" t="s">
        <v>1320</v>
      </c>
      <c r="D234" s="14" t="s">
        <v>1440</v>
      </c>
      <c r="E234" s="15" t="s">
        <v>1441</v>
      </c>
      <c r="F234" s="15" t="s">
        <v>1442</v>
      </c>
      <c r="G234" s="16">
        <v>197</v>
      </c>
      <c r="H234" s="17">
        <v>321848750</v>
      </c>
      <c r="I234" s="18"/>
      <c r="J234" s="18"/>
      <c r="K234" s="18"/>
      <c r="L234" s="18" t="s">
        <v>99</v>
      </c>
      <c r="M234" s="19">
        <v>17296</v>
      </c>
      <c r="N234" s="20" t="s">
        <v>100</v>
      </c>
      <c r="O234" s="13" t="b">
        <v>1</v>
      </c>
      <c r="P234" s="20" t="b">
        <v>1</v>
      </c>
      <c r="Q234" s="20" t="b">
        <v>1</v>
      </c>
      <c r="R234" s="13" t="b">
        <v>1</v>
      </c>
      <c r="S234" s="13" t="b">
        <v>1</v>
      </c>
      <c r="T234" s="13" t="b">
        <v>1</v>
      </c>
      <c r="U234" s="13" t="b">
        <v>1</v>
      </c>
      <c r="V234" s="13" t="b">
        <v>1</v>
      </c>
      <c r="W234" s="13" t="b">
        <v>1</v>
      </c>
      <c r="X234" s="13" t="b">
        <v>1</v>
      </c>
      <c r="Y234" s="21" t="s">
        <v>101</v>
      </c>
      <c r="Z234" s="21" t="s">
        <v>1443</v>
      </c>
      <c r="AA234" s="21" t="s">
        <v>1444</v>
      </c>
      <c r="AB234" s="22"/>
      <c r="AC234" s="23"/>
      <c r="AD234" s="13"/>
      <c r="AE234" s="47" t="b">
        <v>1</v>
      </c>
      <c r="AF234" s="48">
        <v>45880</v>
      </c>
      <c r="AG234" s="26"/>
      <c r="AH234" s="39" t="b">
        <v>1</v>
      </c>
      <c r="AI234" s="28">
        <v>45915</v>
      </c>
      <c r="AJ234" s="29" t="s">
        <v>1445</v>
      </c>
      <c r="AK234" s="27" t="b">
        <v>1</v>
      </c>
      <c r="AL234" s="40">
        <v>45979</v>
      </c>
      <c r="AM234" s="29" t="s">
        <v>1446</v>
      </c>
      <c r="AN234" s="29"/>
      <c r="AO234" s="13"/>
      <c r="AP234" s="12"/>
      <c r="AQ234" s="16"/>
      <c r="AR234" s="32"/>
      <c r="AS234" s="33"/>
      <c r="AT234" s="32"/>
      <c r="AU234" s="33"/>
      <c r="AV234" s="34"/>
      <c r="AW234" s="33"/>
      <c r="AX234" s="35" t="b">
        <v>1</v>
      </c>
      <c r="AY234" s="36">
        <f t="shared" si="89"/>
        <v>80462188</v>
      </c>
      <c r="AZ234" s="37"/>
      <c r="BA234" s="38"/>
      <c r="BB234" s="37"/>
      <c r="BC234" s="38"/>
      <c r="BD234" s="37"/>
      <c r="BE234" s="38"/>
      <c r="BF234" s="37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  <c r="BQ234" s="38"/>
      <c r="BR234" s="38"/>
      <c r="BS234" s="38"/>
      <c r="BT234" s="35" t="b">
        <v>1</v>
      </c>
      <c r="BU234" s="36">
        <f t="shared" si="90"/>
        <v>80462187</v>
      </c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5" t="b">
        <v>1</v>
      </c>
      <c r="CK234" s="36">
        <f t="shared" si="91"/>
        <v>80462188</v>
      </c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</row>
    <row r="235" spans="1:101" ht="32.25" customHeight="1" x14ac:dyDescent="0.25">
      <c r="A235" s="12">
        <f t="shared" si="0"/>
        <v>234</v>
      </c>
      <c r="B235" s="13" t="s">
        <v>251</v>
      </c>
      <c r="C235" s="13" t="s">
        <v>1320</v>
      </c>
      <c r="D235" s="14" t="s">
        <v>1447</v>
      </c>
      <c r="E235" s="15" t="s">
        <v>1448</v>
      </c>
      <c r="F235" s="15" t="s">
        <v>1449</v>
      </c>
      <c r="G235" s="16">
        <v>28</v>
      </c>
      <c r="H235" s="17">
        <v>54768000</v>
      </c>
      <c r="I235" s="18"/>
      <c r="J235" s="18"/>
      <c r="K235" s="18"/>
      <c r="L235" s="18" t="s">
        <v>99</v>
      </c>
      <c r="M235" s="19">
        <v>17297</v>
      </c>
      <c r="N235" s="20" t="s">
        <v>100</v>
      </c>
      <c r="O235" s="13" t="b">
        <v>1</v>
      </c>
      <c r="P235" s="20" t="b">
        <v>1</v>
      </c>
      <c r="Q235" s="20" t="b">
        <v>1</v>
      </c>
      <c r="R235" s="13" t="b">
        <v>1</v>
      </c>
      <c r="S235" s="13" t="b">
        <v>1</v>
      </c>
      <c r="T235" s="13" t="b">
        <v>1</v>
      </c>
      <c r="U235" s="13" t="b">
        <v>1</v>
      </c>
      <c r="V235" s="13" t="b">
        <v>1</v>
      </c>
      <c r="W235" s="13" t="b">
        <v>1</v>
      </c>
      <c r="X235" s="13" t="b">
        <v>1</v>
      </c>
      <c r="Y235" s="21" t="s">
        <v>443</v>
      </c>
      <c r="Z235" s="21" t="s">
        <v>1450</v>
      </c>
      <c r="AA235" s="21" t="s">
        <v>1451</v>
      </c>
      <c r="AB235" s="22"/>
      <c r="AC235" s="23"/>
      <c r="AD235" s="13"/>
      <c r="AE235" s="47" t="b">
        <v>1</v>
      </c>
      <c r="AF235" s="48">
        <v>45875</v>
      </c>
      <c r="AG235" s="55" t="s">
        <v>425</v>
      </c>
      <c r="AH235" s="27" t="b">
        <v>1</v>
      </c>
      <c r="AI235" s="48">
        <v>45915</v>
      </c>
      <c r="AJ235" s="29" t="s">
        <v>1452</v>
      </c>
      <c r="AK235" s="39" t="b">
        <v>1</v>
      </c>
      <c r="AL235" s="40">
        <v>45996</v>
      </c>
      <c r="AM235" s="29" t="s">
        <v>1453</v>
      </c>
      <c r="AN235" s="29"/>
      <c r="AO235" s="13"/>
      <c r="AP235" s="12"/>
      <c r="AQ235" s="16"/>
      <c r="AR235" s="32"/>
      <c r="AS235" s="33"/>
      <c r="AT235" s="32"/>
      <c r="AU235" s="33"/>
      <c r="AV235" s="34"/>
      <c r="AW235" s="33"/>
      <c r="AX235" s="35" t="b">
        <v>1</v>
      </c>
      <c r="AY235" s="36">
        <f t="shared" si="89"/>
        <v>13692000</v>
      </c>
      <c r="AZ235" s="37"/>
      <c r="BA235" s="38"/>
      <c r="BB235" s="37"/>
      <c r="BC235" s="38"/>
      <c r="BD235" s="37"/>
      <c r="BE235" s="38"/>
      <c r="BF235" s="37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  <c r="BT235" s="35" t="b">
        <v>1</v>
      </c>
      <c r="BU235" s="36">
        <f t="shared" si="90"/>
        <v>13692000</v>
      </c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5" t="b">
        <v>1</v>
      </c>
      <c r="CQ235" s="41">
        <f>IF(MOD(H235,4)=0,H235/4,ROUNDUP(H235/4,0))</f>
        <v>13692000</v>
      </c>
      <c r="CR235" s="41"/>
      <c r="CS235" s="41"/>
      <c r="CT235" s="41"/>
      <c r="CU235" s="41"/>
      <c r="CV235" s="41"/>
      <c r="CW235" s="41"/>
    </row>
    <row r="236" spans="1:101" ht="32.25" customHeight="1" x14ac:dyDescent="0.25">
      <c r="A236" s="12">
        <f t="shared" si="0"/>
        <v>235</v>
      </c>
      <c r="B236" s="13" t="s">
        <v>251</v>
      </c>
      <c r="C236" s="13" t="s">
        <v>1320</v>
      </c>
      <c r="D236" s="14" t="s">
        <v>1454</v>
      </c>
      <c r="E236" s="15" t="s">
        <v>1455</v>
      </c>
      <c r="F236" s="15" t="s">
        <v>1456</v>
      </c>
      <c r="G236" s="16">
        <v>144</v>
      </c>
      <c r="H236" s="17">
        <v>281664000</v>
      </c>
      <c r="I236" s="18"/>
      <c r="J236" s="18"/>
      <c r="K236" s="18"/>
      <c r="L236" s="18" t="s">
        <v>99</v>
      </c>
      <c r="M236" s="19">
        <v>17298</v>
      </c>
      <c r="N236" s="20" t="s">
        <v>100</v>
      </c>
      <c r="O236" s="13" t="b">
        <v>1</v>
      </c>
      <c r="P236" s="20" t="b">
        <v>1</v>
      </c>
      <c r="Q236" s="20" t="b">
        <v>1</v>
      </c>
      <c r="R236" s="13" t="b">
        <v>1</v>
      </c>
      <c r="S236" s="13" t="b">
        <v>1</v>
      </c>
      <c r="T236" s="13" t="b">
        <v>1</v>
      </c>
      <c r="U236" s="13" t="b">
        <v>1</v>
      </c>
      <c r="V236" s="13" t="b">
        <v>1</v>
      </c>
      <c r="W236" s="13" t="b">
        <v>1</v>
      </c>
      <c r="X236" s="13" t="b">
        <v>1</v>
      </c>
      <c r="Y236" s="21" t="s">
        <v>443</v>
      </c>
      <c r="Z236" s="21" t="s">
        <v>1457</v>
      </c>
      <c r="AA236" s="21" t="s">
        <v>1458</v>
      </c>
      <c r="AB236" s="22"/>
      <c r="AC236" s="23"/>
      <c r="AD236" s="13"/>
      <c r="AE236" s="47" t="b">
        <v>1</v>
      </c>
      <c r="AF236" s="48">
        <v>45873</v>
      </c>
      <c r="AG236" s="49" t="s">
        <v>1459</v>
      </c>
      <c r="AH236" s="27" t="b">
        <v>1</v>
      </c>
      <c r="AI236" s="28">
        <v>45946</v>
      </c>
      <c r="AJ236" s="49" t="s">
        <v>1460</v>
      </c>
      <c r="AK236" s="39" t="b">
        <v>1</v>
      </c>
      <c r="AL236" s="40">
        <v>46002</v>
      </c>
      <c r="AM236" s="29" t="s">
        <v>1461</v>
      </c>
      <c r="AN236" s="29"/>
      <c r="AO236" s="13"/>
      <c r="AP236" s="12"/>
      <c r="AQ236" s="16"/>
      <c r="AR236" s="32"/>
      <c r="AS236" s="33"/>
      <c r="AT236" s="32"/>
      <c r="AU236" s="33"/>
      <c r="AV236" s="34"/>
      <c r="AW236" s="33"/>
      <c r="AX236" s="35" t="b">
        <v>1</v>
      </c>
      <c r="AY236" s="36">
        <f t="shared" si="89"/>
        <v>70416000</v>
      </c>
      <c r="AZ236" s="37"/>
      <c r="BA236" s="38"/>
      <c r="BB236" s="37"/>
      <c r="BC236" s="38"/>
      <c r="BD236" s="37"/>
      <c r="BE236" s="38"/>
      <c r="BF236" s="37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  <c r="BQ236" s="38"/>
      <c r="BR236" s="38"/>
      <c r="BS236" s="38"/>
      <c r="BT236" s="37"/>
      <c r="BU236" s="37"/>
      <c r="BV236" s="35" t="b">
        <v>1</v>
      </c>
      <c r="BW236" s="41">
        <f>IF(MOD(H236,4)=0,H236/4,ROUNDDOWN(H236/4,0))</f>
        <v>70416000</v>
      </c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12" t="b">
        <v>1</v>
      </c>
      <c r="CS236" s="36">
        <f>IF(MOD(H236,4)=0,H236/4,ROUNDUP(H236/4,0))</f>
        <v>70416000</v>
      </c>
      <c r="CT236" s="36"/>
      <c r="CU236" s="36"/>
      <c r="CV236" s="36"/>
      <c r="CW236" s="36"/>
    </row>
    <row r="237" spans="1:101" ht="32.25" customHeight="1" x14ac:dyDescent="0.25">
      <c r="A237" s="12">
        <f t="shared" si="0"/>
        <v>236</v>
      </c>
      <c r="B237" s="13" t="s">
        <v>251</v>
      </c>
      <c r="C237" s="13" t="s">
        <v>1320</v>
      </c>
      <c r="D237" s="14" t="s">
        <v>1462</v>
      </c>
      <c r="E237" s="15" t="s">
        <v>1463</v>
      </c>
      <c r="F237" s="15" t="s">
        <v>1464</v>
      </c>
      <c r="G237" s="16">
        <v>164</v>
      </c>
      <c r="H237" s="17">
        <v>320784000</v>
      </c>
      <c r="I237" s="18"/>
      <c r="J237" s="18"/>
      <c r="K237" s="18"/>
      <c r="L237" s="18" t="s">
        <v>99</v>
      </c>
      <c r="M237" s="19">
        <v>17299</v>
      </c>
      <c r="N237" s="20" t="s">
        <v>100</v>
      </c>
      <c r="O237" s="13" t="b">
        <v>1</v>
      </c>
      <c r="P237" s="20" t="b">
        <v>1</v>
      </c>
      <c r="Q237" s="20" t="b">
        <v>1</v>
      </c>
      <c r="R237" s="13" t="b">
        <v>1</v>
      </c>
      <c r="S237" s="13" t="b">
        <v>1</v>
      </c>
      <c r="T237" s="13" t="b">
        <v>1</v>
      </c>
      <c r="U237" s="13" t="b">
        <v>1</v>
      </c>
      <c r="V237" s="13" t="b">
        <v>1</v>
      </c>
      <c r="W237" s="13" t="b">
        <v>1</v>
      </c>
      <c r="X237" s="13" t="b">
        <v>1</v>
      </c>
      <c r="Y237" s="21" t="s">
        <v>443</v>
      </c>
      <c r="Z237" s="21" t="s">
        <v>1465</v>
      </c>
      <c r="AA237" s="21" t="s">
        <v>1466</v>
      </c>
      <c r="AB237" s="22"/>
      <c r="AC237" s="23"/>
      <c r="AD237" s="13" t="s">
        <v>1467</v>
      </c>
      <c r="AE237" s="13" t="b">
        <v>1</v>
      </c>
      <c r="AF237" s="48">
        <v>45870</v>
      </c>
      <c r="AG237" s="26"/>
      <c r="AH237" s="27" t="b">
        <v>1</v>
      </c>
      <c r="AI237" s="28">
        <v>45938</v>
      </c>
      <c r="AJ237" s="29" t="s">
        <v>1468</v>
      </c>
      <c r="AK237" s="39" t="b">
        <v>1</v>
      </c>
      <c r="AL237" s="40">
        <v>45996</v>
      </c>
      <c r="AM237" s="29" t="s">
        <v>1468</v>
      </c>
      <c r="AN237" s="29"/>
      <c r="AO237" s="13"/>
      <c r="AP237" s="12"/>
      <c r="AQ237" s="16"/>
      <c r="AR237" s="32"/>
      <c r="AS237" s="33"/>
      <c r="AT237" s="32"/>
      <c r="AU237" s="33"/>
      <c r="AV237" s="34"/>
      <c r="AW237" s="33"/>
      <c r="AX237" s="35" t="b">
        <v>1</v>
      </c>
      <c r="AY237" s="36">
        <f t="shared" si="89"/>
        <v>80196000</v>
      </c>
      <c r="AZ237" s="37"/>
      <c r="BA237" s="38"/>
      <c r="BB237" s="37"/>
      <c r="BC237" s="38"/>
      <c r="BD237" s="37"/>
      <c r="BE237" s="38"/>
      <c r="BF237" s="37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38"/>
      <c r="BS237" s="38"/>
      <c r="BT237" s="35" t="b">
        <v>1</v>
      </c>
      <c r="BU237" s="36">
        <f t="shared" ref="BU237:BU240" si="92">IF(MOD(H237,4)=0,H237/4,ROUNDDOWN(H237/4,0))</f>
        <v>80196000</v>
      </c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5" t="b">
        <v>1</v>
      </c>
      <c r="CQ237" s="41">
        <f>IF(MOD(H237,4)=0,H237/4,ROUNDUP(H237/4,0))</f>
        <v>80196000</v>
      </c>
      <c r="CR237" s="41"/>
      <c r="CS237" s="41"/>
      <c r="CT237" s="41"/>
      <c r="CU237" s="41"/>
      <c r="CV237" s="41"/>
      <c r="CW237" s="41"/>
    </row>
    <row r="238" spans="1:101" ht="32.25" customHeight="1" x14ac:dyDescent="0.25">
      <c r="A238" s="12">
        <f t="shared" si="0"/>
        <v>237</v>
      </c>
      <c r="B238" s="13" t="s">
        <v>251</v>
      </c>
      <c r="C238" s="13" t="s">
        <v>1320</v>
      </c>
      <c r="D238" s="14" t="s">
        <v>1469</v>
      </c>
      <c r="E238" s="15" t="s">
        <v>1470</v>
      </c>
      <c r="F238" s="15" t="s">
        <v>1471</v>
      </c>
      <c r="G238" s="16">
        <v>672</v>
      </c>
      <c r="H238" s="17">
        <v>1314432000</v>
      </c>
      <c r="I238" s="18"/>
      <c r="J238" s="18"/>
      <c r="K238" s="18"/>
      <c r="L238" s="18" t="s">
        <v>99</v>
      </c>
      <c r="M238" s="19">
        <v>17300</v>
      </c>
      <c r="N238" s="20" t="s">
        <v>100</v>
      </c>
      <c r="O238" s="13" t="b">
        <v>1</v>
      </c>
      <c r="P238" s="20" t="b">
        <v>1</v>
      </c>
      <c r="Q238" s="20" t="b">
        <v>1</v>
      </c>
      <c r="R238" s="13" t="b">
        <v>1</v>
      </c>
      <c r="S238" s="13" t="b">
        <v>1</v>
      </c>
      <c r="T238" s="13" t="b">
        <v>1</v>
      </c>
      <c r="U238" s="13" t="b">
        <v>1</v>
      </c>
      <c r="V238" s="13" t="b">
        <v>1</v>
      </c>
      <c r="W238" s="13" t="b">
        <v>1</v>
      </c>
      <c r="X238" s="13" t="b">
        <v>1</v>
      </c>
      <c r="Y238" s="21" t="s">
        <v>101</v>
      </c>
      <c r="Z238" s="21" t="s">
        <v>1472</v>
      </c>
      <c r="AA238" s="21" t="s">
        <v>1473</v>
      </c>
      <c r="AB238" s="22"/>
      <c r="AC238" s="23"/>
      <c r="AD238" s="13"/>
      <c r="AE238" s="13" t="b">
        <v>1</v>
      </c>
      <c r="AF238" s="48">
        <v>45873</v>
      </c>
      <c r="AG238" s="26"/>
      <c r="AH238" s="27" t="b">
        <v>1</v>
      </c>
      <c r="AI238" s="48">
        <v>45915</v>
      </c>
      <c r="AJ238" s="29" t="s">
        <v>104</v>
      </c>
      <c r="AK238" s="27" t="b">
        <v>1</v>
      </c>
      <c r="AL238" s="40">
        <v>45993</v>
      </c>
      <c r="AM238" s="29" t="s">
        <v>104</v>
      </c>
      <c r="AN238" s="29"/>
      <c r="AO238" s="13"/>
      <c r="AP238" s="12"/>
      <c r="AQ238" s="16"/>
      <c r="AR238" s="32"/>
      <c r="AS238" s="33"/>
      <c r="AT238" s="32"/>
      <c r="AU238" s="33"/>
      <c r="AV238" s="34"/>
      <c r="AW238" s="33"/>
      <c r="AX238" s="35" t="b">
        <v>1</v>
      </c>
      <c r="AY238" s="36">
        <f t="shared" si="89"/>
        <v>328608000</v>
      </c>
      <c r="AZ238" s="37"/>
      <c r="BA238" s="38"/>
      <c r="BB238" s="37"/>
      <c r="BC238" s="38"/>
      <c r="BD238" s="37"/>
      <c r="BE238" s="38"/>
      <c r="BF238" s="37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  <c r="BS238" s="38"/>
      <c r="BT238" s="35" t="b">
        <v>1</v>
      </c>
      <c r="BU238" s="36">
        <f t="shared" si="92"/>
        <v>328608000</v>
      </c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5" t="b">
        <v>1</v>
      </c>
      <c r="CO238" s="36">
        <f>IF(MOD(H238,4)=0,H238/4,ROUNDUP(H238/4,0))</f>
        <v>328608000</v>
      </c>
      <c r="CP238" s="36"/>
      <c r="CQ238" s="36"/>
      <c r="CR238" s="36"/>
      <c r="CS238" s="36"/>
      <c r="CT238" s="36"/>
      <c r="CU238" s="36"/>
      <c r="CV238" s="36"/>
      <c r="CW238" s="36"/>
    </row>
    <row r="239" spans="1:101" ht="32.25" customHeight="1" x14ac:dyDescent="0.25">
      <c r="A239" s="12">
        <f t="shared" si="0"/>
        <v>238</v>
      </c>
      <c r="B239" s="13" t="s">
        <v>251</v>
      </c>
      <c r="C239" s="13" t="s">
        <v>1320</v>
      </c>
      <c r="D239" s="14" t="s">
        <v>1474</v>
      </c>
      <c r="E239" s="15" t="s">
        <v>1475</v>
      </c>
      <c r="F239" s="15" t="s">
        <v>1476</v>
      </c>
      <c r="G239" s="16">
        <v>140</v>
      </c>
      <c r="H239" s="17">
        <v>273840000</v>
      </c>
      <c r="I239" s="18"/>
      <c r="J239" s="18"/>
      <c r="K239" s="18"/>
      <c r="L239" s="18" t="s">
        <v>99</v>
      </c>
      <c r="M239" s="19">
        <v>17301</v>
      </c>
      <c r="N239" s="20" t="s">
        <v>100</v>
      </c>
      <c r="O239" s="13" t="b">
        <v>1</v>
      </c>
      <c r="P239" s="20" t="b">
        <v>1</v>
      </c>
      <c r="Q239" s="20" t="b">
        <v>1</v>
      </c>
      <c r="R239" s="13" t="b">
        <v>1</v>
      </c>
      <c r="S239" s="13" t="b">
        <v>1</v>
      </c>
      <c r="T239" s="13" t="b">
        <v>1</v>
      </c>
      <c r="U239" s="13" t="b">
        <v>1</v>
      </c>
      <c r="V239" s="13" t="b">
        <v>1</v>
      </c>
      <c r="W239" s="13" t="b">
        <v>1</v>
      </c>
      <c r="X239" s="13" t="b">
        <v>0</v>
      </c>
      <c r="Y239" s="21" t="s">
        <v>101</v>
      </c>
      <c r="Z239" s="21" t="s">
        <v>1477</v>
      </c>
      <c r="AA239" s="21" t="s">
        <v>1478</v>
      </c>
      <c r="AB239" s="22"/>
      <c r="AC239" s="23"/>
      <c r="AD239" s="13"/>
      <c r="AE239" s="47" t="b">
        <v>1</v>
      </c>
      <c r="AF239" s="48">
        <v>45880</v>
      </c>
      <c r="AG239" s="26"/>
      <c r="AH239" s="27" t="b">
        <v>1</v>
      </c>
      <c r="AI239" s="28">
        <v>45915</v>
      </c>
      <c r="AJ239" s="29" t="s">
        <v>1281</v>
      </c>
      <c r="AK239" s="27" t="b">
        <v>1</v>
      </c>
      <c r="AL239" s="40">
        <v>45987</v>
      </c>
      <c r="AM239" s="29" t="s">
        <v>1479</v>
      </c>
      <c r="AN239" s="29"/>
      <c r="AO239" s="13"/>
      <c r="AP239" s="12"/>
      <c r="AQ239" s="16"/>
      <c r="AR239" s="32"/>
      <c r="AS239" s="33"/>
      <c r="AT239" s="32"/>
      <c r="AU239" s="33"/>
      <c r="AV239" s="34"/>
      <c r="AW239" s="33"/>
      <c r="AX239" s="35" t="b">
        <v>1</v>
      </c>
      <c r="AY239" s="36">
        <f t="shared" si="89"/>
        <v>68460000</v>
      </c>
      <c r="AZ239" s="37"/>
      <c r="BA239" s="38"/>
      <c r="BB239" s="37"/>
      <c r="BC239" s="38"/>
      <c r="BD239" s="37"/>
      <c r="BE239" s="38"/>
      <c r="BF239" s="37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38"/>
      <c r="BS239" s="38"/>
      <c r="BT239" s="35" t="b">
        <v>1</v>
      </c>
      <c r="BU239" s="36">
        <f t="shared" si="92"/>
        <v>68460000</v>
      </c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5" t="b">
        <v>1</v>
      </c>
      <c r="CM239" s="41">
        <f>IF(MOD(H239,4)=0,H239/4,ROUNDUP(H239/4,0))</f>
        <v>68460000</v>
      </c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</row>
    <row r="240" spans="1:101" ht="32.25" customHeight="1" x14ac:dyDescent="0.25">
      <c r="A240" s="12">
        <f t="shared" si="0"/>
        <v>239</v>
      </c>
      <c r="B240" s="13" t="s">
        <v>251</v>
      </c>
      <c r="C240" s="13" t="s">
        <v>1320</v>
      </c>
      <c r="D240" s="14" t="s">
        <v>1480</v>
      </c>
      <c r="E240" s="15" t="s">
        <v>1481</v>
      </c>
      <c r="F240" s="15" t="s">
        <v>1482</v>
      </c>
      <c r="G240" s="16">
        <v>239</v>
      </c>
      <c r="H240" s="17">
        <v>467484000</v>
      </c>
      <c r="I240" s="18"/>
      <c r="J240" s="18"/>
      <c r="K240" s="18"/>
      <c r="L240" s="18" t="s">
        <v>99</v>
      </c>
      <c r="M240" s="19">
        <v>17302</v>
      </c>
      <c r="N240" s="20" t="s">
        <v>100</v>
      </c>
      <c r="O240" s="13" t="b">
        <v>1</v>
      </c>
      <c r="P240" s="20" t="b">
        <v>1</v>
      </c>
      <c r="Q240" s="20" t="b">
        <v>1</v>
      </c>
      <c r="R240" s="13" t="b">
        <v>1</v>
      </c>
      <c r="S240" s="13" t="b">
        <v>1</v>
      </c>
      <c r="T240" s="13" t="b">
        <v>1</v>
      </c>
      <c r="U240" s="13" t="b">
        <v>1</v>
      </c>
      <c r="V240" s="13" t="b">
        <v>1</v>
      </c>
      <c r="W240" s="13" t="b">
        <v>1</v>
      </c>
      <c r="X240" s="13" t="b">
        <v>1</v>
      </c>
      <c r="Y240" s="21" t="s">
        <v>443</v>
      </c>
      <c r="Z240" s="21" t="s">
        <v>1483</v>
      </c>
      <c r="AA240" s="21" t="s">
        <v>1481</v>
      </c>
      <c r="AB240" s="22"/>
      <c r="AC240" s="23"/>
      <c r="AD240" s="13"/>
      <c r="AE240" s="47" t="b">
        <v>1</v>
      </c>
      <c r="AF240" s="48">
        <v>45880</v>
      </c>
      <c r="AG240" s="26"/>
      <c r="AH240" s="27" t="b">
        <v>1</v>
      </c>
      <c r="AI240" s="28">
        <v>45929</v>
      </c>
      <c r="AJ240" s="29" t="s">
        <v>1484</v>
      </c>
      <c r="AK240" s="27" t="b">
        <v>1</v>
      </c>
      <c r="AL240" s="40">
        <v>45985</v>
      </c>
      <c r="AM240" s="29" t="s">
        <v>104</v>
      </c>
      <c r="AN240" s="29"/>
      <c r="AO240" s="13"/>
      <c r="AP240" s="12"/>
      <c r="AQ240" s="16"/>
      <c r="AR240" s="32"/>
      <c r="AS240" s="33"/>
      <c r="AT240" s="32"/>
      <c r="AU240" s="33"/>
      <c r="AV240" s="34"/>
      <c r="AW240" s="33"/>
      <c r="AX240" s="35" t="b">
        <v>1</v>
      </c>
      <c r="AY240" s="36">
        <f t="shared" si="89"/>
        <v>116871000</v>
      </c>
      <c r="AZ240" s="37"/>
      <c r="BA240" s="38"/>
      <c r="BB240" s="37"/>
      <c r="BC240" s="38"/>
      <c r="BD240" s="37"/>
      <c r="BE240" s="38"/>
      <c r="BF240" s="37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38"/>
      <c r="BS240" s="38"/>
      <c r="BT240" s="35" t="b">
        <v>1</v>
      </c>
      <c r="BU240" s="36">
        <f t="shared" si="92"/>
        <v>116871000</v>
      </c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5" t="b">
        <v>1</v>
      </c>
      <c r="CK240" s="36">
        <f>IF(MOD(H240,4)=0,H240/4,ROUNDUP(H240/4,0))</f>
        <v>116871000</v>
      </c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</row>
    <row r="241" spans="1:101" ht="32.25" customHeight="1" x14ac:dyDescent="0.25">
      <c r="A241" s="12">
        <f t="shared" si="0"/>
        <v>240</v>
      </c>
      <c r="B241" s="13" t="s">
        <v>94</v>
      </c>
      <c r="C241" s="13" t="s">
        <v>1485</v>
      </c>
      <c r="D241" s="14" t="s">
        <v>1486</v>
      </c>
      <c r="E241" s="15" t="s">
        <v>1487</v>
      </c>
      <c r="F241" s="15" t="s">
        <v>1488</v>
      </c>
      <c r="G241" s="16">
        <v>329</v>
      </c>
      <c r="H241" s="17">
        <v>547373750</v>
      </c>
      <c r="I241" s="18"/>
      <c r="J241" s="18"/>
      <c r="K241" s="18"/>
      <c r="L241" s="18" t="s">
        <v>99</v>
      </c>
      <c r="M241" s="19">
        <v>17303</v>
      </c>
      <c r="N241" s="20" t="s">
        <v>100</v>
      </c>
      <c r="O241" s="13" t="b">
        <v>1</v>
      </c>
      <c r="P241" s="20" t="b">
        <v>1</v>
      </c>
      <c r="Q241" s="20" t="b">
        <v>1</v>
      </c>
      <c r="R241" s="13" t="b">
        <v>1</v>
      </c>
      <c r="S241" s="13" t="b">
        <v>1</v>
      </c>
      <c r="T241" s="13" t="b">
        <v>1</v>
      </c>
      <c r="U241" s="13" t="b">
        <v>1</v>
      </c>
      <c r="V241" s="13" t="b">
        <v>1</v>
      </c>
      <c r="W241" s="13" t="b">
        <v>1</v>
      </c>
      <c r="X241" s="13" t="b">
        <v>0</v>
      </c>
      <c r="Y241" s="21" t="s">
        <v>101</v>
      </c>
      <c r="Z241" s="21" t="s">
        <v>1489</v>
      </c>
      <c r="AA241" s="21" t="s">
        <v>1487</v>
      </c>
      <c r="AB241" s="22"/>
      <c r="AC241" s="23"/>
      <c r="AD241" s="13"/>
      <c r="AE241" s="47" t="b">
        <v>1</v>
      </c>
      <c r="AF241" s="48">
        <v>45904</v>
      </c>
      <c r="AG241" s="55" t="s">
        <v>1490</v>
      </c>
      <c r="AH241" s="27" t="b">
        <v>1</v>
      </c>
      <c r="AI241" s="48">
        <v>45978</v>
      </c>
      <c r="AJ241" s="39" t="s">
        <v>625</v>
      </c>
      <c r="AK241" s="39" t="b">
        <v>0</v>
      </c>
      <c r="AL241" s="29"/>
      <c r="AM241" s="39"/>
      <c r="AN241" s="39"/>
      <c r="AO241" s="13"/>
      <c r="AP241" s="12"/>
      <c r="AQ241" s="16"/>
      <c r="AR241" s="12"/>
      <c r="AS241" s="33"/>
      <c r="AT241" s="32"/>
      <c r="AU241" s="33"/>
      <c r="AV241" s="34"/>
      <c r="AW241" s="33"/>
      <c r="AX241" s="37"/>
      <c r="AY241" s="38"/>
      <c r="AZ241" s="37"/>
      <c r="BA241" s="38"/>
      <c r="BB241" s="35" t="b">
        <v>1</v>
      </c>
      <c r="BC241" s="36">
        <f t="shared" ref="BC241:BC242" si="93">IF(MOD(H241,4)=0,H241/4,ROUNDUP(H241/4,0))</f>
        <v>136843438</v>
      </c>
      <c r="BD241" s="41"/>
      <c r="BE241" s="36"/>
      <c r="BF241" s="41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41"/>
      <c r="BU241" s="41"/>
      <c r="BV241" s="41"/>
      <c r="BW241" s="41"/>
      <c r="BX241" s="42" t="b">
        <v>1</v>
      </c>
      <c r="BY241" s="41">
        <f>IF(MOD(H241,4)=0,H241/4,ROUNDDOWN(H241/4,0))</f>
        <v>136843437</v>
      </c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35" t="b">
        <v>1</v>
      </c>
      <c r="CW241" s="41">
        <f>IF(MOD(H241,4)=0,H241/4,ROUNDUP(H241/4,0))</f>
        <v>136843438</v>
      </c>
    </row>
    <row r="242" spans="1:101" ht="32.25" customHeight="1" x14ac:dyDescent="0.25">
      <c r="A242" s="12">
        <f t="shared" si="0"/>
        <v>241</v>
      </c>
      <c r="B242" s="13" t="s">
        <v>94</v>
      </c>
      <c r="C242" s="13" t="s">
        <v>1485</v>
      </c>
      <c r="D242" s="14" t="s">
        <v>1491</v>
      </c>
      <c r="E242" s="15" t="s">
        <v>1492</v>
      </c>
      <c r="F242" s="15" t="s">
        <v>1493</v>
      </c>
      <c r="G242" s="16">
        <v>48</v>
      </c>
      <c r="H242" s="17">
        <v>79860000</v>
      </c>
      <c r="I242" s="18"/>
      <c r="J242" s="18"/>
      <c r="K242" s="18"/>
      <c r="L242" s="18" t="s">
        <v>99</v>
      </c>
      <c r="M242" s="19">
        <v>17304</v>
      </c>
      <c r="N242" s="20" t="s">
        <v>100</v>
      </c>
      <c r="O242" s="13" t="b">
        <v>1</v>
      </c>
      <c r="P242" s="20" t="b">
        <v>1</v>
      </c>
      <c r="Q242" s="20" t="b">
        <v>1</v>
      </c>
      <c r="R242" s="13" t="b">
        <v>0</v>
      </c>
      <c r="S242" s="13" t="b">
        <v>0</v>
      </c>
      <c r="T242" s="13" t="b">
        <v>1</v>
      </c>
      <c r="U242" s="13" t="b">
        <v>1</v>
      </c>
      <c r="V242" s="13" t="b">
        <v>1</v>
      </c>
      <c r="W242" s="13" t="b">
        <v>1</v>
      </c>
      <c r="X242" s="13" t="b">
        <v>1</v>
      </c>
      <c r="Y242" s="21" t="s">
        <v>101</v>
      </c>
      <c r="Z242" s="21" t="s">
        <v>1494</v>
      </c>
      <c r="AA242" s="21" t="s">
        <v>1495</v>
      </c>
      <c r="AB242" s="22"/>
      <c r="AC242" s="23"/>
      <c r="AD242" s="13"/>
      <c r="AE242" s="13" t="b">
        <v>1</v>
      </c>
      <c r="AF242" s="48">
        <v>45915</v>
      </c>
      <c r="AG242" s="55" t="s">
        <v>104</v>
      </c>
      <c r="AH242" s="27" t="b">
        <v>1</v>
      </c>
      <c r="AI242" s="48">
        <v>45951</v>
      </c>
      <c r="AJ242" s="56" t="s">
        <v>1496</v>
      </c>
      <c r="AK242" s="39" t="b">
        <v>1</v>
      </c>
      <c r="AL242" s="40">
        <v>46008</v>
      </c>
      <c r="AM242" s="56" t="s">
        <v>1496</v>
      </c>
      <c r="AN242" s="39"/>
      <c r="AO242" s="13"/>
      <c r="AP242" s="12"/>
      <c r="AQ242" s="16"/>
      <c r="AR242" s="32"/>
      <c r="AS242" s="33"/>
      <c r="AT242" s="32"/>
      <c r="AU242" s="33"/>
      <c r="AV242" s="34"/>
      <c r="AW242" s="33"/>
      <c r="AX242" s="37"/>
      <c r="AY242" s="38"/>
      <c r="AZ242" s="37"/>
      <c r="BA242" s="38"/>
      <c r="BB242" s="35" t="b">
        <v>1</v>
      </c>
      <c r="BC242" s="36">
        <f t="shared" si="93"/>
        <v>19965000</v>
      </c>
      <c r="BD242" s="41"/>
      <c r="BE242" s="36"/>
      <c r="BF242" s="41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41"/>
      <c r="BU242" s="41"/>
      <c r="BV242" s="35" t="b">
        <v>1</v>
      </c>
      <c r="BW242" s="41">
        <f t="shared" ref="BW242:BW247" si="94">IF(MOD(H242,4)=0,H242/4,ROUNDDOWN(H242/4,0))</f>
        <v>19965000</v>
      </c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12" t="b">
        <v>1</v>
      </c>
      <c r="CS242" s="36">
        <f>IF(MOD(H242,4)=0,H242/4,ROUNDUP(H242/4,0))</f>
        <v>19965000</v>
      </c>
      <c r="CT242" s="36"/>
      <c r="CU242" s="36"/>
      <c r="CV242" s="36"/>
      <c r="CW242" s="36"/>
    </row>
    <row r="243" spans="1:101" ht="32.25" customHeight="1" x14ac:dyDescent="0.25">
      <c r="A243" s="12">
        <f t="shared" si="0"/>
        <v>242</v>
      </c>
      <c r="B243" s="13" t="s">
        <v>94</v>
      </c>
      <c r="C243" s="13" t="s">
        <v>1485</v>
      </c>
      <c r="D243" s="14" t="s">
        <v>1497</v>
      </c>
      <c r="E243" s="15" t="s">
        <v>1498</v>
      </c>
      <c r="F243" s="15" t="s">
        <v>1499</v>
      </c>
      <c r="G243" s="16">
        <v>119</v>
      </c>
      <c r="H243" s="17">
        <v>197986250</v>
      </c>
      <c r="I243" s="18"/>
      <c r="J243" s="18"/>
      <c r="K243" s="18"/>
      <c r="L243" s="18" t="s">
        <v>99</v>
      </c>
      <c r="M243" s="19">
        <v>17305</v>
      </c>
      <c r="N243" s="20" t="s">
        <v>100</v>
      </c>
      <c r="O243" s="13" t="b">
        <v>1</v>
      </c>
      <c r="P243" s="20" t="b">
        <v>1</v>
      </c>
      <c r="Q243" s="20" t="b">
        <v>1</v>
      </c>
      <c r="R243" s="13" t="b">
        <v>1</v>
      </c>
      <c r="S243" s="13" t="b">
        <v>1</v>
      </c>
      <c r="T243" s="13" t="b">
        <v>1</v>
      </c>
      <c r="U243" s="13" t="b">
        <v>1</v>
      </c>
      <c r="V243" s="13" t="b">
        <v>1</v>
      </c>
      <c r="W243" s="13" t="b">
        <v>1</v>
      </c>
      <c r="X243" s="13" t="b">
        <v>0</v>
      </c>
      <c r="Y243" s="21" t="s">
        <v>101</v>
      </c>
      <c r="Z243" s="21" t="s">
        <v>1500</v>
      </c>
      <c r="AA243" s="21" t="s">
        <v>1501</v>
      </c>
      <c r="AB243" s="22"/>
      <c r="AC243" s="23"/>
      <c r="AD243" s="13"/>
      <c r="AE243" s="47" t="b">
        <v>1</v>
      </c>
      <c r="AF243" s="48">
        <v>45929</v>
      </c>
      <c r="AG243" s="55" t="s">
        <v>1502</v>
      </c>
      <c r="AH243" s="27" t="b">
        <v>1</v>
      </c>
      <c r="AI243" s="48">
        <v>45946</v>
      </c>
      <c r="AJ243" s="56" t="s">
        <v>1503</v>
      </c>
      <c r="AK243" s="27" t="b">
        <v>1</v>
      </c>
      <c r="AL243" s="30">
        <v>45979</v>
      </c>
      <c r="AM243" s="39" t="s">
        <v>1401</v>
      </c>
      <c r="AN243" s="39"/>
      <c r="AO243" s="13"/>
      <c r="AP243" s="12"/>
      <c r="AQ243" s="16"/>
      <c r="AR243" s="12"/>
      <c r="AS243" s="33"/>
      <c r="AT243" s="32"/>
      <c r="AU243" s="33"/>
      <c r="AV243" s="34"/>
      <c r="AW243" s="33"/>
      <c r="AX243" s="37"/>
      <c r="AY243" s="38"/>
      <c r="AZ243" s="37"/>
      <c r="BA243" s="38"/>
      <c r="BB243" s="37"/>
      <c r="BC243" s="38"/>
      <c r="BD243" s="42" t="b">
        <v>1</v>
      </c>
      <c r="BE243" s="36">
        <f>IF(MOD(H243,4)=0,H243/4,ROUNDUP(H243/4,0))</f>
        <v>49496563</v>
      </c>
      <c r="BF243" s="41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41"/>
      <c r="BU243" s="41"/>
      <c r="BV243" s="35" t="b">
        <v>1</v>
      </c>
      <c r="BW243" s="41">
        <f t="shared" si="94"/>
        <v>49496562</v>
      </c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35" t="b">
        <v>1</v>
      </c>
      <c r="CK243" s="36">
        <f>IF(MOD(H243,4)=0,H243/4,ROUNDUP(H243/4,0))</f>
        <v>49496563</v>
      </c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</row>
    <row r="244" spans="1:101" ht="32.25" customHeight="1" x14ac:dyDescent="0.25">
      <c r="A244" s="12">
        <f t="shared" si="0"/>
        <v>243</v>
      </c>
      <c r="B244" s="13" t="s">
        <v>94</v>
      </c>
      <c r="C244" s="13" t="s">
        <v>1485</v>
      </c>
      <c r="D244" s="14" t="s">
        <v>1504</v>
      </c>
      <c r="E244" s="15" t="s">
        <v>1505</v>
      </c>
      <c r="F244" s="15" t="s">
        <v>1506</v>
      </c>
      <c r="G244" s="16">
        <v>37</v>
      </c>
      <c r="H244" s="17">
        <v>61558750</v>
      </c>
      <c r="I244" s="18"/>
      <c r="J244" s="18"/>
      <c r="K244" s="18"/>
      <c r="L244" s="18" t="s">
        <v>99</v>
      </c>
      <c r="M244" s="19">
        <v>17306</v>
      </c>
      <c r="N244" s="20" t="s">
        <v>100</v>
      </c>
      <c r="O244" s="13" t="b">
        <v>1</v>
      </c>
      <c r="P244" s="20" t="b">
        <v>1</v>
      </c>
      <c r="Q244" s="20" t="b">
        <v>1</v>
      </c>
      <c r="R244" s="13" t="b">
        <v>1</v>
      </c>
      <c r="S244" s="13" t="b">
        <v>1</v>
      </c>
      <c r="T244" s="13" t="b">
        <v>1</v>
      </c>
      <c r="U244" s="13" t="b">
        <v>1</v>
      </c>
      <c r="V244" s="13" t="b">
        <v>1</v>
      </c>
      <c r="W244" s="13" t="b">
        <v>1</v>
      </c>
      <c r="X244" s="13" t="b">
        <v>1</v>
      </c>
      <c r="Y244" s="21" t="s">
        <v>101</v>
      </c>
      <c r="Z244" s="21" t="s">
        <v>1507</v>
      </c>
      <c r="AA244" s="21" t="s">
        <v>1508</v>
      </c>
      <c r="AB244" s="22"/>
      <c r="AC244" s="23"/>
      <c r="AD244" s="13"/>
      <c r="AE244" s="47" t="b">
        <v>1</v>
      </c>
      <c r="AF244" s="48">
        <v>45904</v>
      </c>
      <c r="AG244" s="55" t="s">
        <v>1509</v>
      </c>
      <c r="AH244" s="27" t="b">
        <v>1</v>
      </c>
      <c r="AI244" s="48">
        <v>45950</v>
      </c>
      <c r="AJ244" s="56" t="s">
        <v>1510</v>
      </c>
      <c r="AK244" s="39" t="b">
        <v>1</v>
      </c>
      <c r="AL244" s="30">
        <v>46002</v>
      </c>
      <c r="AM244" s="39" t="s">
        <v>1511</v>
      </c>
      <c r="AN244" s="39"/>
      <c r="AO244" s="13"/>
      <c r="AP244" s="12"/>
      <c r="AQ244" s="16"/>
      <c r="AR244" s="32"/>
      <c r="AS244" s="33"/>
      <c r="AT244" s="32"/>
      <c r="AU244" s="33"/>
      <c r="AV244" s="34"/>
      <c r="AW244" s="33"/>
      <c r="AX244" s="37"/>
      <c r="AY244" s="38"/>
      <c r="AZ244" s="37"/>
      <c r="BA244" s="38"/>
      <c r="BB244" s="35" t="b">
        <v>1</v>
      </c>
      <c r="BC244" s="36">
        <f>IF(MOD(H244,4)=0,H244/4,ROUNDUP(H244/4,0))</f>
        <v>15389688</v>
      </c>
      <c r="BD244" s="41"/>
      <c r="BE244" s="36"/>
      <c r="BF244" s="41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41"/>
      <c r="BU244" s="41"/>
      <c r="BV244" s="35" t="b">
        <v>1</v>
      </c>
      <c r="BW244" s="41">
        <f t="shared" si="94"/>
        <v>15389687</v>
      </c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12" t="b">
        <v>1</v>
      </c>
      <c r="CS244" s="36">
        <f>IF(MOD(H244,4)=0,H244/4,ROUNDUP(H244/4,0))</f>
        <v>15389688</v>
      </c>
      <c r="CT244" s="36"/>
      <c r="CU244" s="36"/>
      <c r="CV244" s="36"/>
      <c r="CW244" s="36"/>
    </row>
    <row r="245" spans="1:101" ht="32.25" customHeight="1" x14ac:dyDescent="0.25">
      <c r="A245" s="12">
        <f t="shared" si="0"/>
        <v>244</v>
      </c>
      <c r="B245" s="13" t="s">
        <v>94</v>
      </c>
      <c r="C245" s="13" t="s">
        <v>1485</v>
      </c>
      <c r="D245" s="14" t="s">
        <v>1512</v>
      </c>
      <c r="E245" s="15" t="s">
        <v>1513</v>
      </c>
      <c r="F245" s="15" t="s">
        <v>1514</v>
      </c>
      <c r="G245" s="16">
        <v>19</v>
      </c>
      <c r="H245" s="17">
        <v>31611250</v>
      </c>
      <c r="I245" s="18"/>
      <c r="J245" s="18"/>
      <c r="K245" s="18"/>
      <c r="L245" s="18" t="s">
        <v>99</v>
      </c>
      <c r="M245" s="19">
        <v>17307</v>
      </c>
      <c r="N245" s="20" t="s">
        <v>100</v>
      </c>
      <c r="O245" s="13" t="b">
        <v>1</v>
      </c>
      <c r="P245" s="20" t="b">
        <v>1</v>
      </c>
      <c r="Q245" s="20" t="b">
        <v>1</v>
      </c>
      <c r="R245" s="13" t="b">
        <v>1</v>
      </c>
      <c r="S245" s="13" t="b">
        <v>1</v>
      </c>
      <c r="T245" s="13" t="b">
        <v>1</v>
      </c>
      <c r="U245" s="13" t="b">
        <v>1</v>
      </c>
      <c r="V245" s="13" t="b">
        <v>0</v>
      </c>
      <c r="W245" s="13" t="b">
        <v>0</v>
      </c>
      <c r="X245" s="13" t="b">
        <v>0</v>
      </c>
      <c r="Y245" s="21" t="s">
        <v>399</v>
      </c>
      <c r="Z245" s="21" t="s">
        <v>1515</v>
      </c>
      <c r="AA245" s="21" t="s">
        <v>1513</v>
      </c>
      <c r="AB245" s="22"/>
      <c r="AC245" s="23"/>
      <c r="AD245" s="21"/>
      <c r="AE245" s="47" t="b">
        <v>1</v>
      </c>
      <c r="AF245" s="52">
        <v>45895</v>
      </c>
      <c r="AG245" s="55" t="s">
        <v>1516</v>
      </c>
      <c r="AH245" s="27" t="b">
        <v>1</v>
      </c>
      <c r="AI245" s="52">
        <v>45964</v>
      </c>
      <c r="AJ245" s="55" t="s">
        <v>1517</v>
      </c>
      <c r="AK245" s="39" t="b">
        <v>1</v>
      </c>
      <c r="AL245" s="67">
        <v>46013</v>
      </c>
      <c r="AM245" s="39" t="s">
        <v>1511</v>
      </c>
      <c r="AN245" s="55"/>
      <c r="AO245" s="13"/>
      <c r="AP245" s="12"/>
      <c r="AQ245" s="16"/>
      <c r="AR245" s="12"/>
      <c r="AS245" s="33"/>
      <c r="AT245" s="32"/>
      <c r="AU245" s="33"/>
      <c r="AV245" s="34"/>
      <c r="AW245" s="33"/>
      <c r="AX245" s="37"/>
      <c r="AY245" s="38"/>
      <c r="AZ245" s="35" t="b">
        <v>1</v>
      </c>
      <c r="BA245" s="36">
        <f>IF(MOD(H245,4)=0,H245/4,ROUNDUP(H245/4,0))</f>
        <v>7902813</v>
      </c>
      <c r="BB245" s="41"/>
      <c r="BC245" s="36"/>
      <c r="BD245" s="41"/>
      <c r="BE245" s="36"/>
      <c r="BF245" s="41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41"/>
      <c r="BU245" s="41"/>
      <c r="BV245" s="35" t="b">
        <v>1</v>
      </c>
      <c r="BW245" s="41">
        <f t="shared" si="94"/>
        <v>7902812</v>
      </c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37" t="b">
        <v>1</v>
      </c>
      <c r="CU245" s="38">
        <f>IF(MOD(H245,4)=0,H245/4,ROUNDUP(H245/4,0))</f>
        <v>7902813</v>
      </c>
      <c r="CV245" s="38"/>
      <c r="CW245" s="38"/>
    </row>
    <row r="246" spans="1:101" ht="32.25" customHeight="1" x14ac:dyDescent="0.25">
      <c r="A246" s="12">
        <f t="shared" si="0"/>
        <v>245</v>
      </c>
      <c r="B246" s="13" t="s">
        <v>94</v>
      </c>
      <c r="C246" s="13" t="s">
        <v>1485</v>
      </c>
      <c r="D246" s="14" t="s">
        <v>1518</v>
      </c>
      <c r="E246" s="15" t="s">
        <v>1519</v>
      </c>
      <c r="F246" s="15" t="s">
        <v>1520</v>
      </c>
      <c r="G246" s="16">
        <v>10</v>
      </c>
      <c r="H246" s="17">
        <v>16637500</v>
      </c>
      <c r="I246" s="18"/>
      <c r="J246" s="18"/>
      <c r="K246" s="18"/>
      <c r="L246" s="18" t="s">
        <v>99</v>
      </c>
      <c r="M246" s="19">
        <v>17308</v>
      </c>
      <c r="N246" s="20" t="s">
        <v>100</v>
      </c>
      <c r="O246" s="13" t="b">
        <v>1</v>
      </c>
      <c r="P246" s="20" t="b">
        <v>1</v>
      </c>
      <c r="Q246" s="20" t="b">
        <v>1</v>
      </c>
      <c r="R246" s="13" t="b">
        <v>0</v>
      </c>
      <c r="S246" s="13" t="b">
        <v>0</v>
      </c>
      <c r="T246" s="13" t="b">
        <v>1</v>
      </c>
      <c r="U246" s="13" t="b">
        <v>1</v>
      </c>
      <c r="V246" s="13" t="b">
        <v>1</v>
      </c>
      <c r="W246" s="13" t="b">
        <v>1</v>
      </c>
      <c r="X246" s="13" t="b">
        <v>0</v>
      </c>
      <c r="Y246" s="21" t="s">
        <v>101</v>
      </c>
      <c r="Z246" s="21" t="s">
        <v>1521</v>
      </c>
      <c r="AA246" s="21" t="s">
        <v>1522</v>
      </c>
      <c r="AB246" s="22"/>
      <c r="AC246" s="23"/>
      <c r="AD246" s="13"/>
      <c r="AE246" s="13" t="b">
        <v>1</v>
      </c>
      <c r="AF246" s="48">
        <v>45904</v>
      </c>
      <c r="AG246" s="55"/>
      <c r="AH246" s="27" t="b">
        <v>1</v>
      </c>
      <c r="AI246" s="48">
        <v>45957</v>
      </c>
      <c r="AJ246" s="56" t="s">
        <v>1032</v>
      </c>
      <c r="AK246" s="27" t="b">
        <v>1</v>
      </c>
      <c r="AL246" s="40">
        <v>45982</v>
      </c>
      <c r="AM246" s="39"/>
      <c r="AN246" s="39"/>
      <c r="AO246" s="13"/>
      <c r="AP246" s="12"/>
      <c r="AQ246" s="16"/>
      <c r="AR246" s="12"/>
      <c r="AS246" s="33"/>
      <c r="AT246" s="32"/>
      <c r="AU246" s="33"/>
      <c r="AV246" s="34"/>
      <c r="AW246" s="33"/>
      <c r="AX246" s="37"/>
      <c r="AY246" s="38"/>
      <c r="AZ246" s="37"/>
      <c r="BA246" s="38"/>
      <c r="BB246" s="35" t="b">
        <v>1</v>
      </c>
      <c r="BC246" s="36">
        <f t="shared" ref="BC246:BC247" si="95">IF(MOD(H246,4)=0,H246/4,ROUNDUP(H246/4,0))</f>
        <v>4159375</v>
      </c>
      <c r="BD246" s="41"/>
      <c r="BE246" s="36"/>
      <c r="BF246" s="41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41"/>
      <c r="BU246" s="41"/>
      <c r="BV246" s="35" t="b">
        <v>1</v>
      </c>
      <c r="BW246" s="41">
        <f t="shared" si="94"/>
        <v>4159375</v>
      </c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35" t="b">
        <v>1</v>
      </c>
      <c r="CK246" s="36">
        <f>IF(MOD(H246,4)=0,H246/4,ROUNDUP(H246/4,0))</f>
        <v>4159375</v>
      </c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</row>
    <row r="247" spans="1:101" ht="32.25" customHeight="1" x14ac:dyDescent="0.25">
      <c r="A247" s="12">
        <f t="shared" si="0"/>
        <v>246</v>
      </c>
      <c r="B247" s="13" t="s">
        <v>94</v>
      </c>
      <c r="C247" s="13" t="s">
        <v>1485</v>
      </c>
      <c r="D247" s="14" t="s">
        <v>1523</v>
      </c>
      <c r="E247" s="15" t="s">
        <v>1524</v>
      </c>
      <c r="F247" s="15" t="s">
        <v>1525</v>
      </c>
      <c r="G247" s="16">
        <v>14</v>
      </c>
      <c r="H247" s="17">
        <v>23292500</v>
      </c>
      <c r="I247" s="18"/>
      <c r="J247" s="18"/>
      <c r="K247" s="18"/>
      <c r="L247" s="18" t="s">
        <v>99</v>
      </c>
      <c r="M247" s="19">
        <v>17309</v>
      </c>
      <c r="N247" s="20" t="s">
        <v>100</v>
      </c>
      <c r="O247" s="13" t="b">
        <v>1</v>
      </c>
      <c r="P247" s="20" t="b">
        <v>1</v>
      </c>
      <c r="Q247" s="20" t="b">
        <v>1</v>
      </c>
      <c r="R247" s="13" t="b">
        <v>1</v>
      </c>
      <c r="S247" s="13" t="b">
        <v>1</v>
      </c>
      <c r="T247" s="13" t="b">
        <v>1</v>
      </c>
      <c r="U247" s="13" t="b">
        <v>1</v>
      </c>
      <c r="V247" s="13" t="b">
        <v>1</v>
      </c>
      <c r="W247" s="13" t="b">
        <v>1</v>
      </c>
      <c r="X247" s="13" t="b">
        <v>0</v>
      </c>
      <c r="Y247" s="21" t="s">
        <v>101</v>
      </c>
      <c r="Z247" s="21" t="s">
        <v>1526</v>
      </c>
      <c r="AA247" s="21" t="s">
        <v>1527</v>
      </c>
      <c r="AB247" s="22"/>
      <c r="AC247" s="23"/>
      <c r="AD247" s="13"/>
      <c r="AE247" s="47" t="b">
        <v>1</v>
      </c>
      <c r="AF247" s="48">
        <v>45904</v>
      </c>
      <c r="AG247" s="55" t="s">
        <v>419</v>
      </c>
      <c r="AH247" s="27" t="b">
        <v>1</v>
      </c>
      <c r="AI247" s="48">
        <v>45957</v>
      </c>
      <c r="AJ247" s="56" t="s">
        <v>1528</v>
      </c>
      <c r="AK247" s="39" t="b">
        <v>1</v>
      </c>
      <c r="AL247" s="30">
        <v>45996</v>
      </c>
      <c r="AM247" s="56" t="s">
        <v>1528</v>
      </c>
      <c r="AN247" s="39"/>
      <c r="AO247" s="13"/>
      <c r="AP247" s="12"/>
      <c r="AQ247" s="16"/>
      <c r="AR247" s="32"/>
      <c r="AS247" s="33"/>
      <c r="AT247" s="32"/>
      <c r="AU247" s="33"/>
      <c r="AV247" s="34"/>
      <c r="AW247" s="33"/>
      <c r="AX247" s="37"/>
      <c r="AY247" s="38"/>
      <c r="AZ247" s="37"/>
      <c r="BA247" s="38"/>
      <c r="BB247" s="35" t="b">
        <v>1</v>
      </c>
      <c r="BC247" s="36">
        <f t="shared" si="95"/>
        <v>5823125</v>
      </c>
      <c r="BD247" s="41"/>
      <c r="BE247" s="36"/>
      <c r="BF247" s="41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41"/>
      <c r="BU247" s="41"/>
      <c r="BV247" s="35" t="b">
        <v>1</v>
      </c>
      <c r="BW247" s="41">
        <f t="shared" si="94"/>
        <v>5823125</v>
      </c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35" t="b">
        <v>1</v>
      </c>
      <c r="CQ247" s="41">
        <f>IF(MOD(H247,4)=0,H247/4,ROUNDUP(H247/4,0))</f>
        <v>5823125</v>
      </c>
      <c r="CR247" s="41"/>
      <c r="CS247" s="41"/>
      <c r="CT247" s="41"/>
      <c r="CU247" s="41"/>
      <c r="CV247" s="41"/>
      <c r="CW247" s="41"/>
    </row>
    <row r="248" spans="1:101" ht="32.25" customHeight="1" x14ac:dyDescent="0.25">
      <c r="A248" s="12">
        <f t="shared" si="0"/>
        <v>247</v>
      </c>
      <c r="B248" s="13" t="s">
        <v>134</v>
      </c>
      <c r="C248" s="13" t="s">
        <v>1485</v>
      </c>
      <c r="D248" s="14" t="s">
        <v>1529</v>
      </c>
      <c r="E248" s="15" t="s">
        <v>1530</v>
      </c>
      <c r="F248" s="15" t="s">
        <v>1531</v>
      </c>
      <c r="G248" s="16">
        <v>42</v>
      </c>
      <c r="H248" s="17">
        <v>69877500</v>
      </c>
      <c r="I248" s="18"/>
      <c r="J248" s="18"/>
      <c r="K248" s="18"/>
      <c r="L248" s="18" t="s">
        <v>99</v>
      </c>
      <c r="M248" s="19">
        <v>17310</v>
      </c>
      <c r="N248" s="20" t="s">
        <v>100</v>
      </c>
      <c r="O248" s="13" t="b">
        <v>1</v>
      </c>
      <c r="P248" s="20" t="b">
        <v>0</v>
      </c>
      <c r="Q248" s="20" t="b">
        <v>1</v>
      </c>
      <c r="R248" s="13" t="b">
        <v>1</v>
      </c>
      <c r="S248" s="13" t="b">
        <v>1</v>
      </c>
      <c r="T248" s="13" t="b">
        <v>1</v>
      </c>
      <c r="U248" s="13" t="b">
        <v>1</v>
      </c>
      <c r="V248" s="13" t="b">
        <v>1</v>
      </c>
      <c r="W248" s="13" t="b">
        <v>1</v>
      </c>
      <c r="X248" s="13" t="b">
        <v>1</v>
      </c>
      <c r="Y248" s="21" t="s">
        <v>101</v>
      </c>
      <c r="Z248" s="21" t="s">
        <v>1532</v>
      </c>
      <c r="AA248" s="21" t="s">
        <v>1530</v>
      </c>
      <c r="AB248" s="22"/>
      <c r="AC248" s="23"/>
      <c r="AD248" s="13"/>
      <c r="AE248" s="13" t="b">
        <v>1</v>
      </c>
      <c r="AF248" s="48">
        <v>46001</v>
      </c>
      <c r="AG248" s="26" t="s">
        <v>419</v>
      </c>
      <c r="AH248" s="39" t="b">
        <v>1</v>
      </c>
      <c r="AI248" s="28">
        <v>45650</v>
      </c>
      <c r="AJ248" s="56" t="s">
        <v>472</v>
      </c>
      <c r="AK248" s="39" t="b">
        <v>0</v>
      </c>
      <c r="AL248" s="29"/>
      <c r="AM248" s="29"/>
      <c r="AN248" s="29"/>
      <c r="AO248" s="13"/>
      <c r="AP248" s="12"/>
      <c r="AQ248" s="16"/>
      <c r="AR248" s="32"/>
      <c r="AS248" s="33"/>
      <c r="AT248" s="32"/>
      <c r="AU248" s="33"/>
      <c r="AV248" s="34"/>
      <c r="AW248" s="33"/>
      <c r="AX248" s="37"/>
      <c r="AY248" s="38"/>
      <c r="AZ248" s="37"/>
      <c r="BA248" s="38"/>
      <c r="BB248" s="37"/>
      <c r="BC248" s="38"/>
      <c r="BD248" s="37"/>
      <c r="BE248" s="38"/>
      <c r="BF248" s="37"/>
      <c r="BG248" s="38"/>
      <c r="BH248" s="38"/>
      <c r="BI248" s="38"/>
      <c r="BJ248" s="38"/>
      <c r="BK248" s="38"/>
      <c r="BL248" s="38"/>
      <c r="BM248" s="38"/>
      <c r="BN248" s="42" t="b">
        <v>1</v>
      </c>
      <c r="BO248" s="38">
        <f>IF(MOD(H248,4)=0,H248/4,ROUNDUP(H248/4,0))</f>
        <v>17469375</v>
      </c>
      <c r="BP248" s="38"/>
      <c r="BQ248" s="38"/>
      <c r="BR248" s="38"/>
      <c r="BS248" s="38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42" t="b">
        <v>1</v>
      </c>
      <c r="CI248" s="38">
        <f>IF(MOD(H248,4)=0,H248/4,ROUNDDOWN(H248/4,0))</f>
        <v>17469375</v>
      </c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</row>
    <row r="249" spans="1:101" ht="32.25" customHeight="1" x14ac:dyDescent="0.25">
      <c r="A249" s="12">
        <f t="shared" si="0"/>
        <v>248</v>
      </c>
      <c r="B249" s="13" t="s">
        <v>134</v>
      </c>
      <c r="C249" s="13" t="s">
        <v>1485</v>
      </c>
      <c r="D249" s="14" t="s">
        <v>1533</v>
      </c>
      <c r="E249" s="15" t="s">
        <v>1534</v>
      </c>
      <c r="F249" s="15" t="s">
        <v>1535</v>
      </c>
      <c r="G249" s="16">
        <v>45</v>
      </c>
      <c r="H249" s="17">
        <v>74868750</v>
      </c>
      <c r="I249" s="18"/>
      <c r="J249" s="18"/>
      <c r="K249" s="18"/>
      <c r="L249" s="18" t="s">
        <v>99</v>
      </c>
      <c r="M249" s="19">
        <v>17311</v>
      </c>
      <c r="N249" s="20" t="s">
        <v>100</v>
      </c>
      <c r="O249" s="13" t="b">
        <v>1</v>
      </c>
      <c r="P249" s="20" t="b">
        <v>1</v>
      </c>
      <c r="Q249" s="20" t="b">
        <v>1</v>
      </c>
      <c r="R249" s="13" t="b">
        <v>1</v>
      </c>
      <c r="S249" s="13" t="b">
        <v>1</v>
      </c>
      <c r="T249" s="13" t="b">
        <v>0</v>
      </c>
      <c r="U249" s="13" t="b">
        <v>0</v>
      </c>
      <c r="V249" s="13" t="b">
        <v>0</v>
      </c>
      <c r="W249" s="13" t="b">
        <v>0</v>
      </c>
      <c r="X249" s="13" t="b">
        <v>0</v>
      </c>
      <c r="Y249" s="21" t="s">
        <v>101</v>
      </c>
      <c r="Z249" s="21" t="s">
        <v>1536</v>
      </c>
      <c r="AA249" s="21" t="s">
        <v>1537</v>
      </c>
      <c r="AB249" s="22"/>
      <c r="AC249" s="13"/>
      <c r="AD249" s="13"/>
      <c r="AE249" s="47" t="b">
        <v>1</v>
      </c>
      <c r="AF249" s="48">
        <v>45987</v>
      </c>
      <c r="AG249" s="26" t="s">
        <v>472</v>
      </c>
      <c r="AH249" s="39" t="b">
        <v>1</v>
      </c>
      <c r="AI249" s="28">
        <v>46001</v>
      </c>
      <c r="AJ249" s="29" t="s">
        <v>812</v>
      </c>
      <c r="AK249" s="39" t="b">
        <v>1</v>
      </c>
      <c r="AL249" s="40">
        <v>46018</v>
      </c>
      <c r="AM249" s="29" t="s">
        <v>267</v>
      </c>
      <c r="AN249" s="29"/>
      <c r="AO249" s="13"/>
      <c r="AP249" s="32"/>
      <c r="AQ249" s="33"/>
      <c r="AR249" s="12"/>
      <c r="AS249" s="33"/>
      <c r="AT249" s="32"/>
      <c r="AU249" s="33"/>
      <c r="AV249" s="34"/>
      <c r="AW249" s="33"/>
      <c r="AX249" s="37"/>
      <c r="AY249" s="38"/>
      <c r="AZ249" s="37"/>
      <c r="BA249" s="38"/>
      <c r="BB249" s="37"/>
      <c r="BC249" s="38"/>
      <c r="BD249" s="37"/>
      <c r="BE249" s="38"/>
      <c r="BF249" s="37"/>
      <c r="BG249" s="38"/>
      <c r="BH249" s="38"/>
      <c r="BI249" s="38"/>
      <c r="BJ249" s="38"/>
      <c r="BK249" s="38"/>
      <c r="BL249" s="68" t="b">
        <v>1</v>
      </c>
      <c r="BM249" s="38">
        <f>IF(MOD(H249,4)=0,H249/4,ROUNDUP(H249/4,0))</f>
        <v>18717188</v>
      </c>
      <c r="BN249" s="38"/>
      <c r="BO249" s="38"/>
      <c r="BP249" s="38"/>
      <c r="BQ249" s="38"/>
      <c r="BR249" s="38"/>
      <c r="BS249" s="38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 t="b">
        <v>1</v>
      </c>
      <c r="CE249" s="38">
        <f>IF(MOD(H249,4)=0,H249/4,ROUNDDOWN(H249/4,0))</f>
        <v>18717187</v>
      </c>
      <c r="CF249" s="38"/>
      <c r="CG249" s="38"/>
      <c r="CH249" s="38"/>
      <c r="CI249" s="38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 t="b">
        <v>1</v>
      </c>
      <c r="CU249" s="38">
        <f t="shared" ref="CU249:CU251" si="96">IF(MOD(H249,4)=0,H249/4,ROUNDUP(H249/4,0))</f>
        <v>18717188</v>
      </c>
      <c r="CV249" s="38"/>
      <c r="CW249" s="38"/>
    </row>
    <row r="250" spans="1:101" ht="32.25" customHeight="1" x14ac:dyDescent="0.25">
      <c r="A250" s="12">
        <f t="shared" si="0"/>
        <v>249</v>
      </c>
      <c r="B250" s="13" t="s">
        <v>134</v>
      </c>
      <c r="C250" s="13" t="s">
        <v>1485</v>
      </c>
      <c r="D250" s="14" t="s">
        <v>1538</v>
      </c>
      <c r="E250" s="15" t="s">
        <v>1539</v>
      </c>
      <c r="F250" s="15" t="s">
        <v>1540</v>
      </c>
      <c r="G250" s="16">
        <v>256</v>
      </c>
      <c r="H250" s="17">
        <v>425920000</v>
      </c>
      <c r="I250" s="18"/>
      <c r="J250" s="18"/>
      <c r="K250" s="18"/>
      <c r="L250" s="18" t="s">
        <v>99</v>
      </c>
      <c r="M250" s="19">
        <v>17312</v>
      </c>
      <c r="N250" s="20" t="s">
        <v>100</v>
      </c>
      <c r="O250" s="13" t="b">
        <v>1</v>
      </c>
      <c r="P250" s="20" t="b">
        <v>1</v>
      </c>
      <c r="Q250" s="20" t="b">
        <v>0</v>
      </c>
      <c r="R250" s="13" t="b">
        <v>1</v>
      </c>
      <c r="S250" s="13" t="b">
        <v>1</v>
      </c>
      <c r="T250" s="13" t="b">
        <v>1</v>
      </c>
      <c r="U250" s="13" t="b">
        <v>1</v>
      </c>
      <c r="V250" s="13" t="b">
        <v>1</v>
      </c>
      <c r="W250" s="13" t="b">
        <v>1</v>
      </c>
      <c r="X250" s="13" t="b">
        <v>0</v>
      </c>
      <c r="Y250" s="21" t="s">
        <v>101</v>
      </c>
      <c r="Z250" s="21" t="s">
        <v>1541</v>
      </c>
      <c r="AA250" s="21" t="s">
        <v>1542</v>
      </c>
      <c r="AB250" s="22"/>
      <c r="AC250" s="23"/>
      <c r="AD250" s="13"/>
      <c r="AE250" s="13" t="b">
        <v>1</v>
      </c>
      <c r="AF250" s="48">
        <v>45943</v>
      </c>
      <c r="AG250" s="26" t="s">
        <v>104</v>
      </c>
      <c r="AH250" s="27" t="b">
        <v>1</v>
      </c>
      <c r="AI250" s="28">
        <v>45979</v>
      </c>
      <c r="AJ250" s="29" t="s">
        <v>104</v>
      </c>
      <c r="AK250" s="39" t="b">
        <v>1</v>
      </c>
      <c r="AL250" s="40">
        <v>46018</v>
      </c>
      <c r="AM250" s="39" t="s">
        <v>1511</v>
      </c>
      <c r="AN250" s="29"/>
      <c r="AO250" s="13"/>
      <c r="AP250" s="12"/>
      <c r="AQ250" s="16"/>
      <c r="AR250" s="32"/>
      <c r="AS250" s="33"/>
      <c r="AT250" s="32"/>
      <c r="AU250" s="33"/>
      <c r="AV250" s="34"/>
      <c r="AW250" s="33"/>
      <c r="AX250" s="37"/>
      <c r="AY250" s="38"/>
      <c r="AZ250" s="37"/>
      <c r="BA250" s="38"/>
      <c r="BB250" s="37"/>
      <c r="BC250" s="38"/>
      <c r="BD250" s="37"/>
      <c r="BE250" s="38"/>
      <c r="BF250" s="37"/>
      <c r="BG250" s="38"/>
      <c r="BH250" s="42" t="b">
        <v>1</v>
      </c>
      <c r="BI250" s="38">
        <f>IF(MOD(H250,4)=0,H250/4,ROUNDUP(H250/4,0))</f>
        <v>106480000</v>
      </c>
      <c r="BJ250" s="38"/>
      <c r="BK250" s="38"/>
      <c r="BL250" s="38"/>
      <c r="BM250" s="38"/>
      <c r="BN250" s="38"/>
      <c r="BO250" s="38"/>
      <c r="BP250" s="38"/>
      <c r="BQ250" s="38"/>
      <c r="BR250" s="38"/>
      <c r="BS250" s="38"/>
      <c r="BT250" s="37"/>
      <c r="BU250" s="37"/>
      <c r="BV250" s="37"/>
      <c r="BW250" s="37"/>
      <c r="BX250" s="42" t="b">
        <v>1</v>
      </c>
      <c r="BY250" s="41">
        <f>IF(MOD(H250,4)=0,H250/4,ROUNDDOWN(H250/4,0))</f>
        <v>106480000</v>
      </c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37" t="b">
        <v>1</v>
      </c>
      <c r="CU250" s="38">
        <f t="shared" si="96"/>
        <v>106480000</v>
      </c>
      <c r="CV250" s="38"/>
      <c r="CW250" s="38"/>
    </row>
    <row r="251" spans="1:101" ht="32.25" customHeight="1" x14ac:dyDescent="0.25">
      <c r="A251" s="12">
        <f t="shared" si="0"/>
        <v>250</v>
      </c>
      <c r="B251" s="13" t="s">
        <v>251</v>
      </c>
      <c r="C251" s="13" t="s">
        <v>1485</v>
      </c>
      <c r="D251" s="14" t="s">
        <v>1543</v>
      </c>
      <c r="E251" s="15" t="s">
        <v>1544</v>
      </c>
      <c r="F251" s="15" t="s">
        <v>1545</v>
      </c>
      <c r="G251" s="16">
        <v>252</v>
      </c>
      <c r="H251" s="17">
        <v>500472000</v>
      </c>
      <c r="I251" s="18"/>
      <c r="J251" s="18"/>
      <c r="K251" s="18"/>
      <c r="L251" s="18" t="s">
        <v>99</v>
      </c>
      <c r="M251" s="19">
        <v>17313</v>
      </c>
      <c r="N251" s="20" t="s">
        <v>100</v>
      </c>
      <c r="O251" s="13" t="b">
        <v>1</v>
      </c>
      <c r="P251" s="20" t="b">
        <v>1</v>
      </c>
      <c r="Q251" s="20" t="b">
        <v>1</v>
      </c>
      <c r="R251" s="13" t="b">
        <v>1</v>
      </c>
      <c r="S251" s="13" t="b">
        <v>1</v>
      </c>
      <c r="T251" s="13" t="b">
        <v>1</v>
      </c>
      <c r="U251" s="13" t="b">
        <v>1</v>
      </c>
      <c r="V251" s="13" t="b">
        <v>1</v>
      </c>
      <c r="W251" s="13" t="b">
        <v>1</v>
      </c>
      <c r="X251" s="13" t="b">
        <v>0</v>
      </c>
      <c r="Y251" s="21" t="s">
        <v>101</v>
      </c>
      <c r="Z251" s="21" t="s">
        <v>1546</v>
      </c>
      <c r="AA251" s="21" t="s">
        <v>1547</v>
      </c>
      <c r="AB251" s="22"/>
      <c r="AC251" s="23"/>
      <c r="AD251" s="13"/>
      <c r="AE251" s="47" t="b">
        <v>1</v>
      </c>
      <c r="AF251" s="48">
        <v>45873</v>
      </c>
      <c r="AG251" s="26" t="s">
        <v>1548</v>
      </c>
      <c r="AH251" s="27" t="b">
        <v>1</v>
      </c>
      <c r="AI251" s="28">
        <v>45929</v>
      </c>
      <c r="AJ251" s="29" t="s">
        <v>1549</v>
      </c>
      <c r="AK251" s="39" t="b">
        <v>1</v>
      </c>
      <c r="AL251" s="40">
        <v>45650</v>
      </c>
      <c r="AM251" s="29" t="s">
        <v>485</v>
      </c>
      <c r="AN251" s="29"/>
      <c r="AO251" s="13"/>
      <c r="AP251" s="12"/>
      <c r="AQ251" s="16"/>
      <c r="AR251" s="32"/>
      <c r="AS251" s="33"/>
      <c r="AT251" s="32"/>
      <c r="AU251" s="33"/>
      <c r="AV251" s="34"/>
      <c r="AW251" s="33"/>
      <c r="AX251" s="35" t="b">
        <v>1</v>
      </c>
      <c r="AY251" s="36">
        <f>IF(MOD(H251,4)=0,H251/4,ROUNDUP(H251/4,0))</f>
        <v>125118000</v>
      </c>
      <c r="AZ251" s="37"/>
      <c r="BA251" s="38"/>
      <c r="BB251" s="37"/>
      <c r="BC251" s="38"/>
      <c r="BD251" s="37"/>
      <c r="BE251" s="38"/>
      <c r="BF251" s="37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  <c r="BQ251" s="38"/>
      <c r="BR251" s="38"/>
      <c r="BS251" s="38"/>
      <c r="BT251" s="35" t="b">
        <v>1</v>
      </c>
      <c r="BU251" s="36">
        <f>IF(MOD(H251,4)=0,H251/4,ROUNDDOWN(H251/4,0))</f>
        <v>125118000</v>
      </c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7" t="b">
        <v>1</v>
      </c>
      <c r="CU251" s="38">
        <f t="shared" si="96"/>
        <v>125118000</v>
      </c>
      <c r="CV251" s="38"/>
      <c r="CW251" s="38"/>
    </row>
    <row r="252" spans="1:101" ht="32.25" customHeight="1" x14ac:dyDescent="0.25">
      <c r="A252" s="12">
        <f t="shared" si="0"/>
        <v>251</v>
      </c>
      <c r="B252" s="13" t="s">
        <v>251</v>
      </c>
      <c r="C252" s="13" t="s">
        <v>1485</v>
      </c>
      <c r="D252" s="14" t="s">
        <v>1550</v>
      </c>
      <c r="E252" s="15" t="s">
        <v>1551</v>
      </c>
      <c r="F252" s="15" t="s">
        <v>1552</v>
      </c>
      <c r="G252" s="16">
        <v>99</v>
      </c>
      <c r="H252" s="17">
        <v>196614000</v>
      </c>
      <c r="I252" s="18"/>
      <c r="J252" s="18"/>
      <c r="K252" s="18"/>
      <c r="L252" s="18" t="s">
        <v>99</v>
      </c>
      <c r="M252" s="19">
        <v>17314</v>
      </c>
      <c r="N252" s="20" t="s">
        <v>100</v>
      </c>
      <c r="O252" s="13" t="b">
        <v>1</v>
      </c>
      <c r="P252" s="20" t="b">
        <v>1</v>
      </c>
      <c r="Q252" s="20" t="b">
        <v>1</v>
      </c>
      <c r="R252" s="13" t="b">
        <v>1</v>
      </c>
      <c r="S252" s="13" t="b">
        <v>1</v>
      </c>
      <c r="T252" s="13" t="b">
        <v>1</v>
      </c>
      <c r="U252" s="13" t="b">
        <v>1</v>
      </c>
      <c r="V252" s="13" t="b">
        <v>1</v>
      </c>
      <c r="W252" s="13" t="b">
        <v>1</v>
      </c>
      <c r="X252" s="13" t="b">
        <v>1</v>
      </c>
      <c r="Y252" s="21" t="s">
        <v>101</v>
      </c>
      <c r="Z252" s="21" t="s">
        <v>1553</v>
      </c>
      <c r="AA252" s="21" t="s">
        <v>1554</v>
      </c>
      <c r="AB252" s="22"/>
      <c r="AC252" s="23"/>
      <c r="AD252" s="13"/>
      <c r="AE252" s="13" t="b">
        <v>1</v>
      </c>
      <c r="AF252" s="48">
        <v>46001</v>
      </c>
      <c r="AG252" s="26" t="s">
        <v>104</v>
      </c>
      <c r="AH252" s="39" t="b">
        <v>1</v>
      </c>
      <c r="AI252" s="28">
        <v>46013</v>
      </c>
      <c r="AJ252" s="56" t="s">
        <v>1032</v>
      </c>
      <c r="AK252" s="39" t="b">
        <v>0</v>
      </c>
      <c r="AL252" s="29"/>
      <c r="AM252" s="29"/>
      <c r="AN252" s="29"/>
      <c r="AO252" s="13"/>
      <c r="AP252" s="12"/>
      <c r="AQ252" s="16"/>
      <c r="AR252" s="12"/>
      <c r="AS252" s="33"/>
      <c r="AT252" s="32"/>
      <c r="AU252" s="33"/>
      <c r="AV252" s="34"/>
      <c r="AW252" s="33"/>
      <c r="AX252" s="37"/>
      <c r="AY252" s="38"/>
      <c r="AZ252" s="37"/>
      <c r="BA252" s="38"/>
      <c r="BB252" s="37"/>
      <c r="BC252" s="38"/>
      <c r="BD252" s="37"/>
      <c r="BE252" s="38"/>
      <c r="BF252" s="37"/>
      <c r="BG252" s="38"/>
      <c r="BH252" s="38"/>
      <c r="BI252" s="38"/>
      <c r="BJ252" s="38"/>
      <c r="BK252" s="38"/>
      <c r="BL252" s="38"/>
      <c r="BM252" s="38"/>
      <c r="BN252" s="42" t="b">
        <v>1</v>
      </c>
      <c r="BO252" s="38">
        <f>IF(MOD(H252,4)=0,H252/4,ROUNDUP(H252/4,0))</f>
        <v>49153500</v>
      </c>
      <c r="BP252" s="38"/>
      <c r="BQ252" s="38"/>
      <c r="BR252" s="38"/>
      <c r="BS252" s="38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42" t="b">
        <v>1</v>
      </c>
      <c r="CI252" s="38">
        <f>IF(MOD(H252,4)=0,H252/4,ROUNDDOWN(H252/4,0))</f>
        <v>49153500</v>
      </c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</row>
    <row r="253" spans="1:101" ht="32.25" customHeight="1" x14ac:dyDescent="0.25">
      <c r="A253" s="12">
        <f t="shared" si="0"/>
        <v>252</v>
      </c>
      <c r="B253" s="13" t="s">
        <v>251</v>
      </c>
      <c r="C253" s="13" t="s">
        <v>1485</v>
      </c>
      <c r="D253" s="14" t="s">
        <v>1555</v>
      </c>
      <c r="E253" s="15" t="s">
        <v>1556</v>
      </c>
      <c r="F253" s="15" t="s">
        <v>1557</v>
      </c>
      <c r="G253" s="16">
        <v>58</v>
      </c>
      <c r="H253" s="17">
        <v>115188000</v>
      </c>
      <c r="I253" s="18"/>
      <c r="J253" s="18"/>
      <c r="K253" s="18"/>
      <c r="L253" s="18" t="s">
        <v>99</v>
      </c>
      <c r="M253" s="19">
        <v>17315</v>
      </c>
      <c r="N253" s="20" t="s">
        <v>100</v>
      </c>
      <c r="O253" s="13" t="b">
        <v>1</v>
      </c>
      <c r="P253" s="20" t="b">
        <v>1</v>
      </c>
      <c r="Q253" s="20" t="b">
        <v>1</v>
      </c>
      <c r="R253" s="13" t="b">
        <v>1</v>
      </c>
      <c r="S253" s="13" t="b">
        <v>1</v>
      </c>
      <c r="T253" s="13" t="b">
        <v>1</v>
      </c>
      <c r="U253" s="13" t="b">
        <v>1</v>
      </c>
      <c r="V253" s="13" t="b">
        <v>1</v>
      </c>
      <c r="W253" s="13" t="b">
        <v>1</v>
      </c>
      <c r="X253" s="13" t="b">
        <v>1</v>
      </c>
      <c r="Y253" s="21" t="s">
        <v>101</v>
      </c>
      <c r="Z253" s="21" t="s">
        <v>1558</v>
      </c>
      <c r="AA253" s="21" t="s">
        <v>1559</v>
      </c>
      <c r="AB253" s="22"/>
      <c r="AC253" s="23"/>
      <c r="AD253" s="13"/>
      <c r="AE253" s="13" t="b">
        <v>1</v>
      </c>
      <c r="AF253" s="48">
        <v>45896</v>
      </c>
      <c r="AG253" s="49" t="s">
        <v>104</v>
      </c>
      <c r="AH253" s="27" t="b">
        <v>1</v>
      </c>
      <c r="AI253" s="28">
        <v>45973</v>
      </c>
      <c r="AJ253" s="29" t="s">
        <v>104</v>
      </c>
      <c r="AK253" s="39" t="b">
        <v>1</v>
      </c>
      <c r="AL253" s="40">
        <v>46008</v>
      </c>
      <c r="AM253" s="29" t="s">
        <v>104</v>
      </c>
      <c r="AN253" s="29"/>
      <c r="AO253" s="13"/>
      <c r="AP253" s="12"/>
      <c r="AQ253" s="16"/>
      <c r="AR253" s="32"/>
      <c r="AS253" s="33"/>
      <c r="AT253" s="32"/>
      <c r="AU253" s="33"/>
      <c r="AV253" s="34"/>
      <c r="AW253" s="33"/>
      <c r="AX253" s="37"/>
      <c r="AY253" s="38"/>
      <c r="AZ253" s="35" t="b">
        <v>1</v>
      </c>
      <c r="BA253" s="36">
        <f>IF(MOD(H253,4)=0,H253/4,ROUNDUP(H253/4,0))</f>
        <v>28797000</v>
      </c>
      <c r="BB253" s="41"/>
      <c r="BC253" s="36"/>
      <c r="BD253" s="41"/>
      <c r="BE253" s="36"/>
      <c r="BF253" s="41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41"/>
      <c r="BU253" s="41"/>
      <c r="BV253" s="41"/>
      <c r="BW253" s="41"/>
      <c r="BX253" s="42" t="b">
        <v>1</v>
      </c>
      <c r="BY253" s="41">
        <f>IF(MOD(H253,4)=0,H253/4,ROUNDDOWN(H253/4,0))</f>
        <v>28797000</v>
      </c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12" t="b">
        <v>1</v>
      </c>
      <c r="CS253" s="36">
        <f>IF(MOD(H253,4)=0,H253/4,ROUNDUP(H253/4,0))</f>
        <v>28797000</v>
      </c>
      <c r="CT253" s="36"/>
      <c r="CU253" s="36"/>
      <c r="CV253" s="36"/>
      <c r="CW253" s="36"/>
    </row>
    <row r="254" spans="1:101" ht="32.25" customHeight="1" x14ac:dyDescent="0.25">
      <c r="A254" s="12">
        <f t="shared" si="0"/>
        <v>253</v>
      </c>
      <c r="B254" s="13" t="s">
        <v>251</v>
      </c>
      <c r="C254" s="13" t="s">
        <v>1485</v>
      </c>
      <c r="D254" s="14" t="s">
        <v>1560</v>
      </c>
      <c r="E254" s="15" t="s">
        <v>1561</v>
      </c>
      <c r="F254" s="15" t="s">
        <v>1562</v>
      </c>
      <c r="G254" s="16">
        <v>355</v>
      </c>
      <c r="H254" s="17">
        <v>705030000</v>
      </c>
      <c r="I254" s="18"/>
      <c r="J254" s="18"/>
      <c r="K254" s="18"/>
      <c r="L254" s="18" t="s">
        <v>99</v>
      </c>
      <c r="M254" s="19">
        <v>17316</v>
      </c>
      <c r="N254" s="20" t="s">
        <v>100</v>
      </c>
      <c r="O254" s="13" t="b">
        <v>1</v>
      </c>
      <c r="P254" s="20" t="b">
        <v>1</v>
      </c>
      <c r="Q254" s="20" t="b">
        <v>1</v>
      </c>
      <c r="R254" s="13" t="b">
        <v>1</v>
      </c>
      <c r="S254" s="13" t="b">
        <v>1</v>
      </c>
      <c r="T254" s="13" t="b">
        <v>1</v>
      </c>
      <c r="U254" s="13" t="b">
        <v>1</v>
      </c>
      <c r="V254" s="13" t="b">
        <v>1</v>
      </c>
      <c r="W254" s="13" t="b">
        <v>1</v>
      </c>
      <c r="X254" s="13" t="b">
        <v>0</v>
      </c>
      <c r="Y254" s="21" t="s">
        <v>101</v>
      </c>
      <c r="Z254" s="21" t="s">
        <v>1563</v>
      </c>
      <c r="AA254" s="21" t="s">
        <v>1564</v>
      </c>
      <c r="AB254" s="22"/>
      <c r="AC254" s="23"/>
      <c r="AD254" s="13"/>
      <c r="AE254" s="13" t="b">
        <v>1</v>
      </c>
      <c r="AF254" s="48">
        <v>45880</v>
      </c>
      <c r="AG254" s="26"/>
      <c r="AH254" s="27" t="b">
        <v>1</v>
      </c>
      <c r="AI254" s="48">
        <v>45915</v>
      </c>
      <c r="AJ254" s="29" t="s">
        <v>1565</v>
      </c>
      <c r="AK254" s="27" t="b">
        <v>1</v>
      </c>
      <c r="AL254" s="30">
        <v>45982</v>
      </c>
      <c r="AM254" s="39" t="s">
        <v>472</v>
      </c>
      <c r="AN254" s="29"/>
      <c r="AO254" s="13"/>
      <c r="AP254" s="12"/>
      <c r="AQ254" s="16"/>
      <c r="AR254" s="32"/>
      <c r="AS254" s="33"/>
      <c r="AT254" s="32"/>
      <c r="AU254" s="33"/>
      <c r="AV254" s="34"/>
      <c r="AW254" s="33"/>
      <c r="AX254" s="35" t="b">
        <v>1</v>
      </c>
      <c r="AY254" s="36">
        <f>IF(MOD(H254,4)=0,H254/4,ROUNDUP(H254/4,0))</f>
        <v>176257500</v>
      </c>
      <c r="AZ254" s="37"/>
      <c r="BA254" s="38"/>
      <c r="BB254" s="37"/>
      <c r="BC254" s="38"/>
      <c r="BD254" s="37"/>
      <c r="BE254" s="38"/>
      <c r="BF254" s="37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  <c r="BS254" s="38"/>
      <c r="BT254" s="35" t="b">
        <v>1</v>
      </c>
      <c r="BU254" s="36">
        <f>IF(MOD(H254,4)=0,H254/4,ROUNDDOWN(H254/4,0))</f>
        <v>176257500</v>
      </c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5" t="b">
        <v>1</v>
      </c>
      <c r="CK254" s="36">
        <f>IF(MOD(H254,4)=0,H254/4,ROUNDUP(H254/4,0))</f>
        <v>176257500</v>
      </c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</row>
    <row r="255" spans="1:101" ht="32.25" customHeight="1" x14ac:dyDescent="0.25">
      <c r="A255" s="12">
        <f t="shared" si="0"/>
        <v>254</v>
      </c>
      <c r="B255" s="13" t="s">
        <v>251</v>
      </c>
      <c r="C255" s="13" t="s">
        <v>1485</v>
      </c>
      <c r="D255" s="14" t="s">
        <v>1566</v>
      </c>
      <c r="E255" s="15" t="s">
        <v>1567</v>
      </c>
      <c r="F255" s="15" t="s">
        <v>1568</v>
      </c>
      <c r="G255" s="16">
        <v>276</v>
      </c>
      <c r="H255" s="17">
        <v>548136000</v>
      </c>
      <c r="I255" s="18"/>
      <c r="J255" s="18"/>
      <c r="K255" s="18"/>
      <c r="L255" s="18" t="s">
        <v>99</v>
      </c>
      <c r="M255" s="19">
        <v>17317</v>
      </c>
      <c r="N255" s="20" t="s">
        <v>100</v>
      </c>
      <c r="O255" s="13" t="b">
        <v>1</v>
      </c>
      <c r="P255" s="20" t="b">
        <v>1</v>
      </c>
      <c r="Q255" s="20" t="b">
        <v>1</v>
      </c>
      <c r="R255" s="13" t="b">
        <v>1</v>
      </c>
      <c r="S255" s="13" t="b">
        <v>1</v>
      </c>
      <c r="T255" s="13" t="b">
        <v>1</v>
      </c>
      <c r="U255" s="13" t="b">
        <v>1</v>
      </c>
      <c r="V255" s="13" t="b">
        <v>1</v>
      </c>
      <c r="W255" s="13" t="b">
        <v>1</v>
      </c>
      <c r="X255" s="13" t="b">
        <v>1</v>
      </c>
      <c r="Y255" s="21" t="s">
        <v>101</v>
      </c>
      <c r="Z255" s="21" t="s">
        <v>1569</v>
      </c>
      <c r="AA255" s="21" t="s">
        <v>1570</v>
      </c>
      <c r="AB255" s="22"/>
      <c r="AC255" s="23"/>
      <c r="AD255" s="13"/>
      <c r="AE255" s="47" t="b">
        <v>1</v>
      </c>
      <c r="AF255" s="48">
        <v>45904</v>
      </c>
      <c r="AG255" s="26" t="s">
        <v>1571</v>
      </c>
      <c r="AH255" s="27" t="b">
        <v>1</v>
      </c>
      <c r="AI255" s="28">
        <v>45954</v>
      </c>
      <c r="AJ255" s="56" t="s">
        <v>1572</v>
      </c>
      <c r="AK255" s="39" t="b">
        <v>1</v>
      </c>
      <c r="AL255" s="40">
        <v>46008</v>
      </c>
      <c r="AM255" s="39" t="s">
        <v>472</v>
      </c>
      <c r="AN255" s="29"/>
      <c r="AO255" s="13"/>
      <c r="AP255" s="12"/>
      <c r="AQ255" s="16"/>
      <c r="AR255" s="32"/>
      <c r="AS255" s="33"/>
      <c r="AT255" s="32"/>
      <c r="AU255" s="33"/>
      <c r="AV255" s="34"/>
      <c r="AW255" s="33"/>
      <c r="AX255" s="37"/>
      <c r="AY255" s="38"/>
      <c r="AZ255" s="37"/>
      <c r="BA255" s="38"/>
      <c r="BB255" s="35" t="b">
        <v>1</v>
      </c>
      <c r="BC255" s="36">
        <f>IF(MOD(H255,4)=0,H255/4,ROUNDUP(H255/4,0))</f>
        <v>137034000</v>
      </c>
      <c r="BD255" s="41"/>
      <c r="BE255" s="36"/>
      <c r="BF255" s="41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41"/>
      <c r="BU255" s="41"/>
      <c r="BV255" s="35" t="b">
        <v>1</v>
      </c>
      <c r="BW255" s="41">
        <f>IF(MOD(H255,4)=0,H255/4,ROUNDDOWN(H255/4,0))</f>
        <v>137034000</v>
      </c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12" t="b">
        <v>1</v>
      </c>
      <c r="CS255" s="36">
        <f>IF(MOD(H255,4)=0,H255/4,ROUNDUP(H255/4,0))</f>
        <v>137034000</v>
      </c>
      <c r="CT255" s="36"/>
      <c r="CU255" s="36"/>
      <c r="CV255" s="36"/>
      <c r="CW255" s="36"/>
    </row>
    <row r="256" spans="1:101" ht="32.25" customHeight="1" x14ac:dyDescent="0.25">
      <c r="A256" s="12">
        <f t="shared" si="0"/>
        <v>255</v>
      </c>
      <c r="B256" s="13" t="s">
        <v>94</v>
      </c>
      <c r="C256" s="13" t="s">
        <v>1573</v>
      </c>
      <c r="D256" s="14" t="s">
        <v>1574</v>
      </c>
      <c r="E256" s="15" t="s">
        <v>1575</v>
      </c>
      <c r="F256" s="15" t="s">
        <v>1576</v>
      </c>
      <c r="G256" s="16">
        <v>105</v>
      </c>
      <c r="H256" s="17">
        <v>175953750</v>
      </c>
      <c r="I256" s="18"/>
      <c r="J256" s="18"/>
      <c r="K256" s="18"/>
      <c r="L256" s="18" t="s">
        <v>99</v>
      </c>
      <c r="M256" s="19">
        <v>17318</v>
      </c>
      <c r="N256" s="20" t="s">
        <v>100</v>
      </c>
      <c r="O256" s="13" t="b">
        <v>1</v>
      </c>
      <c r="P256" s="20" t="b">
        <v>1</v>
      </c>
      <c r="Q256" s="20" t="b">
        <v>1</v>
      </c>
      <c r="R256" s="13" t="b">
        <v>1</v>
      </c>
      <c r="S256" s="13" t="b">
        <v>1</v>
      </c>
      <c r="T256" s="13" t="b">
        <v>1</v>
      </c>
      <c r="U256" s="13" t="b">
        <v>1</v>
      </c>
      <c r="V256" s="13" t="b">
        <v>1</v>
      </c>
      <c r="W256" s="13" t="b">
        <v>1</v>
      </c>
      <c r="X256" s="13" t="b">
        <v>1</v>
      </c>
      <c r="Y256" s="21" t="s">
        <v>101</v>
      </c>
      <c r="Z256" s="21" t="s">
        <v>1577</v>
      </c>
      <c r="AA256" s="21" t="s">
        <v>1578</v>
      </c>
      <c r="AB256" s="22"/>
      <c r="AC256" s="69"/>
      <c r="AD256" s="13"/>
      <c r="AE256" s="13" t="b">
        <v>1</v>
      </c>
      <c r="AF256" s="48">
        <v>45880</v>
      </c>
      <c r="AG256" s="55"/>
      <c r="AH256" s="27" t="b">
        <v>1</v>
      </c>
      <c r="AI256" s="48">
        <v>45937</v>
      </c>
      <c r="AJ256" s="39" t="s">
        <v>104</v>
      </c>
      <c r="AK256" s="27" t="b">
        <v>1</v>
      </c>
      <c r="AL256" s="39"/>
      <c r="AM256" s="39"/>
      <c r="AN256" s="39"/>
      <c r="AO256" s="13"/>
      <c r="AP256" s="12"/>
      <c r="AQ256" s="16"/>
      <c r="AR256" s="32"/>
      <c r="AS256" s="33"/>
      <c r="AT256" s="32"/>
      <c r="AU256" s="33"/>
      <c r="AV256" s="34"/>
      <c r="AW256" s="33"/>
      <c r="AX256" s="35" t="b">
        <v>1</v>
      </c>
      <c r="AY256" s="36">
        <f t="shared" ref="AY256:AY257" si="97">IF(MOD(H256,4)=0,H256/4,ROUNDUP(H256/4,0))</f>
        <v>43988438</v>
      </c>
      <c r="AZ256" s="37"/>
      <c r="BA256" s="38"/>
      <c r="BB256" s="37"/>
      <c r="BC256" s="38"/>
      <c r="BD256" s="37"/>
      <c r="BE256" s="38"/>
      <c r="BF256" s="37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  <c r="BQ256" s="38"/>
      <c r="BR256" s="38"/>
      <c r="BS256" s="38"/>
      <c r="BT256" s="35" t="b">
        <v>1</v>
      </c>
      <c r="BU256" s="36">
        <f t="shared" ref="BU256:BU257" si="98">IF(MOD(H256,4)=0,H256/4,ROUNDDOWN(H256/4,0))</f>
        <v>43988437</v>
      </c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5" t="b">
        <v>1</v>
      </c>
      <c r="CO256" s="36">
        <f>IF(MOD(H256,4)=0,H256/4,ROUNDUP(H256/4,0))</f>
        <v>43988438</v>
      </c>
      <c r="CP256" s="36"/>
      <c r="CQ256" s="36"/>
      <c r="CR256" s="36"/>
      <c r="CS256" s="36"/>
      <c r="CT256" s="36"/>
      <c r="CU256" s="36"/>
      <c r="CV256" s="36"/>
      <c r="CW256" s="36"/>
    </row>
    <row r="257" spans="1:101" ht="32.25" customHeight="1" x14ac:dyDescent="0.25">
      <c r="A257" s="12">
        <f t="shared" ref="A257:A329" si="99">SUBTOTAL(3,$B$2:B257)</f>
        <v>256</v>
      </c>
      <c r="B257" s="13" t="s">
        <v>94</v>
      </c>
      <c r="C257" s="13" t="s">
        <v>1573</v>
      </c>
      <c r="D257" s="14" t="s">
        <v>1579</v>
      </c>
      <c r="E257" s="15" t="s">
        <v>1580</v>
      </c>
      <c r="F257" s="15" t="s">
        <v>1581</v>
      </c>
      <c r="G257" s="16">
        <v>851</v>
      </c>
      <c r="H257" s="17">
        <v>1426063250</v>
      </c>
      <c r="I257" s="18"/>
      <c r="J257" s="18"/>
      <c r="K257" s="18"/>
      <c r="L257" s="18" t="s">
        <v>99</v>
      </c>
      <c r="M257" s="19">
        <v>17319</v>
      </c>
      <c r="N257" s="20" t="s">
        <v>100</v>
      </c>
      <c r="O257" s="13" t="b">
        <v>1</v>
      </c>
      <c r="P257" s="20" t="b">
        <v>1</v>
      </c>
      <c r="Q257" s="20" t="b">
        <v>1</v>
      </c>
      <c r="R257" s="13" t="b">
        <v>1</v>
      </c>
      <c r="S257" s="13" t="b">
        <v>1</v>
      </c>
      <c r="T257" s="13" t="b">
        <v>1</v>
      </c>
      <c r="U257" s="13" t="b">
        <v>1</v>
      </c>
      <c r="V257" s="13" t="b">
        <v>1</v>
      </c>
      <c r="W257" s="13" t="b">
        <v>1</v>
      </c>
      <c r="X257" s="13" t="b">
        <v>1</v>
      </c>
      <c r="Y257" s="21" t="s">
        <v>101</v>
      </c>
      <c r="Z257" s="21" t="s">
        <v>1582</v>
      </c>
      <c r="AA257" s="21" t="s">
        <v>1583</v>
      </c>
      <c r="AB257" s="22"/>
      <c r="AC257" s="23"/>
      <c r="AD257" s="13"/>
      <c r="AE257" s="13" t="b">
        <v>1</v>
      </c>
      <c r="AF257" s="48">
        <v>45881</v>
      </c>
      <c r="AG257" s="55" t="s">
        <v>1584</v>
      </c>
      <c r="AH257" s="27" t="b">
        <v>1</v>
      </c>
      <c r="AI257" s="48">
        <v>45936</v>
      </c>
      <c r="AJ257" s="39" t="s">
        <v>478</v>
      </c>
      <c r="AK257" s="39" t="b">
        <v>1</v>
      </c>
      <c r="AL257" s="30">
        <v>46002</v>
      </c>
      <c r="AM257" s="39" t="s">
        <v>104</v>
      </c>
      <c r="AN257" s="39"/>
      <c r="AO257" s="13"/>
      <c r="AP257" s="12"/>
      <c r="AQ257" s="16"/>
      <c r="AR257" s="32"/>
      <c r="AS257" s="33"/>
      <c r="AT257" s="32"/>
      <c r="AU257" s="33"/>
      <c r="AV257" s="34"/>
      <c r="AW257" s="33"/>
      <c r="AX257" s="35" t="b">
        <v>1</v>
      </c>
      <c r="AY257" s="36">
        <f t="shared" si="97"/>
        <v>356515813</v>
      </c>
      <c r="AZ257" s="37"/>
      <c r="BA257" s="38"/>
      <c r="BB257" s="37"/>
      <c r="BC257" s="38"/>
      <c r="BD257" s="37"/>
      <c r="BE257" s="38"/>
      <c r="BF257" s="37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5" t="b">
        <v>1</v>
      </c>
      <c r="BU257" s="36">
        <f t="shared" si="98"/>
        <v>356515812</v>
      </c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12" t="b">
        <v>1</v>
      </c>
      <c r="CS257" s="36">
        <f>IF(MOD(H257,4)=0,H257/4,ROUNDUP(H257/4,0))</f>
        <v>356515813</v>
      </c>
      <c r="CT257" s="36"/>
      <c r="CU257" s="36"/>
      <c r="CV257" s="36"/>
      <c r="CW257" s="36"/>
    </row>
    <row r="258" spans="1:101" ht="32.25" customHeight="1" x14ac:dyDescent="0.25">
      <c r="A258" s="12">
        <f t="shared" si="99"/>
        <v>257</v>
      </c>
      <c r="B258" s="13" t="s">
        <v>94</v>
      </c>
      <c r="C258" s="13" t="s">
        <v>1573</v>
      </c>
      <c r="D258" s="14" t="s">
        <v>1585</v>
      </c>
      <c r="E258" s="15" t="s">
        <v>1586</v>
      </c>
      <c r="F258" s="15" t="s">
        <v>1587</v>
      </c>
      <c r="G258" s="16">
        <v>965</v>
      </c>
      <c r="H258" s="17">
        <v>1617098750</v>
      </c>
      <c r="I258" s="18"/>
      <c r="J258" s="18"/>
      <c r="K258" s="18"/>
      <c r="L258" s="18" t="s">
        <v>99</v>
      </c>
      <c r="M258" s="19">
        <v>17320</v>
      </c>
      <c r="N258" s="20" t="s">
        <v>100</v>
      </c>
      <c r="O258" s="13" t="b">
        <v>1</v>
      </c>
      <c r="P258" s="20" t="b">
        <v>1</v>
      </c>
      <c r="Q258" s="20" t="b">
        <v>1</v>
      </c>
      <c r="R258" s="13" t="b">
        <v>1</v>
      </c>
      <c r="S258" s="13" t="b">
        <v>1</v>
      </c>
      <c r="T258" s="13" t="b">
        <v>1</v>
      </c>
      <c r="U258" s="13" t="b">
        <v>1</v>
      </c>
      <c r="V258" s="13" t="b">
        <v>1</v>
      </c>
      <c r="W258" s="13" t="b">
        <v>1</v>
      </c>
      <c r="X258" s="13" t="b">
        <v>1</v>
      </c>
      <c r="Y258" s="21" t="s">
        <v>101</v>
      </c>
      <c r="Z258" s="21" t="s">
        <v>1588</v>
      </c>
      <c r="AA258" s="21" t="s">
        <v>1589</v>
      </c>
      <c r="AB258" s="22"/>
      <c r="AC258" s="23"/>
      <c r="AD258" s="13"/>
      <c r="AE258" s="47" t="b">
        <v>1</v>
      </c>
      <c r="AF258" s="48">
        <v>45936</v>
      </c>
      <c r="AG258" s="55"/>
      <c r="AH258" s="27" t="b">
        <v>1</v>
      </c>
      <c r="AI258" s="48">
        <v>45974</v>
      </c>
      <c r="AJ258" s="39" t="s">
        <v>104</v>
      </c>
      <c r="AK258" s="39" t="b">
        <v>1</v>
      </c>
      <c r="AL258" s="30">
        <v>45994</v>
      </c>
      <c r="AM258" s="39" t="s">
        <v>104</v>
      </c>
      <c r="AN258" s="39"/>
      <c r="AO258" s="13"/>
      <c r="AP258" s="12"/>
      <c r="AQ258" s="16"/>
      <c r="AR258" s="12"/>
      <c r="AS258" s="33"/>
      <c r="AT258" s="32"/>
      <c r="AU258" s="33"/>
      <c r="AV258" s="34"/>
      <c r="AW258" s="33"/>
      <c r="AX258" s="37"/>
      <c r="AY258" s="38"/>
      <c r="AZ258" s="37"/>
      <c r="BA258" s="38"/>
      <c r="BB258" s="37"/>
      <c r="BC258" s="38"/>
      <c r="BD258" s="37"/>
      <c r="BE258" s="38"/>
      <c r="BF258" s="35" t="b">
        <v>1</v>
      </c>
      <c r="BG258" s="38">
        <f>IF(MOD(H258,4)=0,H258/4,ROUNDUP(H258/4,0))</f>
        <v>404274688</v>
      </c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42" t="b">
        <v>1</v>
      </c>
      <c r="BY258" s="41">
        <f>IF(MOD(H258,4)=0,H258/4,ROUNDDOWN(H258/4,0))</f>
        <v>404274687</v>
      </c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35" t="b">
        <v>1</v>
      </c>
      <c r="CQ258" s="41">
        <f>IF(MOD(H258,4)=0,H258/4,ROUNDUP(H258/4,0))</f>
        <v>404274688</v>
      </c>
      <c r="CR258" s="41"/>
      <c r="CS258" s="41"/>
      <c r="CT258" s="41"/>
      <c r="CU258" s="41"/>
      <c r="CV258" s="41"/>
      <c r="CW258" s="41"/>
    </row>
    <row r="259" spans="1:101" ht="32.25" customHeight="1" x14ac:dyDescent="0.25">
      <c r="A259" s="12">
        <f t="shared" si="99"/>
        <v>258</v>
      </c>
      <c r="B259" s="13" t="s">
        <v>94</v>
      </c>
      <c r="C259" s="13" t="s">
        <v>1573</v>
      </c>
      <c r="D259" s="14" t="s">
        <v>1590</v>
      </c>
      <c r="E259" s="15" t="s">
        <v>1591</v>
      </c>
      <c r="F259" s="15" t="s">
        <v>1592</v>
      </c>
      <c r="G259" s="16">
        <v>62</v>
      </c>
      <c r="H259" s="17">
        <v>103896500</v>
      </c>
      <c r="I259" s="18"/>
      <c r="J259" s="18"/>
      <c r="K259" s="18"/>
      <c r="L259" s="18" t="s">
        <v>99</v>
      </c>
      <c r="M259" s="19">
        <v>17321</v>
      </c>
      <c r="N259" s="20" t="s">
        <v>100</v>
      </c>
      <c r="O259" s="13" t="b">
        <v>1</v>
      </c>
      <c r="P259" s="20" t="b">
        <v>1</v>
      </c>
      <c r="Q259" s="20" t="b">
        <v>1</v>
      </c>
      <c r="R259" s="13" t="b">
        <v>1</v>
      </c>
      <c r="S259" s="13" t="b">
        <v>1</v>
      </c>
      <c r="T259" s="13" t="b">
        <v>1</v>
      </c>
      <c r="U259" s="13" t="b">
        <v>1</v>
      </c>
      <c r="V259" s="13" t="b">
        <v>1</v>
      </c>
      <c r="W259" s="13" t="b">
        <v>1</v>
      </c>
      <c r="X259" s="13" t="b">
        <v>1</v>
      </c>
      <c r="Y259" s="21" t="s">
        <v>101</v>
      </c>
      <c r="Z259" s="21" t="s">
        <v>1593</v>
      </c>
      <c r="AA259" s="21" t="s">
        <v>1594</v>
      </c>
      <c r="AB259" s="22"/>
      <c r="AC259" s="23"/>
      <c r="AD259" s="13"/>
      <c r="AE259" s="13" t="b">
        <v>1</v>
      </c>
      <c r="AF259" s="48">
        <v>45904</v>
      </c>
      <c r="AG259" s="55" t="s">
        <v>104</v>
      </c>
      <c r="AH259" s="27" t="b">
        <v>1</v>
      </c>
      <c r="AI259" s="48">
        <v>45952</v>
      </c>
      <c r="AJ259" s="39" t="s">
        <v>104</v>
      </c>
      <c r="AK259" s="27" t="b">
        <v>1</v>
      </c>
      <c r="AL259" s="30">
        <v>45987</v>
      </c>
      <c r="AM259" s="39" t="s">
        <v>104</v>
      </c>
      <c r="AN259" s="39"/>
      <c r="AO259" s="13"/>
      <c r="AP259" s="12"/>
      <c r="AQ259" s="16"/>
      <c r="AR259" s="32"/>
      <c r="AS259" s="33"/>
      <c r="AT259" s="32"/>
      <c r="AU259" s="33"/>
      <c r="AV259" s="34"/>
      <c r="AW259" s="33"/>
      <c r="AX259" s="37"/>
      <c r="AY259" s="38"/>
      <c r="AZ259" s="37"/>
      <c r="BA259" s="38"/>
      <c r="BB259" s="35" t="b">
        <v>1</v>
      </c>
      <c r="BC259" s="36">
        <f>IF(MOD(H259,4)=0,H259/4,ROUNDUP(H259/4,0))</f>
        <v>25974125</v>
      </c>
      <c r="BD259" s="41"/>
      <c r="BE259" s="36"/>
      <c r="BF259" s="41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41"/>
      <c r="BU259" s="41"/>
      <c r="BV259" s="35" t="b">
        <v>1</v>
      </c>
      <c r="BW259" s="41">
        <f>IF(MOD(H259,4)=0,H259/4,ROUNDDOWN(H259/4,0))</f>
        <v>25974125</v>
      </c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35" t="b">
        <v>1</v>
      </c>
      <c r="CM259" s="41">
        <f>IF(MOD(H259,4)=0,H259/4,ROUNDUP(H259/4,0))</f>
        <v>25974125</v>
      </c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</row>
    <row r="260" spans="1:101" ht="32.25" customHeight="1" x14ac:dyDescent="0.4">
      <c r="A260" s="12">
        <f t="shared" si="99"/>
        <v>259</v>
      </c>
      <c r="B260" s="13" t="s">
        <v>94</v>
      </c>
      <c r="C260" s="13" t="s">
        <v>1573</v>
      </c>
      <c r="D260" s="14" t="s">
        <v>1595</v>
      </c>
      <c r="E260" s="15" t="s">
        <v>1596</v>
      </c>
      <c r="F260" s="15" t="s">
        <v>1597</v>
      </c>
      <c r="G260" s="16">
        <v>105</v>
      </c>
      <c r="H260" s="17">
        <v>175953750</v>
      </c>
      <c r="I260" s="18"/>
      <c r="J260" s="18"/>
      <c r="K260" s="18"/>
      <c r="L260" s="18" t="s">
        <v>99</v>
      </c>
      <c r="M260" s="19">
        <v>17322</v>
      </c>
      <c r="N260" s="20" t="s">
        <v>100</v>
      </c>
      <c r="O260" s="13" t="b">
        <v>1</v>
      </c>
      <c r="P260" s="20" t="b">
        <v>1</v>
      </c>
      <c r="Q260" s="20" t="b">
        <v>1</v>
      </c>
      <c r="R260" s="13" t="b">
        <v>1</v>
      </c>
      <c r="S260" s="13" t="b">
        <v>1</v>
      </c>
      <c r="T260" s="13" t="b">
        <v>1</v>
      </c>
      <c r="U260" s="13" t="b">
        <v>1</v>
      </c>
      <c r="V260" s="13" t="b">
        <v>1</v>
      </c>
      <c r="W260" s="13" t="b">
        <v>1</v>
      </c>
      <c r="X260" s="13" t="b">
        <v>0</v>
      </c>
      <c r="Y260" s="21" t="s">
        <v>101</v>
      </c>
      <c r="Z260" s="21" t="s">
        <v>1598</v>
      </c>
      <c r="AA260" s="21" t="s">
        <v>1599</v>
      </c>
      <c r="AB260" s="22"/>
      <c r="AC260" s="70"/>
      <c r="AD260" s="13"/>
      <c r="AE260" s="13" t="b">
        <v>1</v>
      </c>
      <c r="AF260" s="48">
        <v>45881</v>
      </c>
      <c r="AG260" s="55"/>
      <c r="AH260" s="27" t="b">
        <v>1</v>
      </c>
      <c r="AI260" s="48">
        <v>45936</v>
      </c>
      <c r="AJ260" s="39" t="s">
        <v>104</v>
      </c>
      <c r="AK260" s="27" t="b">
        <v>1</v>
      </c>
      <c r="AL260" s="71">
        <v>45979</v>
      </c>
      <c r="AM260" s="39" t="s">
        <v>104</v>
      </c>
      <c r="AN260" s="39"/>
      <c r="AO260" s="13"/>
      <c r="AP260" s="12"/>
      <c r="AQ260" s="16"/>
      <c r="AR260" s="12"/>
      <c r="AS260" s="33"/>
      <c r="AT260" s="32"/>
      <c r="AU260" s="33"/>
      <c r="AV260" s="34"/>
      <c r="AW260" s="33"/>
      <c r="AX260" s="35" t="b">
        <v>1</v>
      </c>
      <c r="AY260" s="36">
        <f t="shared" ref="AY260:AY265" si="100">IF(MOD(H260,4)=0,H260/4,ROUNDUP(H260/4,0))</f>
        <v>43988438</v>
      </c>
      <c r="AZ260" s="37"/>
      <c r="BA260" s="38"/>
      <c r="BB260" s="37"/>
      <c r="BC260" s="38"/>
      <c r="BD260" s="37"/>
      <c r="BE260" s="38"/>
      <c r="BF260" s="37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5" t="b">
        <v>1</v>
      </c>
      <c r="BU260" s="36">
        <f t="shared" ref="BU260:BU265" si="101">IF(MOD(H260,4)=0,H260/4,ROUNDDOWN(H260/4,0))</f>
        <v>43988437</v>
      </c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5" t="b">
        <v>1</v>
      </c>
      <c r="CK260" s="36">
        <f t="shared" ref="CK260:CK265" si="102">IF(MOD(H260,4)=0,H260/4,ROUNDUP(H260/4,0))</f>
        <v>43988438</v>
      </c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</row>
    <row r="261" spans="1:101" ht="32.25" customHeight="1" x14ac:dyDescent="0.4">
      <c r="A261" s="12">
        <f t="shared" si="99"/>
        <v>260</v>
      </c>
      <c r="B261" s="13" t="s">
        <v>94</v>
      </c>
      <c r="C261" s="13" t="s">
        <v>1573</v>
      </c>
      <c r="D261" s="14" t="s">
        <v>1600</v>
      </c>
      <c r="E261" s="15" t="s">
        <v>1601</v>
      </c>
      <c r="F261" s="15" t="s">
        <v>1602</v>
      </c>
      <c r="G261" s="16">
        <v>38</v>
      </c>
      <c r="H261" s="17">
        <v>63678500</v>
      </c>
      <c r="I261" s="18"/>
      <c r="J261" s="18"/>
      <c r="K261" s="18"/>
      <c r="L261" s="18" t="s">
        <v>99</v>
      </c>
      <c r="M261" s="19">
        <v>17323</v>
      </c>
      <c r="N261" s="20" t="s">
        <v>100</v>
      </c>
      <c r="O261" s="13" t="b">
        <v>1</v>
      </c>
      <c r="P261" s="20" t="b">
        <v>1</v>
      </c>
      <c r="Q261" s="20" t="b">
        <v>1</v>
      </c>
      <c r="R261" s="13" t="b">
        <v>0</v>
      </c>
      <c r="S261" s="13" t="b">
        <v>0</v>
      </c>
      <c r="T261" s="13" t="b">
        <v>1</v>
      </c>
      <c r="U261" s="13" t="b">
        <v>1</v>
      </c>
      <c r="V261" s="13" t="b">
        <v>1</v>
      </c>
      <c r="W261" s="13" t="b">
        <v>1</v>
      </c>
      <c r="X261" s="13" t="b">
        <v>0</v>
      </c>
      <c r="Y261" s="21" t="s">
        <v>182</v>
      </c>
      <c r="Z261" s="21" t="s">
        <v>1603</v>
      </c>
      <c r="AA261" s="21" t="s">
        <v>1604</v>
      </c>
      <c r="AB261" s="22"/>
      <c r="AC261" s="70"/>
      <c r="AD261" s="13"/>
      <c r="AE261" s="47" t="b">
        <v>1</v>
      </c>
      <c r="AF261" s="48">
        <v>45881</v>
      </c>
      <c r="AG261" s="55" t="s">
        <v>1605</v>
      </c>
      <c r="AH261" s="27" t="b">
        <v>1</v>
      </c>
      <c r="AI261" s="48">
        <v>45936</v>
      </c>
      <c r="AJ261" s="39" t="s">
        <v>1606</v>
      </c>
      <c r="AK261" s="27" t="b">
        <v>1</v>
      </c>
      <c r="AL261" s="71">
        <v>45979</v>
      </c>
      <c r="AM261" s="39" t="s">
        <v>1607</v>
      </c>
      <c r="AN261" s="39"/>
      <c r="AO261" s="13"/>
      <c r="AP261" s="12"/>
      <c r="AQ261" s="16"/>
      <c r="AR261" s="32"/>
      <c r="AS261" s="33"/>
      <c r="AT261" s="32"/>
      <c r="AU261" s="33"/>
      <c r="AV261" s="34"/>
      <c r="AW261" s="33"/>
      <c r="AX261" s="35" t="b">
        <v>1</v>
      </c>
      <c r="AY261" s="36">
        <f t="shared" si="100"/>
        <v>15919625</v>
      </c>
      <c r="AZ261" s="37"/>
      <c r="BA261" s="38"/>
      <c r="BB261" s="37"/>
      <c r="BC261" s="38"/>
      <c r="BD261" s="37"/>
      <c r="BE261" s="38"/>
      <c r="BF261" s="37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5" t="b">
        <v>1</v>
      </c>
      <c r="BU261" s="36">
        <f t="shared" si="101"/>
        <v>15919625</v>
      </c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5" t="b">
        <v>1</v>
      </c>
      <c r="CK261" s="36">
        <f t="shared" si="102"/>
        <v>15919625</v>
      </c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</row>
    <row r="262" spans="1:101" ht="32.25" customHeight="1" x14ac:dyDescent="0.4">
      <c r="A262" s="12">
        <f t="shared" si="99"/>
        <v>261</v>
      </c>
      <c r="B262" s="13" t="s">
        <v>94</v>
      </c>
      <c r="C262" s="13" t="s">
        <v>1573</v>
      </c>
      <c r="D262" s="14" t="s">
        <v>1608</v>
      </c>
      <c r="E262" s="15" t="s">
        <v>1609</v>
      </c>
      <c r="F262" s="15" t="s">
        <v>1610</v>
      </c>
      <c r="G262" s="16">
        <v>30</v>
      </c>
      <c r="H262" s="17">
        <v>50272500</v>
      </c>
      <c r="I262" s="18"/>
      <c r="J262" s="18"/>
      <c r="K262" s="18"/>
      <c r="L262" s="18" t="s">
        <v>99</v>
      </c>
      <c r="M262" s="19">
        <v>17324</v>
      </c>
      <c r="N262" s="20" t="s">
        <v>100</v>
      </c>
      <c r="O262" s="13" t="b">
        <v>1</v>
      </c>
      <c r="P262" s="20" t="b">
        <v>0</v>
      </c>
      <c r="Q262" s="20" t="b">
        <v>1</v>
      </c>
      <c r="R262" s="13" t="b">
        <v>0</v>
      </c>
      <c r="S262" s="13" t="b">
        <v>0</v>
      </c>
      <c r="T262" s="13" t="b">
        <v>1</v>
      </c>
      <c r="U262" s="13" t="b">
        <v>0</v>
      </c>
      <c r="V262" s="13" t="b">
        <v>1</v>
      </c>
      <c r="W262" s="13" t="b">
        <v>1</v>
      </c>
      <c r="X262" s="13" t="b">
        <v>0</v>
      </c>
      <c r="Y262" s="21" t="s">
        <v>182</v>
      </c>
      <c r="Z262" s="21" t="s">
        <v>1611</v>
      </c>
      <c r="AA262" s="21" t="s">
        <v>1612</v>
      </c>
      <c r="AB262" s="72"/>
      <c r="AC262" s="23"/>
      <c r="AD262" s="13"/>
      <c r="AE262" s="47" t="b">
        <v>1</v>
      </c>
      <c r="AF262" s="48">
        <v>45881</v>
      </c>
      <c r="AG262" s="55" t="s">
        <v>1605</v>
      </c>
      <c r="AH262" s="27" t="b">
        <v>1</v>
      </c>
      <c r="AI262" s="48">
        <v>45936</v>
      </c>
      <c r="AJ262" s="39" t="s">
        <v>478</v>
      </c>
      <c r="AK262" s="27" t="b">
        <v>1</v>
      </c>
      <c r="AL262" s="71">
        <v>45979</v>
      </c>
      <c r="AM262" s="39" t="s">
        <v>478</v>
      </c>
      <c r="AN262" s="39"/>
      <c r="AO262" s="13"/>
      <c r="AP262" s="12"/>
      <c r="AQ262" s="16"/>
      <c r="AR262" s="32"/>
      <c r="AS262" s="33"/>
      <c r="AT262" s="32"/>
      <c r="AU262" s="33"/>
      <c r="AV262" s="34"/>
      <c r="AW262" s="33"/>
      <c r="AX262" s="35" t="b">
        <v>1</v>
      </c>
      <c r="AY262" s="36">
        <f t="shared" si="100"/>
        <v>12568125</v>
      </c>
      <c r="AZ262" s="37"/>
      <c r="BA262" s="38"/>
      <c r="BB262" s="37"/>
      <c r="BC262" s="38"/>
      <c r="BD262" s="37"/>
      <c r="BE262" s="38"/>
      <c r="BF262" s="37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5" t="b">
        <v>1</v>
      </c>
      <c r="BU262" s="36">
        <f t="shared" si="101"/>
        <v>12568125</v>
      </c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5" t="b">
        <v>1</v>
      </c>
      <c r="CK262" s="36">
        <f t="shared" si="102"/>
        <v>12568125</v>
      </c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</row>
    <row r="263" spans="1:101" ht="32.25" customHeight="1" x14ac:dyDescent="0.4">
      <c r="A263" s="12">
        <f t="shared" si="99"/>
        <v>262</v>
      </c>
      <c r="B263" s="13" t="s">
        <v>94</v>
      </c>
      <c r="C263" s="13" t="s">
        <v>1573</v>
      </c>
      <c r="D263" s="14" t="s">
        <v>1613</v>
      </c>
      <c r="E263" s="15" t="s">
        <v>814</v>
      </c>
      <c r="F263" s="15" t="s">
        <v>1614</v>
      </c>
      <c r="G263" s="16">
        <v>331</v>
      </c>
      <c r="H263" s="17">
        <v>554673250</v>
      </c>
      <c r="I263" s="18"/>
      <c r="J263" s="18"/>
      <c r="K263" s="18"/>
      <c r="L263" s="18" t="s">
        <v>99</v>
      </c>
      <c r="M263" s="19">
        <v>17325</v>
      </c>
      <c r="N263" s="20" t="s">
        <v>100</v>
      </c>
      <c r="O263" s="13" t="b">
        <v>1</v>
      </c>
      <c r="P263" s="20" t="b">
        <v>0</v>
      </c>
      <c r="Q263" s="20" t="b">
        <v>1</v>
      </c>
      <c r="R263" s="13" t="b">
        <v>0</v>
      </c>
      <c r="S263" s="13" t="b">
        <v>0</v>
      </c>
      <c r="T263" s="13" t="b">
        <v>1</v>
      </c>
      <c r="U263" s="13" t="b">
        <v>1</v>
      </c>
      <c r="V263" s="13" t="b">
        <v>1</v>
      </c>
      <c r="W263" s="13" t="b">
        <v>1</v>
      </c>
      <c r="X263" s="13" t="b">
        <v>0</v>
      </c>
      <c r="Y263" s="21" t="s">
        <v>101</v>
      </c>
      <c r="Z263" s="21" t="s">
        <v>1615</v>
      </c>
      <c r="AA263" s="21" t="s">
        <v>1616</v>
      </c>
      <c r="AB263" s="72"/>
      <c r="AC263" s="70"/>
      <c r="AD263" s="13"/>
      <c r="AE263" s="47" t="b">
        <v>1</v>
      </c>
      <c r="AF263" s="48">
        <v>45881</v>
      </c>
      <c r="AG263" s="55" t="s">
        <v>590</v>
      </c>
      <c r="AH263" s="27" t="b">
        <v>1</v>
      </c>
      <c r="AI263" s="48">
        <v>45936</v>
      </c>
      <c r="AJ263" s="39" t="s">
        <v>104</v>
      </c>
      <c r="AK263" s="27" t="b">
        <v>1</v>
      </c>
      <c r="AL263" s="71">
        <v>45979</v>
      </c>
      <c r="AM263" s="39" t="s">
        <v>104</v>
      </c>
      <c r="AN263" s="39"/>
      <c r="AO263" s="13"/>
      <c r="AP263" s="12"/>
      <c r="AQ263" s="16"/>
      <c r="AR263" s="32"/>
      <c r="AS263" s="33"/>
      <c r="AT263" s="32"/>
      <c r="AU263" s="33"/>
      <c r="AV263" s="34"/>
      <c r="AW263" s="33"/>
      <c r="AX263" s="35" t="b">
        <v>1</v>
      </c>
      <c r="AY263" s="36">
        <f t="shared" si="100"/>
        <v>138668313</v>
      </c>
      <c r="AZ263" s="37"/>
      <c r="BA263" s="38"/>
      <c r="BB263" s="37"/>
      <c r="BC263" s="38"/>
      <c r="BD263" s="37"/>
      <c r="BE263" s="38"/>
      <c r="BF263" s="37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5" t="b">
        <v>1</v>
      </c>
      <c r="BU263" s="36">
        <f t="shared" si="101"/>
        <v>138668312</v>
      </c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5" t="b">
        <v>1</v>
      </c>
      <c r="CK263" s="36">
        <f t="shared" si="102"/>
        <v>138668313</v>
      </c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</row>
    <row r="264" spans="1:101" ht="32.25" customHeight="1" x14ac:dyDescent="0.4">
      <c r="A264" s="12">
        <f t="shared" si="99"/>
        <v>263</v>
      </c>
      <c r="B264" s="13" t="s">
        <v>94</v>
      </c>
      <c r="C264" s="13" t="s">
        <v>1573</v>
      </c>
      <c r="D264" s="14" t="s">
        <v>1617</v>
      </c>
      <c r="E264" s="15" t="s">
        <v>1618</v>
      </c>
      <c r="F264" s="15" t="s">
        <v>1619</v>
      </c>
      <c r="G264" s="16">
        <v>104</v>
      </c>
      <c r="H264" s="17">
        <v>174278000</v>
      </c>
      <c r="I264" s="18"/>
      <c r="J264" s="18"/>
      <c r="K264" s="18"/>
      <c r="L264" s="18" t="s">
        <v>99</v>
      </c>
      <c r="M264" s="19">
        <v>17326</v>
      </c>
      <c r="N264" s="20" t="s">
        <v>100</v>
      </c>
      <c r="O264" s="13" t="b">
        <v>1</v>
      </c>
      <c r="P264" s="20" t="b">
        <v>1</v>
      </c>
      <c r="Q264" s="20" t="b">
        <v>1</v>
      </c>
      <c r="R264" s="13" t="b">
        <v>1</v>
      </c>
      <c r="S264" s="13" t="b">
        <v>1</v>
      </c>
      <c r="T264" s="13" t="b">
        <v>1</v>
      </c>
      <c r="U264" s="13" t="b">
        <v>1</v>
      </c>
      <c r="V264" s="13" t="b">
        <v>1</v>
      </c>
      <c r="W264" s="13" t="b">
        <v>1</v>
      </c>
      <c r="X264" s="13" t="b">
        <v>1</v>
      </c>
      <c r="Y264" s="21" t="s">
        <v>101</v>
      </c>
      <c r="Z264" s="21" t="s">
        <v>1620</v>
      </c>
      <c r="AA264" s="21" t="s">
        <v>1621</v>
      </c>
      <c r="AB264" s="22"/>
      <c r="AC264" s="70"/>
      <c r="AD264" s="13"/>
      <c r="AE264" s="47" t="b">
        <v>1</v>
      </c>
      <c r="AF264" s="48">
        <v>45881</v>
      </c>
      <c r="AG264" s="55" t="s">
        <v>1622</v>
      </c>
      <c r="AH264" s="27" t="b">
        <v>1</v>
      </c>
      <c r="AI264" s="48">
        <v>45936</v>
      </c>
      <c r="AJ264" s="39" t="s">
        <v>1623</v>
      </c>
      <c r="AK264" s="27" t="b">
        <v>1</v>
      </c>
      <c r="AL264" s="71">
        <v>45979</v>
      </c>
      <c r="AM264" s="39" t="s">
        <v>1624</v>
      </c>
      <c r="AN264" s="39"/>
      <c r="AO264" s="13"/>
      <c r="AP264" s="12"/>
      <c r="AQ264" s="16"/>
      <c r="AR264" s="32"/>
      <c r="AS264" s="33"/>
      <c r="AT264" s="32"/>
      <c r="AU264" s="33"/>
      <c r="AV264" s="34"/>
      <c r="AW264" s="33"/>
      <c r="AX264" s="35" t="b">
        <v>1</v>
      </c>
      <c r="AY264" s="36">
        <f t="shared" si="100"/>
        <v>43569500</v>
      </c>
      <c r="AZ264" s="37"/>
      <c r="BA264" s="38"/>
      <c r="BB264" s="37"/>
      <c r="BC264" s="38"/>
      <c r="BD264" s="37"/>
      <c r="BE264" s="38"/>
      <c r="BF264" s="37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5" t="b">
        <v>1</v>
      </c>
      <c r="BU264" s="36">
        <f t="shared" si="101"/>
        <v>43569500</v>
      </c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5" t="b">
        <v>1</v>
      </c>
      <c r="CK264" s="36">
        <f t="shared" si="102"/>
        <v>43569500</v>
      </c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</row>
    <row r="265" spans="1:101" ht="32.25" customHeight="1" x14ac:dyDescent="0.4">
      <c r="A265" s="12">
        <f t="shared" si="99"/>
        <v>264</v>
      </c>
      <c r="B265" s="13" t="s">
        <v>94</v>
      </c>
      <c r="C265" s="13" t="s">
        <v>1573</v>
      </c>
      <c r="D265" s="14" t="s">
        <v>1625</v>
      </c>
      <c r="E265" s="15" t="s">
        <v>1626</v>
      </c>
      <c r="F265" s="15" t="s">
        <v>1627</v>
      </c>
      <c r="G265" s="16">
        <v>90</v>
      </c>
      <c r="H265" s="17">
        <v>150817500</v>
      </c>
      <c r="I265" s="18"/>
      <c r="J265" s="18"/>
      <c r="K265" s="18"/>
      <c r="L265" s="18" t="s">
        <v>99</v>
      </c>
      <c r="M265" s="19">
        <v>17327</v>
      </c>
      <c r="N265" s="20" t="s">
        <v>100</v>
      </c>
      <c r="O265" s="13" t="b">
        <v>1</v>
      </c>
      <c r="P265" s="20" t="b">
        <v>1</v>
      </c>
      <c r="Q265" s="20" t="b">
        <v>1</v>
      </c>
      <c r="R265" s="13" t="b">
        <v>1</v>
      </c>
      <c r="S265" s="13" t="b">
        <v>1</v>
      </c>
      <c r="T265" s="13" t="b">
        <v>1</v>
      </c>
      <c r="U265" s="13" t="b">
        <v>1</v>
      </c>
      <c r="V265" s="13" t="b">
        <v>1</v>
      </c>
      <c r="W265" s="13" t="b">
        <v>1</v>
      </c>
      <c r="X265" s="13" t="b">
        <v>0</v>
      </c>
      <c r="Y265" s="21" t="s">
        <v>101</v>
      </c>
      <c r="Z265" s="21" t="s">
        <v>1628</v>
      </c>
      <c r="AA265" s="21" t="s">
        <v>1629</v>
      </c>
      <c r="AB265" s="72"/>
      <c r="AC265" s="70"/>
      <c r="AD265" s="13"/>
      <c r="AE265" s="47" t="b">
        <v>1</v>
      </c>
      <c r="AF265" s="48">
        <v>45881</v>
      </c>
      <c r="AG265" s="55" t="s">
        <v>590</v>
      </c>
      <c r="AH265" s="27" t="b">
        <v>1</v>
      </c>
      <c r="AI265" s="48">
        <v>45936</v>
      </c>
      <c r="AJ265" s="39" t="s">
        <v>478</v>
      </c>
      <c r="AK265" s="27" t="b">
        <v>1</v>
      </c>
      <c r="AL265" s="71">
        <v>45979</v>
      </c>
      <c r="AM265" s="39" t="s">
        <v>1630</v>
      </c>
      <c r="AN265" s="39"/>
      <c r="AO265" s="13"/>
      <c r="AP265" s="12"/>
      <c r="AQ265" s="16"/>
      <c r="AR265" s="32"/>
      <c r="AS265" s="33"/>
      <c r="AT265" s="32"/>
      <c r="AU265" s="33"/>
      <c r="AV265" s="34"/>
      <c r="AW265" s="33"/>
      <c r="AX265" s="35" t="b">
        <v>1</v>
      </c>
      <c r="AY265" s="36">
        <f t="shared" si="100"/>
        <v>37704375</v>
      </c>
      <c r="AZ265" s="37"/>
      <c r="BA265" s="38"/>
      <c r="BB265" s="37"/>
      <c r="BC265" s="38"/>
      <c r="BD265" s="37"/>
      <c r="BE265" s="38"/>
      <c r="BF265" s="37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5" t="b">
        <v>1</v>
      </c>
      <c r="BU265" s="36">
        <f t="shared" si="101"/>
        <v>37704375</v>
      </c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5" t="b">
        <v>1</v>
      </c>
      <c r="CK265" s="36">
        <f t="shared" si="102"/>
        <v>37704375</v>
      </c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</row>
    <row r="266" spans="1:101" ht="32.25" customHeight="1" x14ac:dyDescent="0.4">
      <c r="A266" s="12">
        <f t="shared" si="99"/>
        <v>265</v>
      </c>
      <c r="B266" s="13" t="s">
        <v>94</v>
      </c>
      <c r="C266" s="13" t="s">
        <v>1573</v>
      </c>
      <c r="D266" s="14" t="s">
        <v>1631</v>
      </c>
      <c r="E266" s="15" t="s">
        <v>1632</v>
      </c>
      <c r="F266" s="15" t="s">
        <v>1633</v>
      </c>
      <c r="G266" s="16">
        <v>108</v>
      </c>
      <c r="H266" s="17">
        <v>180981000</v>
      </c>
      <c r="I266" s="18"/>
      <c r="J266" s="18"/>
      <c r="K266" s="18"/>
      <c r="L266" s="18" t="s">
        <v>99</v>
      </c>
      <c r="M266" s="19">
        <v>17328</v>
      </c>
      <c r="N266" s="20" t="s">
        <v>100</v>
      </c>
      <c r="O266" s="13" t="b">
        <v>1</v>
      </c>
      <c r="P266" s="20" t="b">
        <v>0</v>
      </c>
      <c r="Q266" s="20" t="b">
        <v>1</v>
      </c>
      <c r="R266" s="13" t="b">
        <v>1</v>
      </c>
      <c r="S266" s="13" t="b">
        <v>1</v>
      </c>
      <c r="T266" s="13" t="b">
        <v>1</v>
      </c>
      <c r="U266" s="13" t="b">
        <v>1</v>
      </c>
      <c r="V266" s="13" t="b">
        <v>1</v>
      </c>
      <c r="W266" s="13" t="b">
        <v>1</v>
      </c>
      <c r="X266" s="13" t="b">
        <v>0</v>
      </c>
      <c r="Y266" s="21" t="s">
        <v>101</v>
      </c>
      <c r="Z266" s="21" t="s">
        <v>1634</v>
      </c>
      <c r="AA266" s="21" t="s">
        <v>1635</v>
      </c>
      <c r="AB266" s="72"/>
      <c r="AC266" s="70"/>
      <c r="AD266" s="13"/>
      <c r="AE266" s="13" t="b">
        <v>1</v>
      </c>
      <c r="AF266" s="48">
        <v>45926</v>
      </c>
      <c r="AG266" s="55" t="s">
        <v>145</v>
      </c>
      <c r="AH266" s="27" t="b">
        <v>1</v>
      </c>
      <c r="AI266" s="71">
        <v>45979</v>
      </c>
      <c r="AJ266" s="39" t="s">
        <v>1636</v>
      </c>
      <c r="AK266" s="39" t="b">
        <v>1</v>
      </c>
      <c r="AL266" s="71">
        <v>46003</v>
      </c>
      <c r="AM266" s="39" t="s">
        <v>1637</v>
      </c>
      <c r="AN266" s="39"/>
      <c r="AO266" s="13"/>
      <c r="AP266" s="12"/>
      <c r="AQ266" s="16"/>
      <c r="AR266" s="32"/>
      <c r="AS266" s="33"/>
      <c r="AT266" s="32"/>
      <c r="AU266" s="33"/>
      <c r="AV266" s="34"/>
      <c r="AW266" s="33"/>
      <c r="AX266" s="37"/>
      <c r="AY266" s="38"/>
      <c r="AZ266" s="37"/>
      <c r="BA266" s="38"/>
      <c r="BB266" s="37"/>
      <c r="BC266" s="38"/>
      <c r="BD266" s="42" t="b">
        <v>1</v>
      </c>
      <c r="BE266" s="36">
        <f>IF(MOD(H266,4)=0,H266/4,ROUNDUP(H266/4,0))</f>
        <v>45245250</v>
      </c>
      <c r="BF266" s="41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41"/>
      <c r="BU266" s="41"/>
      <c r="BV266" s="41"/>
      <c r="BW266" s="41"/>
      <c r="BX266" s="42" t="b">
        <v>1</v>
      </c>
      <c r="BY266" s="41">
        <f>IF(MOD(H266,4)=0,H266/4,ROUNDDOWN(H266/4,0))</f>
        <v>45245250</v>
      </c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12" t="b">
        <v>1</v>
      </c>
      <c r="CS266" s="36">
        <f>IF(MOD(H266,4)=0,H266/4,ROUNDUP(H266/4,0))</f>
        <v>45245250</v>
      </c>
      <c r="CT266" s="36"/>
      <c r="CU266" s="36"/>
      <c r="CV266" s="36"/>
      <c r="CW266" s="36"/>
    </row>
    <row r="267" spans="1:101" ht="32.25" customHeight="1" x14ac:dyDescent="0.4">
      <c r="A267" s="12">
        <f t="shared" si="99"/>
        <v>266</v>
      </c>
      <c r="B267" s="13" t="s">
        <v>94</v>
      </c>
      <c r="C267" s="13" t="s">
        <v>1573</v>
      </c>
      <c r="D267" s="14" t="s">
        <v>1638</v>
      </c>
      <c r="E267" s="15" t="s">
        <v>1639</v>
      </c>
      <c r="F267" s="15" t="s">
        <v>1640</v>
      </c>
      <c r="G267" s="16">
        <v>98</v>
      </c>
      <c r="H267" s="17">
        <v>164223500</v>
      </c>
      <c r="I267" s="18"/>
      <c r="J267" s="18"/>
      <c r="K267" s="18"/>
      <c r="L267" s="18" t="s">
        <v>99</v>
      </c>
      <c r="M267" s="19">
        <v>17329</v>
      </c>
      <c r="N267" s="20" t="s">
        <v>100</v>
      </c>
      <c r="O267" s="13" t="b">
        <v>1</v>
      </c>
      <c r="P267" s="20" t="b">
        <v>1</v>
      </c>
      <c r="Q267" s="20" t="b">
        <v>1</v>
      </c>
      <c r="R267" s="13" t="b">
        <v>1</v>
      </c>
      <c r="S267" s="13" t="b">
        <v>1</v>
      </c>
      <c r="T267" s="13" t="b">
        <v>1</v>
      </c>
      <c r="U267" s="13" t="b">
        <v>1</v>
      </c>
      <c r="V267" s="13" t="b">
        <v>1</v>
      </c>
      <c r="W267" s="13" t="b">
        <v>1</v>
      </c>
      <c r="X267" s="13" t="b">
        <v>0</v>
      </c>
      <c r="Y267" s="21" t="s">
        <v>101</v>
      </c>
      <c r="Z267" s="21" t="s">
        <v>1641</v>
      </c>
      <c r="AA267" s="21" t="s">
        <v>1642</v>
      </c>
      <c r="AB267" s="22"/>
      <c r="AC267" s="70"/>
      <c r="AD267" s="13"/>
      <c r="AE267" s="13" t="b">
        <v>1</v>
      </c>
      <c r="AF267" s="48">
        <v>45881</v>
      </c>
      <c r="AG267" s="55" t="s">
        <v>1643</v>
      </c>
      <c r="AH267" s="27" t="b">
        <v>1</v>
      </c>
      <c r="AI267" s="48">
        <v>45936</v>
      </c>
      <c r="AJ267" s="39" t="s">
        <v>1644</v>
      </c>
      <c r="AK267" s="27" t="b">
        <v>1</v>
      </c>
      <c r="AL267" s="71">
        <v>45979</v>
      </c>
      <c r="AM267" s="39" t="s">
        <v>104</v>
      </c>
      <c r="AN267" s="39"/>
      <c r="AO267" s="13"/>
      <c r="AP267" s="12"/>
      <c r="AQ267" s="16"/>
      <c r="AR267" s="12"/>
      <c r="AS267" s="33"/>
      <c r="AT267" s="32"/>
      <c r="AU267" s="33"/>
      <c r="AV267" s="34"/>
      <c r="AW267" s="33"/>
      <c r="AX267" s="35" t="b">
        <v>1</v>
      </c>
      <c r="AY267" s="36">
        <f t="shared" ref="AY267:AY270" si="103">IF(MOD(H267,4)=0,H267/4,ROUNDUP(H267/4,0))</f>
        <v>41055875</v>
      </c>
      <c r="AZ267" s="37"/>
      <c r="BA267" s="38"/>
      <c r="BB267" s="37"/>
      <c r="BC267" s="38"/>
      <c r="BD267" s="37"/>
      <c r="BE267" s="38"/>
      <c r="BF267" s="37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5" t="b">
        <v>1</v>
      </c>
      <c r="BU267" s="36">
        <f t="shared" ref="BU267:BU270" si="104">IF(MOD(H267,4)=0,H267/4,ROUNDDOWN(H267/4,0))</f>
        <v>41055875</v>
      </c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5" t="b">
        <v>1</v>
      </c>
      <c r="CK267" s="36">
        <f t="shared" ref="CK267:CK270" si="105">IF(MOD(H267,4)=0,H267/4,ROUNDUP(H267/4,0))</f>
        <v>41055875</v>
      </c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</row>
    <row r="268" spans="1:101" ht="32.25" customHeight="1" x14ac:dyDescent="0.4">
      <c r="A268" s="12">
        <f t="shared" si="99"/>
        <v>267</v>
      </c>
      <c r="B268" s="13" t="s">
        <v>94</v>
      </c>
      <c r="C268" s="13" t="s">
        <v>1573</v>
      </c>
      <c r="D268" s="14" t="s">
        <v>1645</v>
      </c>
      <c r="E268" s="15" t="s">
        <v>1646</v>
      </c>
      <c r="F268" s="15" t="s">
        <v>1647</v>
      </c>
      <c r="G268" s="16">
        <v>48</v>
      </c>
      <c r="H268" s="17">
        <v>80436000</v>
      </c>
      <c r="I268" s="18"/>
      <c r="J268" s="18"/>
      <c r="K268" s="18"/>
      <c r="L268" s="18" t="s">
        <v>99</v>
      </c>
      <c r="M268" s="19">
        <v>17330</v>
      </c>
      <c r="N268" s="20" t="s">
        <v>100</v>
      </c>
      <c r="O268" s="13" t="b">
        <v>1</v>
      </c>
      <c r="P268" s="20" t="b">
        <v>0</v>
      </c>
      <c r="Q268" s="20" t="b">
        <v>1</v>
      </c>
      <c r="R268" s="13" t="b">
        <v>1</v>
      </c>
      <c r="S268" s="13" t="b">
        <v>0</v>
      </c>
      <c r="T268" s="13" t="b">
        <v>0</v>
      </c>
      <c r="U268" s="13" t="b">
        <v>1</v>
      </c>
      <c r="V268" s="13" t="b">
        <v>0</v>
      </c>
      <c r="W268" s="13" t="b">
        <v>1</v>
      </c>
      <c r="X268" s="13" t="b">
        <v>0</v>
      </c>
      <c r="Y268" s="21" t="s">
        <v>101</v>
      </c>
      <c r="Z268" s="21" t="s">
        <v>1648</v>
      </c>
      <c r="AA268" s="21" t="s">
        <v>1649</v>
      </c>
      <c r="AB268" s="72"/>
      <c r="AC268" s="70"/>
      <c r="AD268" s="13"/>
      <c r="AE268" s="47" t="b">
        <v>1</v>
      </c>
      <c r="AF268" s="48">
        <v>45881</v>
      </c>
      <c r="AG268" s="55" t="s">
        <v>1650</v>
      </c>
      <c r="AH268" s="27" t="b">
        <v>1</v>
      </c>
      <c r="AI268" s="48">
        <v>45936</v>
      </c>
      <c r="AJ268" s="39" t="s">
        <v>104</v>
      </c>
      <c r="AK268" s="27" t="b">
        <v>1</v>
      </c>
      <c r="AL268" s="71">
        <v>45979</v>
      </c>
      <c r="AM268" s="39" t="s">
        <v>1651</v>
      </c>
      <c r="AN268" s="39"/>
      <c r="AO268" s="13"/>
      <c r="AP268" s="12"/>
      <c r="AQ268" s="16"/>
      <c r="AR268" s="32"/>
      <c r="AS268" s="33"/>
      <c r="AT268" s="32"/>
      <c r="AU268" s="33"/>
      <c r="AV268" s="34"/>
      <c r="AW268" s="33"/>
      <c r="AX268" s="35" t="b">
        <v>1</v>
      </c>
      <c r="AY268" s="36">
        <f t="shared" si="103"/>
        <v>20109000</v>
      </c>
      <c r="AZ268" s="37"/>
      <c r="BA268" s="38"/>
      <c r="BB268" s="37"/>
      <c r="BC268" s="38"/>
      <c r="BD268" s="37"/>
      <c r="BE268" s="38"/>
      <c r="BF268" s="37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5" t="b">
        <v>1</v>
      </c>
      <c r="BU268" s="36">
        <f t="shared" si="104"/>
        <v>20109000</v>
      </c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5" t="b">
        <v>1</v>
      </c>
      <c r="CK268" s="36">
        <f t="shared" si="105"/>
        <v>20109000</v>
      </c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</row>
    <row r="269" spans="1:101" ht="32.25" customHeight="1" x14ac:dyDescent="0.4">
      <c r="A269" s="12">
        <f t="shared" si="99"/>
        <v>268</v>
      </c>
      <c r="B269" s="13" t="s">
        <v>94</v>
      </c>
      <c r="C269" s="13" t="s">
        <v>1573</v>
      </c>
      <c r="D269" s="14" t="s">
        <v>1652</v>
      </c>
      <c r="E269" s="15" t="s">
        <v>147</v>
      </c>
      <c r="F269" s="15" t="s">
        <v>1653</v>
      </c>
      <c r="G269" s="16">
        <v>33</v>
      </c>
      <c r="H269" s="17">
        <v>55299750</v>
      </c>
      <c r="I269" s="18"/>
      <c r="J269" s="18"/>
      <c r="K269" s="18"/>
      <c r="L269" s="18" t="s">
        <v>99</v>
      </c>
      <c r="M269" s="19">
        <v>17331</v>
      </c>
      <c r="N269" s="20" t="s">
        <v>100</v>
      </c>
      <c r="O269" s="13" t="b">
        <v>1</v>
      </c>
      <c r="P269" s="20" t="b">
        <v>1</v>
      </c>
      <c r="Q269" s="20" t="b">
        <v>1</v>
      </c>
      <c r="R269" s="13" t="b">
        <v>1</v>
      </c>
      <c r="S269" s="13" t="b">
        <v>0</v>
      </c>
      <c r="T269" s="13" t="b">
        <v>0</v>
      </c>
      <c r="U269" s="13" t="b">
        <v>1</v>
      </c>
      <c r="V269" s="13" t="b">
        <v>0</v>
      </c>
      <c r="W269" s="13" t="b">
        <v>1</v>
      </c>
      <c r="X269" s="13" t="b">
        <v>0</v>
      </c>
      <c r="Y269" s="21" t="s">
        <v>182</v>
      </c>
      <c r="Z269" s="21" t="s">
        <v>1654</v>
      </c>
      <c r="AA269" s="21" t="s">
        <v>1655</v>
      </c>
      <c r="AB269" s="72"/>
      <c r="AC269" s="70"/>
      <c r="AD269" s="13"/>
      <c r="AE269" s="47" t="b">
        <v>1</v>
      </c>
      <c r="AF269" s="39" t="s">
        <v>1656</v>
      </c>
      <c r="AG269" s="55" t="s">
        <v>1657</v>
      </c>
      <c r="AH269" s="27" t="b">
        <v>1</v>
      </c>
      <c r="AI269" s="48">
        <v>45936</v>
      </c>
      <c r="AJ269" s="39" t="s">
        <v>1658</v>
      </c>
      <c r="AK269" s="27" t="b">
        <v>1</v>
      </c>
      <c r="AL269" s="71">
        <v>45979</v>
      </c>
      <c r="AM269" s="39" t="s">
        <v>1659</v>
      </c>
      <c r="AN269" s="39"/>
      <c r="AO269" s="13"/>
      <c r="AP269" s="12"/>
      <c r="AQ269" s="16"/>
      <c r="AR269" s="32"/>
      <c r="AS269" s="33"/>
      <c r="AT269" s="32"/>
      <c r="AU269" s="33"/>
      <c r="AV269" s="34"/>
      <c r="AW269" s="33"/>
      <c r="AX269" s="35" t="b">
        <v>1</v>
      </c>
      <c r="AY269" s="36">
        <f t="shared" si="103"/>
        <v>13824938</v>
      </c>
      <c r="AZ269" s="37"/>
      <c r="BA269" s="38"/>
      <c r="BB269" s="37"/>
      <c r="BC269" s="38"/>
      <c r="BD269" s="37"/>
      <c r="BE269" s="38"/>
      <c r="BF269" s="37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5" t="b">
        <v>1</v>
      </c>
      <c r="BU269" s="36">
        <f t="shared" si="104"/>
        <v>13824937</v>
      </c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5" t="b">
        <v>1</v>
      </c>
      <c r="CK269" s="36">
        <f t="shared" si="105"/>
        <v>13824938</v>
      </c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</row>
    <row r="270" spans="1:101" ht="32.25" customHeight="1" x14ac:dyDescent="0.25">
      <c r="A270" s="12">
        <f t="shared" si="99"/>
        <v>269</v>
      </c>
      <c r="B270" s="13" t="s">
        <v>94</v>
      </c>
      <c r="C270" s="13" t="s">
        <v>1573</v>
      </c>
      <c r="D270" s="14" t="s">
        <v>1660</v>
      </c>
      <c r="E270" s="15" t="s">
        <v>1661</v>
      </c>
      <c r="F270" s="15" t="s">
        <v>1662</v>
      </c>
      <c r="G270" s="16">
        <v>329</v>
      </c>
      <c r="H270" s="17">
        <v>551321750</v>
      </c>
      <c r="I270" s="18"/>
      <c r="J270" s="18"/>
      <c r="K270" s="18"/>
      <c r="L270" s="18" t="s">
        <v>99</v>
      </c>
      <c r="M270" s="19">
        <v>17332</v>
      </c>
      <c r="N270" s="20" t="s">
        <v>100</v>
      </c>
      <c r="O270" s="13" t="b">
        <v>1</v>
      </c>
      <c r="P270" s="20" t="b">
        <v>1</v>
      </c>
      <c r="Q270" s="20" t="b">
        <v>1</v>
      </c>
      <c r="R270" s="13" t="b">
        <v>1</v>
      </c>
      <c r="S270" s="13" t="b">
        <v>1</v>
      </c>
      <c r="T270" s="13" t="b">
        <v>1</v>
      </c>
      <c r="U270" s="13" t="b">
        <v>1</v>
      </c>
      <c r="V270" s="13" t="b">
        <v>1</v>
      </c>
      <c r="W270" s="13" t="b">
        <v>1</v>
      </c>
      <c r="X270" s="13" t="b">
        <v>0</v>
      </c>
      <c r="Y270" s="15" t="s">
        <v>101</v>
      </c>
      <c r="Z270" s="21" t="s">
        <v>1663</v>
      </c>
      <c r="AA270" s="21" t="s">
        <v>1664</v>
      </c>
      <c r="AB270" s="22"/>
      <c r="AC270" s="70"/>
      <c r="AD270" s="15"/>
      <c r="AE270" s="47" t="b">
        <v>1</v>
      </c>
      <c r="AF270" s="39" t="s">
        <v>1656</v>
      </c>
      <c r="AG270" s="55"/>
      <c r="AH270" s="27" t="b">
        <v>1</v>
      </c>
      <c r="AI270" s="48">
        <v>45936</v>
      </c>
      <c r="AJ270" s="39" t="s">
        <v>104</v>
      </c>
      <c r="AK270" s="27" t="b">
        <v>1</v>
      </c>
      <c r="AL270" s="30">
        <v>45978</v>
      </c>
      <c r="AM270" s="39" t="s">
        <v>104</v>
      </c>
      <c r="AN270" s="39"/>
      <c r="AO270" s="13"/>
      <c r="AP270" s="12"/>
      <c r="AQ270" s="16"/>
      <c r="AR270" s="12"/>
      <c r="AS270" s="33"/>
      <c r="AT270" s="32"/>
      <c r="AU270" s="33"/>
      <c r="AV270" s="34"/>
      <c r="AW270" s="33"/>
      <c r="AX270" s="35" t="b">
        <v>1</v>
      </c>
      <c r="AY270" s="36">
        <f t="shared" si="103"/>
        <v>137830438</v>
      </c>
      <c r="AZ270" s="37"/>
      <c r="BA270" s="38"/>
      <c r="BB270" s="37"/>
      <c r="BC270" s="38"/>
      <c r="BD270" s="37"/>
      <c r="BE270" s="38"/>
      <c r="BF270" s="37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5" t="b">
        <v>1</v>
      </c>
      <c r="BU270" s="36">
        <f t="shared" si="104"/>
        <v>137830437</v>
      </c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5" t="b">
        <v>1</v>
      </c>
      <c r="CK270" s="36">
        <f t="shared" si="105"/>
        <v>137830438</v>
      </c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</row>
    <row r="271" spans="1:101" ht="32.25" customHeight="1" x14ac:dyDescent="0.25">
      <c r="A271" s="12">
        <f t="shared" si="99"/>
        <v>270</v>
      </c>
      <c r="B271" s="13" t="s">
        <v>151</v>
      </c>
      <c r="C271" s="13" t="s">
        <v>1573</v>
      </c>
      <c r="D271" s="14" t="s">
        <v>1665</v>
      </c>
      <c r="E271" s="15" t="s">
        <v>1666</v>
      </c>
      <c r="F271" s="15" t="s">
        <v>1667</v>
      </c>
      <c r="G271" s="16">
        <v>22</v>
      </c>
      <c r="H271" s="17">
        <v>45375000</v>
      </c>
      <c r="I271" s="18"/>
      <c r="J271" s="18"/>
      <c r="K271" s="18"/>
      <c r="L271" s="18" t="s">
        <v>99</v>
      </c>
      <c r="M271" s="19">
        <v>17333</v>
      </c>
      <c r="N271" s="20" t="s">
        <v>100</v>
      </c>
      <c r="O271" s="13" t="b">
        <v>1</v>
      </c>
      <c r="P271" s="20" t="b">
        <v>1</v>
      </c>
      <c r="Q271" s="20" t="b">
        <v>1</v>
      </c>
      <c r="R271" s="13" t="b">
        <v>1</v>
      </c>
      <c r="S271" s="13" t="b">
        <v>1</v>
      </c>
      <c r="T271" s="13" t="b">
        <v>1</v>
      </c>
      <c r="U271" s="13" t="b">
        <v>0</v>
      </c>
      <c r="V271" s="13" t="b">
        <v>0</v>
      </c>
      <c r="W271" s="13" t="b">
        <v>0</v>
      </c>
      <c r="X271" s="13" t="b">
        <v>0</v>
      </c>
      <c r="Y271" s="21" t="s">
        <v>443</v>
      </c>
      <c r="Z271" s="21" t="s">
        <v>1668</v>
      </c>
      <c r="AA271" s="21" t="s">
        <v>1669</v>
      </c>
      <c r="AB271" s="22"/>
      <c r="AC271" s="23"/>
      <c r="AD271" s="13"/>
      <c r="AE271" s="47" t="b">
        <v>1</v>
      </c>
      <c r="AF271" s="48">
        <v>45890</v>
      </c>
      <c r="AG271" s="26"/>
      <c r="AH271" s="27" t="b">
        <v>1</v>
      </c>
      <c r="AI271" s="28">
        <v>45939</v>
      </c>
      <c r="AJ271" s="49" t="s">
        <v>104</v>
      </c>
      <c r="AK271" s="39" t="b">
        <v>1</v>
      </c>
      <c r="AL271" s="40">
        <v>45994</v>
      </c>
      <c r="AM271" s="29" t="s">
        <v>104</v>
      </c>
      <c r="AN271" s="29"/>
      <c r="AO271" s="13"/>
      <c r="AP271" s="12"/>
      <c r="AQ271" s="16"/>
      <c r="AR271" s="12"/>
      <c r="AS271" s="33"/>
      <c r="AT271" s="32"/>
      <c r="AU271" s="33"/>
      <c r="AV271" s="34"/>
      <c r="AW271" s="33"/>
      <c r="AX271" s="37"/>
      <c r="AY271" s="38"/>
      <c r="AZ271" s="35" t="b">
        <v>1</v>
      </c>
      <c r="BA271" s="36">
        <f>IF(MOD(H271,4)=0,H271/4,ROUNDUP(H271/4,0))</f>
        <v>11343750</v>
      </c>
      <c r="BB271" s="41"/>
      <c r="BC271" s="36"/>
      <c r="BD271" s="41"/>
      <c r="BE271" s="36"/>
      <c r="BF271" s="41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41"/>
      <c r="BU271" s="41"/>
      <c r="BV271" s="35" t="b">
        <v>1</v>
      </c>
      <c r="BW271" s="41">
        <f>IF(MOD(H271,4)=0,H271/4,ROUNDDOWN(H271/4,0))</f>
        <v>11343750</v>
      </c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35" t="b">
        <v>1</v>
      </c>
      <c r="CQ271" s="41">
        <f>IF(MOD(H271,4)=0,H271/4,ROUNDUP(H271/4,0))</f>
        <v>11343750</v>
      </c>
      <c r="CR271" s="41"/>
      <c r="CS271" s="41"/>
      <c r="CT271" s="41"/>
      <c r="CU271" s="41"/>
      <c r="CV271" s="41"/>
      <c r="CW271" s="41"/>
    </row>
    <row r="272" spans="1:101" ht="32.25" customHeight="1" x14ac:dyDescent="0.25">
      <c r="A272" s="12">
        <f t="shared" si="99"/>
        <v>271</v>
      </c>
      <c r="B272" s="13" t="s">
        <v>151</v>
      </c>
      <c r="C272" s="13" t="s">
        <v>1573</v>
      </c>
      <c r="D272" s="14" t="s">
        <v>1670</v>
      </c>
      <c r="E272" s="15" t="s">
        <v>1671</v>
      </c>
      <c r="F272" s="15" t="s">
        <v>1672</v>
      </c>
      <c r="G272" s="16">
        <v>48</v>
      </c>
      <c r="H272" s="17">
        <v>99000000</v>
      </c>
      <c r="I272" s="18"/>
      <c r="J272" s="18"/>
      <c r="K272" s="18"/>
      <c r="L272" s="18" t="s">
        <v>99</v>
      </c>
      <c r="M272" s="19">
        <v>17334</v>
      </c>
      <c r="N272" s="20" t="s">
        <v>100</v>
      </c>
      <c r="O272" s="13" t="b">
        <v>1</v>
      </c>
      <c r="P272" s="20" t="b">
        <v>1</v>
      </c>
      <c r="Q272" s="20" t="b">
        <v>1</v>
      </c>
      <c r="R272" s="13" t="b">
        <v>0</v>
      </c>
      <c r="S272" s="13" t="b">
        <v>0</v>
      </c>
      <c r="T272" s="13" t="b">
        <v>1</v>
      </c>
      <c r="U272" s="13" t="b">
        <v>0</v>
      </c>
      <c r="V272" s="13" t="b">
        <v>0</v>
      </c>
      <c r="W272" s="13" t="b">
        <v>0</v>
      </c>
      <c r="X272" s="13" t="b">
        <v>0</v>
      </c>
      <c r="Y272" s="21" t="s">
        <v>399</v>
      </c>
      <c r="Z272" s="21" t="s">
        <v>1673</v>
      </c>
      <c r="AA272" s="21" t="s">
        <v>1674</v>
      </c>
      <c r="AB272" s="22"/>
      <c r="AC272" s="13"/>
      <c r="AD272" s="13"/>
      <c r="AE272" s="13" t="b">
        <v>0</v>
      </c>
      <c r="AF272" s="48"/>
      <c r="AG272" s="26"/>
      <c r="AH272" s="39" t="b">
        <v>0</v>
      </c>
      <c r="AI272" s="28"/>
      <c r="AJ272" s="29"/>
      <c r="AK272" s="39" t="b">
        <v>0</v>
      </c>
      <c r="AL272" s="29"/>
      <c r="AM272" s="29"/>
      <c r="AN272" s="29"/>
      <c r="AO272" s="13"/>
      <c r="AP272" s="12"/>
      <c r="AQ272" s="16"/>
      <c r="AR272" s="32"/>
      <c r="AS272" s="33"/>
      <c r="AT272" s="32"/>
      <c r="AU272" s="33"/>
      <c r="AV272" s="34"/>
      <c r="AW272" s="33"/>
      <c r="AX272" s="37"/>
      <c r="AY272" s="38"/>
      <c r="AZ272" s="37"/>
      <c r="BA272" s="38"/>
      <c r="BB272" s="37"/>
      <c r="BC272" s="38"/>
      <c r="BD272" s="37"/>
      <c r="BE272" s="38"/>
      <c r="BF272" s="37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</row>
    <row r="273" spans="1:101" ht="32.25" customHeight="1" x14ac:dyDescent="0.25">
      <c r="A273" s="12">
        <f t="shared" si="99"/>
        <v>272</v>
      </c>
      <c r="B273" s="13" t="s">
        <v>151</v>
      </c>
      <c r="C273" s="13" t="s">
        <v>1573</v>
      </c>
      <c r="D273" s="14" t="s">
        <v>1675</v>
      </c>
      <c r="E273" s="15" t="s">
        <v>1676</v>
      </c>
      <c r="F273" s="15" t="s">
        <v>1677</v>
      </c>
      <c r="G273" s="16">
        <v>23</v>
      </c>
      <c r="H273" s="17">
        <v>47437500</v>
      </c>
      <c r="I273" s="18"/>
      <c r="J273" s="18"/>
      <c r="K273" s="18"/>
      <c r="L273" s="18" t="s">
        <v>99</v>
      </c>
      <c r="M273" s="19">
        <v>17335</v>
      </c>
      <c r="N273" s="20" t="s">
        <v>100</v>
      </c>
      <c r="O273" s="13" t="b">
        <v>1</v>
      </c>
      <c r="P273" s="20" t="b">
        <v>1</v>
      </c>
      <c r="Q273" s="20" t="b">
        <v>1</v>
      </c>
      <c r="R273" s="13" t="b">
        <v>1</v>
      </c>
      <c r="S273" s="13" t="b">
        <v>1</v>
      </c>
      <c r="T273" s="13" t="b">
        <v>1</v>
      </c>
      <c r="U273" s="13" t="b">
        <v>1</v>
      </c>
      <c r="V273" s="13" t="b">
        <v>1</v>
      </c>
      <c r="W273" s="13" t="b">
        <v>1</v>
      </c>
      <c r="X273" s="13" t="b">
        <v>1</v>
      </c>
      <c r="Y273" s="21" t="s">
        <v>101</v>
      </c>
      <c r="Z273" s="21" t="s">
        <v>1678</v>
      </c>
      <c r="AA273" s="21" t="s">
        <v>1679</v>
      </c>
      <c r="AB273" s="22"/>
      <c r="AC273" s="23"/>
      <c r="AD273" s="13"/>
      <c r="AE273" s="13" t="b">
        <v>1</v>
      </c>
      <c r="AF273" s="48">
        <v>45888</v>
      </c>
      <c r="AG273" s="26" t="s">
        <v>104</v>
      </c>
      <c r="AH273" s="27" t="b">
        <v>1</v>
      </c>
      <c r="AI273" s="28">
        <v>45968</v>
      </c>
      <c r="AJ273" s="29" t="s">
        <v>104</v>
      </c>
      <c r="AK273" s="39" t="b">
        <v>1</v>
      </c>
      <c r="AL273" s="40">
        <v>46001</v>
      </c>
      <c r="AM273" s="29" t="s">
        <v>104</v>
      </c>
      <c r="AN273" s="29"/>
      <c r="AO273" s="13"/>
      <c r="AP273" s="12"/>
      <c r="AQ273" s="16"/>
      <c r="AR273" s="12"/>
      <c r="AS273" s="33"/>
      <c r="AT273" s="32"/>
      <c r="AU273" s="33"/>
      <c r="AV273" s="34"/>
      <c r="AW273" s="33"/>
      <c r="AX273" s="37"/>
      <c r="AY273" s="38"/>
      <c r="AZ273" s="35" t="b">
        <v>1</v>
      </c>
      <c r="BA273" s="36">
        <f>IF(MOD(H273,4)=0,H273/4,ROUNDUP(H273/4,0))</f>
        <v>11859375</v>
      </c>
      <c r="BB273" s="41"/>
      <c r="BC273" s="36"/>
      <c r="BD273" s="41"/>
      <c r="BE273" s="36"/>
      <c r="BF273" s="41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41"/>
      <c r="BU273" s="41"/>
      <c r="BV273" s="41"/>
      <c r="BW273" s="41"/>
      <c r="BX273" s="42" t="b">
        <v>1</v>
      </c>
      <c r="BY273" s="41">
        <f>IF(MOD(H273,4)=0,H273/4,ROUNDDOWN(H273/4,0))</f>
        <v>11859375</v>
      </c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35" t="b">
        <v>1</v>
      </c>
      <c r="CQ273" s="41">
        <f>IF(MOD(H273,4)=0,H273/4,ROUNDUP(H273/4,0))</f>
        <v>11859375</v>
      </c>
      <c r="CR273" s="41"/>
      <c r="CS273" s="41"/>
      <c r="CT273" s="41"/>
      <c r="CU273" s="41"/>
      <c r="CV273" s="41"/>
      <c r="CW273" s="41"/>
    </row>
    <row r="274" spans="1:101" ht="32.25" customHeight="1" x14ac:dyDescent="0.25">
      <c r="A274" s="12">
        <f t="shared" si="99"/>
        <v>273</v>
      </c>
      <c r="B274" s="13" t="s">
        <v>151</v>
      </c>
      <c r="C274" s="13" t="s">
        <v>1573</v>
      </c>
      <c r="D274" s="14" t="s">
        <v>1680</v>
      </c>
      <c r="E274" s="15" t="s">
        <v>1681</v>
      </c>
      <c r="F274" s="15" t="s">
        <v>1682</v>
      </c>
      <c r="G274" s="16">
        <v>43</v>
      </c>
      <c r="H274" s="17">
        <v>88687500</v>
      </c>
      <c r="I274" s="18"/>
      <c r="J274" s="18"/>
      <c r="K274" s="18"/>
      <c r="L274" s="18" t="s">
        <v>99</v>
      </c>
      <c r="M274" s="19">
        <v>17336</v>
      </c>
      <c r="N274" s="20" t="s">
        <v>100</v>
      </c>
      <c r="O274" s="13" t="b">
        <v>1</v>
      </c>
      <c r="P274" s="20" t="b">
        <v>1</v>
      </c>
      <c r="Q274" s="20" t="b">
        <v>0</v>
      </c>
      <c r="R274" s="13" t="b">
        <v>1</v>
      </c>
      <c r="S274" s="13" t="b">
        <v>1</v>
      </c>
      <c r="T274" s="13" t="b">
        <v>1</v>
      </c>
      <c r="U274" s="13" t="b">
        <v>1</v>
      </c>
      <c r="V274" s="13" t="b">
        <v>1</v>
      </c>
      <c r="W274" s="13" t="b">
        <v>1</v>
      </c>
      <c r="X274" s="13" t="b">
        <v>1</v>
      </c>
      <c r="Y274" s="21" t="s">
        <v>101</v>
      </c>
      <c r="Z274" s="21" t="s">
        <v>1683</v>
      </c>
      <c r="AA274" s="21" t="s">
        <v>1684</v>
      </c>
      <c r="AB274" s="22"/>
      <c r="AC274" s="23"/>
      <c r="AD274" s="13"/>
      <c r="AE274" s="47" t="b">
        <v>1</v>
      </c>
      <c r="AF274" s="48">
        <v>45975</v>
      </c>
      <c r="AG274" s="26" t="s">
        <v>590</v>
      </c>
      <c r="AH274" s="39" t="b">
        <v>0</v>
      </c>
      <c r="AI274" s="28"/>
      <c r="AJ274" s="29"/>
      <c r="AK274" s="39" t="b">
        <v>0</v>
      </c>
      <c r="AL274" s="29"/>
      <c r="AM274" s="29"/>
      <c r="AN274" s="29"/>
      <c r="AO274" s="13"/>
      <c r="AP274" s="12"/>
      <c r="AQ274" s="16"/>
      <c r="AR274" s="12"/>
      <c r="AS274" s="33"/>
      <c r="AT274" s="32"/>
      <c r="AU274" s="33"/>
      <c r="AV274" s="34"/>
      <c r="AW274" s="33"/>
      <c r="AX274" s="37"/>
      <c r="AY274" s="38"/>
      <c r="AZ274" s="37"/>
      <c r="BA274" s="38"/>
      <c r="BB274" s="37"/>
      <c r="BC274" s="38"/>
      <c r="BD274" s="37"/>
      <c r="BE274" s="38"/>
      <c r="BF274" s="37"/>
      <c r="BG274" s="38"/>
      <c r="BH274" s="38"/>
      <c r="BI274" s="38"/>
      <c r="BJ274" s="37" t="b">
        <v>1</v>
      </c>
      <c r="BK274" s="38">
        <f>IF(MOD(H274,4)=0,H274/4,ROUNDUP(H274/4,0))</f>
        <v>22171875</v>
      </c>
      <c r="BL274" s="38"/>
      <c r="BM274" s="38"/>
      <c r="BN274" s="38"/>
      <c r="BO274" s="38"/>
      <c r="BP274" s="38"/>
      <c r="BQ274" s="38"/>
      <c r="BR274" s="38"/>
      <c r="BS274" s="38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</row>
    <row r="275" spans="1:101" ht="32.25" customHeight="1" x14ac:dyDescent="0.25">
      <c r="A275" s="12">
        <f t="shared" si="99"/>
        <v>274</v>
      </c>
      <c r="B275" s="13" t="s">
        <v>151</v>
      </c>
      <c r="C275" s="13" t="s">
        <v>1573</v>
      </c>
      <c r="D275" s="14" t="s">
        <v>1685</v>
      </c>
      <c r="E275" s="15" t="s">
        <v>1686</v>
      </c>
      <c r="F275" s="15" t="s">
        <v>1687</v>
      </c>
      <c r="G275" s="16">
        <v>28</v>
      </c>
      <c r="H275" s="17">
        <v>57750000</v>
      </c>
      <c r="I275" s="18"/>
      <c r="J275" s="18"/>
      <c r="K275" s="18"/>
      <c r="L275" s="18" t="s">
        <v>99</v>
      </c>
      <c r="M275" s="19">
        <v>17337</v>
      </c>
      <c r="N275" s="20" t="s">
        <v>100</v>
      </c>
      <c r="O275" s="13" t="b">
        <v>1</v>
      </c>
      <c r="P275" s="20" t="b">
        <v>1</v>
      </c>
      <c r="Q275" s="20" t="b">
        <v>1</v>
      </c>
      <c r="R275" s="13" t="b">
        <v>1</v>
      </c>
      <c r="S275" s="13" t="b">
        <v>1</v>
      </c>
      <c r="T275" s="13" t="b">
        <v>1</v>
      </c>
      <c r="U275" s="13" t="b">
        <v>1</v>
      </c>
      <c r="V275" s="13" t="b">
        <v>1</v>
      </c>
      <c r="W275" s="13" t="b">
        <v>1</v>
      </c>
      <c r="X275" s="13" t="b">
        <v>0</v>
      </c>
      <c r="Y275" s="21" t="s">
        <v>101</v>
      </c>
      <c r="Z275" s="21" t="s">
        <v>1688</v>
      </c>
      <c r="AA275" s="21" t="s">
        <v>1689</v>
      </c>
      <c r="AB275" s="22"/>
      <c r="AC275" s="23"/>
      <c r="AD275" s="13"/>
      <c r="AE275" s="13" t="b">
        <v>1</v>
      </c>
      <c r="AF275" s="48">
        <v>45895</v>
      </c>
      <c r="AG275" s="26"/>
      <c r="AH275" s="39" t="b">
        <v>1</v>
      </c>
      <c r="AI275" s="28">
        <v>45967</v>
      </c>
      <c r="AJ275" s="29" t="s">
        <v>104</v>
      </c>
      <c r="AK275" s="39" t="b">
        <v>1</v>
      </c>
      <c r="AL275" s="40">
        <v>46001</v>
      </c>
      <c r="AM275" s="29" t="s">
        <v>104</v>
      </c>
      <c r="AN275" s="29"/>
      <c r="AO275" s="13"/>
      <c r="AP275" s="12"/>
      <c r="AQ275" s="16"/>
      <c r="AR275" s="32"/>
      <c r="AS275" s="33"/>
      <c r="AT275" s="32"/>
      <c r="AU275" s="33"/>
      <c r="AV275" s="34"/>
      <c r="AW275" s="33"/>
      <c r="AX275" s="37"/>
      <c r="AY275" s="38"/>
      <c r="AZ275" s="35" t="b">
        <v>1</v>
      </c>
      <c r="BA275" s="36">
        <f>IF(MOD(H275,4)=0,H275/4,ROUNDUP(H275/4,0))</f>
        <v>14437500</v>
      </c>
      <c r="BB275" s="41"/>
      <c r="BC275" s="36"/>
      <c r="BD275" s="41"/>
      <c r="BE275" s="36"/>
      <c r="BF275" s="41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41"/>
      <c r="BU275" s="41"/>
      <c r="BV275" s="41"/>
      <c r="BW275" s="41"/>
      <c r="BX275" s="42" t="b">
        <v>1</v>
      </c>
      <c r="BY275" s="41">
        <f>IF(MOD(H275,4)=0,H275/4,ROUNDDOWN(H275/4,0))</f>
        <v>14437500</v>
      </c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35" t="b">
        <v>1</v>
      </c>
      <c r="CQ275" s="41">
        <f>IF(MOD(H275,4)=0,H275/4,ROUNDUP(H275/4,0))</f>
        <v>14437500</v>
      </c>
      <c r="CR275" s="41"/>
      <c r="CS275" s="41"/>
      <c r="CT275" s="41"/>
      <c r="CU275" s="41"/>
      <c r="CV275" s="41"/>
      <c r="CW275" s="41"/>
    </row>
    <row r="276" spans="1:101" ht="32.25" customHeight="1" x14ac:dyDescent="0.25">
      <c r="A276" s="12">
        <f t="shared" si="99"/>
        <v>275</v>
      </c>
      <c r="B276" s="13" t="s">
        <v>151</v>
      </c>
      <c r="C276" s="13" t="s">
        <v>1573</v>
      </c>
      <c r="D276" s="14" t="s">
        <v>1690</v>
      </c>
      <c r="E276" s="15" t="s">
        <v>1691</v>
      </c>
      <c r="F276" s="15" t="s">
        <v>1692</v>
      </c>
      <c r="G276" s="16">
        <v>44</v>
      </c>
      <c r="H276" s="17">
        <v>90750000</v>
      </c>
      <c r="I276" s="18"/>
      <c r="J276" s="18"/>
      <c r="K276" s="18"/>
      <c r="L276" s="18" t="s">
        <v>99</v>
      </c>
      <c r="M276" s="19">
        <v>17338</v>
      </c>
      <c r="N276" s="20" t="s">
        <v>100</v>
      </c>
      <c r="O276" s="13" t="b">
        <v>1</v>
      </c>
      <c r="P276" s="20" t="b">
        <v>1</v>
      </c>
      <c r="Q276" s="20" t="b">
        <v>1</v>
      </c>
      <c r="R276" s="13" t="b">
        <v>1</v>
      </c>
      <c r="S276" s="13" t="b">
        <v>1</v>
      </c>
      <c r="T276" s="13" t="b">
        <v>1</v>
      </c>
      <c r="U276" s="13" t="b">
        <v>1</v>
      </c>
      <c r="V276" s="13" t="b">
        <v>1</v>
      </c>
      <c r="W276" s="13" t="b">
        <v>1</v>
      </c>
      <c r="X276" s="13" t="b">
        <v>1</v>
      </c>
      <c r="Y276" s="21" t="s">
        <v>101</v>
      </c>
      <c r="Z276" s="21" t="s">
        <v>1693</v>
      </c>
      <c r="AA276" s="21" t="s">
        <v>1691</v>
      </c>
      <c r="AB276" s="22"/>
      <c r="AC276" s="23"/>
      <c r="AD276" s="13"/>
      <c r="AE276" s="13" t="b">
        <v>1</v>
      </c>
      <c r="AF276" s="48">
        <v>45912</v>
      </c>
      <c r="AG276" s="26" t="s">
        <v>1694</v>
      </c>
      <c r="AH276" s="39" t="b">
        <v>1</v>
      </c>
      <c r="AI276" s="28">
        <v>45987</v>
      </c>
      <c r="AJ276" s="29" t="s">
        <v>590</v>
      </c>
      <c r="AK276" s="39" t="b">
        <v>0</v>
      </c>
      <c r="AL276" s="40"/>
      <c r="AM276" s="29"/>
      <c r="AN276" s="29"/>
      <c r="AO276" s="13"/>
      <c r="AP276" s="12"/>
      <c r="AQ276" s="16"/>
      <c r="AR276" s="12"/>
      <c r="AS276" s="33"/>
      <c r="AT276" s="32"/>
      <c r="AU276" s="33"/>
      <c r="AV276" s="34"/>
      <c r="AW276" s="33"/>
      <c r="AX276" s="37"/>
      <c r="AY276" s="38"/>
      <c r="AZ276" s="37"/>
      <c r="BA276" s="38"/>
      <c r="BB276" s="35" t="b">
        <v>1</v>
      </c>
      <c r="BC276" s="36">
        <f>IF(MOD(H276,4)=0,H276/4,ROUNDUP(H276/4,0))</f>
        <v>22687500</v>
      </c>
      <c r="BD276" s="41"/>
      <c r="BE276" s="36"/>
      <c r="BF276" s="41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41"/>
      <c r="BU276" s="41"/>
      <c r="BV276" s="41"/>
      <c r="BW276" s="41"/>
      <c r="BX276" s="41"/>
      <c r="BY276" s="41"/>
      <c r="BZ276" s="38" t="b">
        <v>1</v>
      </c>
      <c r="CA276" s="59">
        <f>IF(MOD(H276,4)=0,H276/4,ROUNDDOWN(H276/4,0))</f>
        <v>22687500</v>
      </c>
      <c r="CB276" s="59"/>
      <c r="CC276" s="59"/>
      <c r="CD276" s="59"/>
      <c r="CE276" s="59"/>
      <c r="CF276" s="59"/>
      <c r="CG276" s="59"/>
      <c r="CH276" s="59"/>
      <c r="CI276" s="59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</row>
    <row r="277" spans="1:101" ht="32.25" customHeight="1" x14ac:dyDescent="0.25">
      <c r="A277" s="12">
        <f t="shared" si="99"/>
        <v>276</v>
      </c>
      <c r="B277" s="13" t="s">
        <v>151</v>
      </c>
      <c r="C277" s="13" t="s">
        <v>1573</v>
      </c>
      <c r="D277" s="14" t="s">
        <v>1695</v>
      </c>
      <c r="E277" s="15" t="s">
        <v>1696</v>
      </c>
      <c r="F277" s="15" t="s">
        <v>1697</v>
      </c>
      <c r="G277" s="16">
        <v>51</v>
      </c>
      <c r="H277" s="17">
        <v>105187500</v>
      </c>
      <c r="I277" s="18"/>
      <c r="J277" s="18"/>
      <c r="K277" s="18"/>
      <c r="L277" s="18" t="s">
        <v>99</v>
      </c>
      <c r="M277" s="19">
        <v>17339</v>
      </c>
      <c r="N277" s="20" t="s">
        <v>100</v>
      </c>
      <c r="O277" s="13" t="b">
        <v>1</v>
      </c>
      <c r="P277" s="20" t="b">
        <v>1</v>
      </c>
      <c r="Q277" s="20" t="b">
        <v>1</v>
      </c>
      <c r="R277" s="13" t="b">
        <v>1</v>
      </c>
      <c r="S277" s="13" t="b">
        <v>1</v>
      </c>
      <c r="T277" s="13" t="b">
        <v>1</v>
      </c>
      <c r="U277" s="13" t="b">
        <v>1</v>
      </c>
      <c r="V277" s="13" t="b">
        <v>1</v>
      </c>
      <c r="W277" s="13" t="b">
        <v>1</v>
      </c>
      <c r="X277" s="13" t="b">
        <v>1</v>
      </c>
      <c r="Y277" s="21" t="s">
        <v>101</v>
      </c>
      <c r="Z277" s="21" t="s">
        <v>1698</v>
      </c>
      <c r="AA277" s="21" t="s">
        <v>1696</v>
      </c>
      <c r="AB277" s="22"/>
      <c r="AC277" s="23"/>
      <c r="AD277" s="13"/>
      <c r="AE277" s="13" t="b">
        <v>1</v>
      </c>
      <c r="AF277" s="48">
        <v>45891</v>
      </c>
      <c r="AG277" s="26" t="s">
        <v>104</v>
      </c>
      <c r="AH277" s="27" t="b">
        <v>1</v>
      </c>
      <c r="AI277" s="28">
        <v>45968</v>
      </c>
      <c r="AJ277" s="29" t="s">
        <v>577</v>
      </c>
      <c r="AK277" s="39" t="b">
        <v>1</v>
      </c>
      <c r="AL277" s="40">
        <v>46001</v>
      </c>
      <c r="AM277" s="29"/>
      <c r="AN277" s="29"/>
      <c r="AO277" s="13"/>
      <c r="AP277" s="12"/>
      <c r="AQ277" s="16"/>
      <c r="AR277" s="32"/>
      <c r="AS277" s="33"/>
      <c r="AT277" s="32"/>
      <c r="AU277" s="33"/>
      <c r="AV277" s="34"/>
      <c r="AW277" s="33"/>
      <c r="AX277" s="37"/>
      <c r="AY277" s="38"/>
      <c r="AZ277" s="35" t="b">
        <v>1</v>
      </c>
      <c r="BA277" s="36">
        <f>IF(MOD(H277,4)=0,H277/4,ROUNDUP(H277/4,0))</f>
        <v>26296875</v>
      </c>
      <c r="BB277" s="41"/>
      <c r="BC277" s="36"/>
      <c r="BD277" s="41"/>
      <c r="BE277" s="36"/>
      <c r="BF277" s="41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41"/>
      <c r="BU277" s="41"/>
      <c r="BV277" s="41"/>
      <c r="BW277" s="41"/>
      <c r="BX277" s="42" t="b">
        <v>1</v>
      </c>
      <c r="BY277" s="41">
        <f>IF(MOD(H277,4)=0,H277/4,ROUNDDOWN(H277/4,0))</f>
        <v>26296875</v>
      </c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35" t="b">
        <v>1</v>
      </c>
      <c r="CQ277" s="41">
        <f>IF(MOD(H277,4)=0,H277/4,ROUNDUP(H277/4,0))</f>
        <v>26296875</v>
      </c>
      <c r="CR277" s="41"/>
      <c r="CS277" s="41"/>
      <c r="CT277" s="41"/>
      <c r="CU277" s="41"/>
      <c r="CV277" s="41"/>
      <c r="CW277" s="41"/>
    </row>
    <row r="278" spans="1:101" ht="32.25" customHeight="1" x14ac:dyDescent="0.25">
      <c r="A278" s="12">
        <f t="shared" si="99"/>
        <v>277</v>
      </c>
      <c r="B278" s="13" t="s">
        <v>151</v>
      </c>
      <c r="C278" s="13" t="s">
        <v>1573</v>
      </c>
      <c r="D278" s="14" t="s">
        <v>1699</v>
      </c>
      <c r="E278" s="15" t="s">
        <v>1700</v>
      </c>
      <c r="F278" s="15" t="s">
        <v>1701</v>
      </c>
      <c r="G278" s="16">
        <v>72</v>
      </c>
      <c r="H278" s="17">
        <v>148500000</v>
      </c>
      <c r="I278" s="18"/>
      <c r="J278" s="18"/>
      <c r="K278" s="18"/>
      <c r="L278" s="18" t="s">
        <v>99</v>
      </c>
      <c r="M278" s="19">
        <v>17340</v>
      </c>
      <c r="N278" s="20" t="s">
        <v>100</v>
      </c>
      <c r="O278" s="13" t="b">
        <v>1</v>
      </c>
      <c r="P278" s="20" t="b">
        <v>1</v>
      </c>
      <c r="Q278" s="20" t="b">
        <v>1</v>
      </c>
      <c r="R278" s="13" t="b">
        <v>1</v>
      </c>
      <c r="S278" s="13" t="b">
        <v>1</v>
      </c>
      <c r="T278" s="13" t="b">
        <v>1</v>
      </c>
      <c r="U278" s="13" t="b">
        <v>1</v>
      </c>
      <c r="V278" s="13" t="b">
        <v>1</v>
      </c>
      <c r="W278" s="13" t="b">
        <v>1</v>
      </c>
      <c r="X278" s="13" t="b">
        <v>0</v>
      </c>
      <c r="Y278" s="21" t="s">
        <v>101</v>
      </c>
      <c r="Z278" s="21" t="s">
        <v>1702</v>
      </c>
      <c r="AA278" s="21" t="s">
        <v>1703</v>
      </c>
      <c r="AB278" s="22"/>
      <c r="AC278" s="23"/>
      <c r="AD278" s="13"/>
      <c r="AE278" s="13" t="b">
        <v>1</v>
      </c>
      <c r="AF278" s="48">
        <v>45930</v>
      </c>
      <c r="AG278" s="26" t="s">
        <v>104</v>
      </c>
      <c r="AH278" s="39" t="b">
        <v>1</v>
      </c>
      <c r="AI278" s="28">
        <v>46008</v>
      </c>
      <c r="AJ278" s="29" t="s">
        <v>104</v>
      </c>
      <c r="AK278" s="39" t="b">
        <v>0</v>
      </c>
      <c r="AL278" s="29"/>
      <c r="AM278" s="29"/>
      <c r="AN278" s="29"/>
      <c r="AO278" s="13"/>
      <c r="AP278" s="12"/>
      <c r="AQ278" s="16"/>
      <c r="AR278" s="32"/>
      <c r="AS278" s="33"/>
      <c r="AT278" s="32"/>
      <c r="AU278" s="33"/>
      <c r="AV278" s="34"/>
      <c r="AW278" s="33"/>
      <c r="AX278" s="37"/>
      <c r="AY278" s="38"/>
      <c r="AZ278" s="37"/>
      <c r="BA278" s="38"/>
      <c r="BB278" s="37"/>
      <c r="BC278" s="38"/>
      <c r="BD278" s="37"/>
      <c r="BE278" s="38"/>
      <c r="BF278" s="35" t="b">
        <v>1</v>
      </c>
      <c r="BG278" s="38">
        <f>IF(MOD(H278,4)=0,H278/4,ROUNDUP(H278/4,0))</f>
        <v>37125000</v>
      </c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7" t="b">
        <v>1</v>
      </c>
      <c r="CG278" s="37">
        <f>IF(MOD(H278,4)=0,H278/4,ROUNDDOWN(H278/4,0))</f>
        <v>37125000</v>
      </c>
      <c r="CH278" s="37"/>
      <c r="CI278" s="37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</row>
    <row r="279" spans="1:101" ht="32.25" customHeight="1" x14ac:dyDescent="0.25">
      <c r="A279" s="12">
        <f t="shared" si="99"/>
        <v>278</v>
      </c>
      <c r="B279" s="13" t="s">
        <v>151</v>
      </c>
      <c r="C279" s="13" t="s">
        <v>1573</v>
      </c>
      <c r="D279" s="14" t="s">
        <v>1704</v>
      </c>
      <c r="E279" s="15" t="s">
        <v>1705</v>
      </c>
      <c r="F279" s="15" t="s">
        <v>1706</v>
      </c>
      <c r="G279" s="16">
        <v>59</v>
      </c>
      <c r="H279" s="17">
        <v>121687500</v>
      </c>
      <c r="I279" s="18"/>
      <c r="J279" s="18"/>
      <c r="K279" s="18"/>
      <c r="L279" s="18" t="s">
        <v>99</v>
      </c>
      <c r="M279" s="19">
        <v>17341</v>
      </c>
      <c r="N279" s="20" t="s">
        <v>100</v>
      </c>
      <c r="O279" s="13" t="b">
        <v>1</v>
      </c>
      <c r="P279" s="20" t="b">
        <v>1</v>
      </c>
      <c r="Q279" s="20" t="b">
        <v>1</v>
      </c>
      <c r="R279" s="13" t="b">
        <v>1</v>
      </c>
      <c r="S279" s="13" t="b">
        <v>1</v>
      </c>
      <c r="T279" s="13" t="b">
        <v>1</v>
      </c>
      <c r="U279" s="13" t="b">
        <v>1</v>
      </c>
      <c r="V279" s="13" t="b">
        <v>1</v>
      </c>
      <c r="W279" s="13" t="b">
        <v>1</v>
      </c>
      <c r="X279" s="13" t="b">
        <v>1</v>
      </c>
      <c r="Y279" s="21" t="s">
        <v>101</v>
      </c>
      <c r="Z279" s="21" t="s">
        <v>1707</v>
      </c>
      <c r="AA279" s="21" t="s">
        <v>1705</v>
      </c>
      <c r="AB279" s="22"/>
      <c r="AC279" s="23"/>
      <c r="AD279" s="13"/>
      <c r="AE279" s="13" t="b">
        <v>1</v>
      </c>
      <c r="AF279" s="48">
        <v>45889</v>
      </c>
      <c r="AG279" s="26" t="s">
        <v>104</v>
      </c>
      <c r="AH279" s="27" t="b">
        <v>1</v>
      </c>
      <c r="AI279" s="28">
        <v>45939</v>
      </c>
      <c r="AJ279" s="49"/>
      <c r="AK279" s="39" t="b">
        <v>1</v>
      </c>
      <c r="AL279" s="40">
        <v>45996</v>
      </c>
      <c r="AM279" s="29" t="s">
        <v>104</v>
      </c>
      <c r="AN279" s="29"/>
      <c r="AO279" s="13"/>
      <c r="AP279" s="12"/>
      <c r="AQ279" s="16"/>
      <c r="AR279" s="32"/>
      <c r="AS279" s="33"/>
      <c r="AT279" s="32"/>
      <c r="AU279" s="33"/>
      <c r="AV279" s="34"/>
      <c r="AW279" s="33"/>
      <c r="AX279" s="37"/>
      <c r="AY279" s="38"/>
      <c r="AZ279" s="35" t="b">
        <v>1</v>
      </c>
      <c r="BA279" s="36">
        <f>IF(MOD(H279,4)=0,H279/4,ROUNDUP(H279/4,0))</f>
        <v>30421875</v>
      </c>
      <c r="BB279" s="41"/>
      <c r="BC279" s="36"/>
      <c r="BD279" s="41"/>
      <c r="BE279" s="36"/>
      <c r="BF279" s="41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41"/>
      <c r="BU279" s="41"/>
      <c r="BV279" s="35" t="b">
        <v>1</v>
      </c>
      <c r="BW279" s="41">
        <f t="shared" ref="BW279:BW280" si="106">IF(MOD(H279,4)=0,H279/4,ROUNDDOWN(H279/4,0))</f>
        <v>30421875</v>
      </c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35" t="b">
        <v>1</v>
      </c>
      <c r="CQ279" s="41">
        <f>IF(MOD(H279,4)=0,H279/4,ROUNDUP(H279/4,0))</f>
        <v>30421875</v>
      </c>
      <c r="CR279" s="41"/>
      <c r="CS279" s="41"/>
      <c r="CT279" s="41"/>
      <c r="CU279" s="41"/>
      <c r="CV279" s="41"/>
      <c r="CW279" s="41"/>
    </row>
    <row r="280" spans="1:101" ht="32.25" customHeight="1" x14ac:dyDescent="0.25">
      <c r="A280" s="12">
        <f t="shared" si="99"/>
        <v>279</v>
      </c>
      <c r="B280" s="13" t="s">
        <v>134</v>
      </c>
      <c r="C280" s="13" t="s">
        <v>1573</v>
      </c>
      <c r="D280" s="14" t="s">
        <v>1708</v>
      </c>
      <c r="E280" s="15" t="s">
        <v>1709</v>
      </c>
      <c r="F280" s="15" t="s">
        <v>1710</v>
      </c>
      <c r="G280" s="16">
        <v>292</v>
      </c>
      <c r="H280" s="17">
        <v>489319000</v>
      </c>
      <c r="I280" s="18"/>
      <c r="J280" s="18"/>
      <c r="K280" s="18"/>
      <c r="L280" s="18" t="s">
        <v>99</v>
      </c>
      <c r="M280" s="19">
        <v>17342</v>
      </c>
      <c r="N280" s="20" t="s">
        <v>100</v>
      </c>
      <c r="O280" s="13" t="b">
        <v>1</v>
      </c>
      <c r="P280" s="20" t="b">
        <v>1</v>
      </c>
      <c r="Q280" s="20" t="b">
        <v>1</v>
      </c>
      <c r="R280" s="13" t="b">
        <v>1</v>
      </c>
      <c r="S280" s="13" t="b">
        <v>1</v>
      </c>
      <c r="T280" s="13" t="b">
        <v>1</v>
      </c>
      <c r="U280" s="13" t="b">
        <v>0</v>
      </c>
      <c r="V280" s="13" t="b">
        <v>1</v>
      </c>
      <c r="W280" s="13" t="b">
        <v>1</v>
      </c>
      <c r="X280" s="13" t="b">
        <v>0</v>
      </c>
      <c r="Y280" s="21" t="s">
        <v>101</v>
      </c>
      <c r="Z280" s="21" t="s">
        <v>1711</v>
      </c>
      <c r="AA280" s="21" t="s">
        <v>1712</v>
      </c>
      <c r="AB280" s="22"/>
      <c r="AC280" s="23"/>
      <c r="AD280" s="13"/>
      <c r="AE280" s="13" t="b">
        <v>1</v>
      </c>
      <c r="AF280" s="73">
        <v>45873</v>
      </c>
      <c r="AG280" s="26"/>
      <c r="AH280" s="27" t="b">
        <v>1</v>
      </c>
      <c r="AI280" s="28">
        <v>45947</v>
      </c>
      <c r="AJ280" s="49" t="s">
        <v>1032</v>
      </c>
      <c r="AK280" s="27" t="b">
        <v>1</v>
      </c>
      <c r="AL280" s="40">
        <v>45985</v>
      </c>
      <c r="AM280" s="29" t="s">
        <v>104</v>
      </c>
      <c r="AN280" s="29"/>
      <c r="AO280" s="13"/>
      <c r="AP280" s="12"/>
      <c r="AQ280" s="16"/>
      <c r="AR280" s="32"/>
      <c r="AS280" s="33"/>
      <c r="AT280" s="32"/>
      <c r="AU280" s="33"/>
      <c r="AV280" s="34"/>
      <c r="AW280" s="33"/>
      <c r="AX280" s="35" t="b">
        <v>1</v>
      </c>
      <c r="AY280" s="36">
        <f>IF(MOD(H280,4)=0,H280/4,ROUNDUP(H280/4,0))</f>
        <v>122329750</v>
      </c>
      <c r="AZ280" s="37"/>
      <c r="BA280" s="38"/>
      <c r="BB280" s="37"/>
      <c r="BC280" s="38"/>
      <c r="BD280" s="37"/>
      <c r="BE280" s="38"/>
      <c r="BF280" s="37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7"/>
      <c r="BU280" s="37"/>
      <c r="BV280" s="35" t="b">
        <v>1</v>
      </c>
      <c r="BW280" s="41">
        <f t="shared" si="106"/>
        <v>122329750</v>
      </c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35" t="b">
        <v>1</v>
      </c>
      <c r="CK280" s="36">
        <f>IF(MOD(H280,4)=0,H280/4,ROUNDUP(H280/4,0))</f>
        <v>122329750</v>
      </c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</row>
    <row r="281" spans="1:101" ht="32.25" customHeight="1" x14ac:dyDescent="0.25">
      <c r="A281" s="12">
        <f t="shared" si="99"/>
        <v>280</v>
      </c>
      <c r="B281" s="13" t="s">
        <v>134</v>
      </c>
      <c r="C281" s="13" t="s">
        <v>1573</v>
      </c>
      <c r="D281" s="14" t="s">
        <v>1713</v>
      </c>
      <c r="E281" s="15" t="s">
        <v>1714</v>
      </c>
      <c r="F281" s="15" t="s">
        <v>1715</v>
      </c>
      <c r="G281" s="16">
        <v>121</v>
      </c>
      <c r="H281" s="17">
        <v>202765750</v>
      </c>
      <c r="I281" s="18"/>
      <c r="J281" s="18"/>
      <c r="K281" s="18"/>
      <c r="L281" s="18" t="s">
        <v>99</v>
      </c>
      <c r="M281" s="19">
        <v>17343</v>
      </c>
      <c r="N281" s="20" t="s">
        <v>100</v>
      </c>
      <c r="O281" s="13" t="b">
        <v>1</v>
      </c>
      <c r="P281" s="20" t="b">
        <v>0</v>
      </c>
      <c r="Q281" s="20" t="b">
        <v>1</v>
      </c>
      <c r="R281" s="13" t="b">
        <v>1</v>
      </c>
      <c r="S281" s="13" t="b">
        <v>1</v>
      </c>
      <c r="T281" s="13" t="b">
        <v>1</v>
      </c>
      <c r="U281" s="13" t="b">
        <v>0</v>
      </c>
      <c r="V281" s="13" t="b">
        <v>0</v>
      </c>
      <c r="W281" s="13" t="b">
        <v>0</v>
      </c>
      <c r="X281" s="13" t="b">
        <v>0</v>
      </c>
      <c r="Y281" s="21" t="s">
        <v>101</v>
      </c>
      <c r="Z281" s="21" t="s">
        <v>1716</v>
      </c>
      <c r="AA281" s="21" t="s">
        <v>1717</v>
      </c>
      <c r="AB281" s="22"/>
      <c r="AC281" s="13"/>
      <c r="AD281" s="13"/>
      <c r="AE281" s="13" t="b">
        <v>1</v>
      </c>
      <c r="AF281" s="48">
        <v>45994</v>
      </c>
      <c r="AG281" s="26" t="s">
        <v>104</v>
      </c>
      <c r="AH281" s="39" t="b">
        <v>0</v>
      </c>
      <c r="AI281" s="28"/>
      <c r="AJ281" s="29"/>
      <c r="AK281" s="39" t="b">
        <v>0</v>
      </c>
      <c r="AL281" s="29"/>
      <c r="AM281" s="29"/>
      <c r="AN281" s="29"/>
      <c r="AO281" s="13"/>
      <c r="AP281" s="12"/>
      <c r="AQ281" s="16"/>
      <c r="AR281" s="32"/>
      <c r="AS281" s="33"/>
      <c r="AT281" s="32"/>
      <c r="AU281" s="33"/>
      <c r="AV281" s="34"/>
      <c r="AW281" s="16"/>
      <c r="AX281" s="37"/>
      <c r="AY281" s="38"/>
      <c r="AZ281" s="37"/>
      <c r="BA281" s="38"/>
      <c r="BB281" s="37"/>
      <c r="BC281" s="38"/>
      <c r="BD281" s="37"/>
      <c r="BE281" s="38"/>
      <c r="BF281" s="37"/>
      <c r="BG281" s="38"/>
      <c r="BH281" s="38"/>
      <c r="BI281" s="38"/>
      <c r="BJ281" s="38"/>
      <c r="BK281" s="38"/>
      <c r="BL281" s="38"/>
      <c r="BM281" s="38"/>
      <c r="BN281" s="42" t="b">
        <v>1</v>
      </c>
      <c r="BO281" s="38">
        <f>IF(MOD(H281,4)=0,H281/4,ROUNDUP(H281/4,0))</f>
        <v>50691438</v>
      </c>
      <c r="BP281" s="38"/>
      <c r="BQ281" s="38"/>
      <c r="BR281" s="38"/>
      <c r="BS281" s="38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</row>
    <row r="282" spans="1:101" ht="32.25" customHeight="1" x14ac:dyDescent="0.25">
      <c r="A282" s="12">
        <f t="shared" si="99"/>
        <v>281</v>
      </c>
      <c r="B282" s="13" t="s">
        <v>134</v>
      </c>
      <c r="C282" s="13" t="s">
        <v>1573</v>
      </c>
      <c r="D282" s="14" t="s">
        <v>1718</v>
      </c>
      <c r="E282" s="15" t="s">
        <v>1719</v>
      </c>
      <c r="F282" s="15" t="s">
        <v>1720</v>
      </c>
      <c r="G282" s="16">
        <v>348</v>
      </c>
      <c r="H282" s="17">
        <v>583161000</v>
      </c>
      <c r="I282" s="18"/>
      <c r="J282" s="18"/>
      <c r="K282" s="18"/>
      <c r="L282" s="18" t="s">
        <v>99</v>
      </c>
      <c r="M282" s="19">
        <v>17344</v>
      </c>
      <c r="N282" s="20" t="s">
        <v>100</v>
      </c>
      <c r="O282" s="13" t="b">
        <v>1</v>
      </c>
      <c r="P282" s="20" t="b">
        <v>1</v>
      </c>
      <c r="Q282" s="20" t="b">
        <v>1</v>
      </c>
      <c r="R282" s="13" t="b">
        <v>1</v>
      </c>
      <c r="S282" s="13" t="b">
        <v>1</v>
      </c>
      <c r="T282" s="13" t="b">
        <v>1</v>
      </c>
      <c r="U282" s="13" t="b">
        <v>0</v>
      </c>
      <c r="V282" s="13" t="b">
        <v>0</v>
      </c>
      <c r="W282" s="13" t="b">
        <v>1</v>
      </c>
      <c r="X282" s="13" t="b">
        <v>0</v>
      </c>
      <c r="Y282" s="21" t="s">
        <v>101</v>
      </c>
      <c r="Z282" s="21" t="s">
        <v>1721</v>
      </c>
      <c r="AA282" s="21" t="s">
        <v>1722</v>
      </c>
      <c r="AB282" s="22"/>
      <c r="AC282" s="23"/>
      <c r="AD282" s="13"/>
      <c r="AE282" s="47" t="b">
        <v>1</v>
      </c>
      <c r="AF282" s="48">
        <v>45880</v>
      </c>
      <c r="AG282" s="26"/>
      <c r="AH282" s="27" t="b">
        <v>1</v>
      </c>
      <c r="AI282" s="28">
        <v>45947</v>
      </c>
      <c r="AJ282" s="49"/>
      <c r="AK282" s="27" t="b">
        <v>1</v>
      </c>
      <c r="AL282" s="40">
        <v>45982</v>
      </c>
      <c r="AM282" s="29" t="s">
        <v>1723</v>
      </c>
      <c r="AN282" s="29"/>
      <c r="AO282" s="13"/>
      <c r="AP282" s="12"/>
      <c r="AQ282" s="16"/>
      <c r="AR282" s="32"/>
      <c r="AS282" s="33"/>
      <c r="AT282" s="32"/>
      <c r="AU282" s="33"/>
      <c r="AV282" s="34"/>
      <c r="AW282" s="33"/>
      <c r="AX282" s="35" t="b">
        <v>1</v>
      </c>
      <c r="AY282" s="36">
        <f t="shared" ref="AY282:AY283" si="107">IF(MOD(H282,4)=0,H282/4,ROUNDUP(H282/4,0))</f>
        <v>145790250</v>
      </c>
      <c r="AZ282" s="37"/>
      <c r="BA282" s="38"/>
      <c r="BB282" s="37"/>
      <c r="BC282" s="38"/>
      <c r="BD282" s="37"/>
      <c r="BE282" s="38"/>
      <c r="BF282" s="37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7"/>
      <c r="BU282" s="37"/>
      <c r="BV282" s="35" t="b">
        <v>1</v>
      </c>
      <c r="BW282" s="41">
        <f>IF(MOD(H282,4)=0,H282/4,ROUNDDOWN(H282/4,0))</f>
        <v>145790250</v>
      </c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35" t="b">
        <v>1</v>
      </c>
      <c r="CK282" s="36">
        <f>IF(MOD(H282,4)=0,H282/4,ROUNDUP(H282/4,0))</f>
        <v>145790250</v>
      </c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</row>
    <row r="283" spans="1:101" ht="32.25" customHeight="1" x14ac:dyDescent="0.25">
      <c r="A283" s="12">
        <f t="shared" si="99"/>
        <v>282</v>
      </c>
      <c r="B283" s="13" t="s">
        <v>134</v>
      </c>
      <c r="C283" s="13" t="s">
        <v>1573</v>
      </c>
      <c r="D283" s="14" t="s">
        <v>1724</v>
      </c>
      <c r="E283" s="15" t="s">
        <v>1725</v>
      </c>
      <c r="F283" s="15" t="s">
        <v>1726</v>
      </c>
      <c r="G283" s="16">
        <v>217</v>
      </c>
      <c r="H283" s="17">
        <v>363637750</v>
      </c>
      <c r="I283" s="18"/>
      <c r="J283" s="18"/>
      <c r="K283" s="18"/>
      <c r="L283" s="18" t="s">
        <v>99</v>
      </c>
      <c r="M283" s="19">
        <v>17345</v>
      </c>
      <c r="N283" s="20" t="s">
        <v>100</v>
      </c>
      <c r="O283" s="13" t="b">
        <v>1</v>
      </c>
      <c r="P283" s="20" t="b">
        <v>1</v>
      </c>
      <c r="Q283" s="20" t="b">
        <v>1</v>
      </c>
      <c r="R283" s="13" t="b">
        <v>1</v>
      </c>
      <c r="S283" s="13" t="b">
        <v>1</v>
      </c>
      <c r="T283" s="13" t="b">
        <v>1</v>
      </c>
      <c r="U283" s="13" t="b">
        <v>1</v>
      </c>
      <c r="V283" s="13" t="b">
        <v>1</v>
      </c>
      <c r="W283" s="13" t="b">
        <v>1</v>
      </c>
      <c r="X283" s="13" t="b">
        <v>0</v>
      </c>
      <c r="Y283" s="21" t="s">
        <v>101</v>
      </c>
      <c r="Z283" s="21" t="s">
        <v>1727</v>
      </c>
      <c r="AA283" s="21" t="s">
        <v>1725</v>
      </c>
      <c r="AB283" s="22"/>
      <c r="AC283" s="23"/>
      <c r="AD283" s="13"/>
      <c r="AE283" s="47" t="b">
        <v>1</v>
      </c>
      <c r="AF283" s="48">
        <v>45880</v>
      </c>
      <c r="AG283" s="26"/>
      <c r="AH283" s="27" t="b">
        <v>1</v>
      </c>
      <c r="AI283" s="28">
        <v>45971</v>
      </c>
      <c r="AJ283" s="29" t="s">
        <v>104</v>
      </c>
      <c r="AK283" s="39" t="b">
        <v>1</v>
      </c>
      <c r="AL283" s="40">
        <v>46006</v>
      </c>
      <c r="AM283" s="29" t="s">
        <v>104</v>
      </c>
      <c r="AN283" s="29"/>
      <c r="AO283" s="13"/>
      <c r="AP283" s="12"/>
      <c r="AQ283" s="16"/>
      <c r="AR283" s="32"/>
      <c r="AS283" s="33"/>
      <c r="AT283" s="32"/>
      <c r="AU283" s="33"/>
      <c r="AV283" s="34"/>
      <c r="AW283" s="33"/>
      <c r="AX283" s="35" t="b">
        <v>1</v>
      </c>
      <c r="AY283" s="36">
        <f t="shared" si="107"/>
        <v>90909438</v>
      </c>
      <c r="AZ283" s="37"/>
      <c r="BA283" s="38"/>
      <c r="BB283" s="37"/>
      <c r="BC283" s="38"/>
      <c r="BD283" s="37"/>
      <c r="BE283" s="38"/>
      <c r="BF283" s="37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7"/>
      <c r="BU283" s="37"/>
      <c r="BV283" s="37"/>
      <c r="BW283" s="37"/>
      <c r="BX283" s="42" t="b">
        <v>1</v>
      </c>
      <c r="BY283" s="41">
        <f>IF(MOD(H283,4)=0,H283/4,ROUNDDOWN(H283/4,0))</f>
        <v>90909437</v>
      </c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12" t="b">
        <v>1</v>
      </c>
      <c r="CS283" s="36">
        <f>IF(MOD(H283,4)=0,H283/4,ROUNDUP(H283/4,0))</f>
        <v>90909438</v>
      </c>
      <c r="CT283" s="36"/>
      <c r="CU283" s="36"/>
      <c r="CV283" s="36"/>
      <c r="CW283" s="36"/>
    </row>
    <row r="284" spans="1:101" ht="32.25" customHeight="1" x14ac:dyDescent="0.25">
      <c r="A284" s="12">
        <f t="shared" si="99"/>
        <v>283</v>
      </c>
      <c r="B284" s="13" t="s">
        <v>134</v>
      </c>
      <c r="C284" s="13" t="s">
        <v>1573</v>
      </c>
      <c r="D284" s="14" t="s">
        <v>1728</v>
      </c>
      <c r="E284" s="15" t="s">
        <v>1729</v>
      </c>
      <c r="F284" s="15" t="s">
        <v>1730</v>
      </c>
      <c r="G284" s="16">
        <v>44</v>
      </c>
      <c r="H284" s="17">
        <v>73733000</v>
      </c>
      <c r="I284" s="18"/>
      <c r="J284" s="18"/>
      <c r="K284" s="18"/>
      <c r="L284" s="18" t="s">
        <v>99</v>
      </c>
      <c r="M284" s="19">
        <v>17346</v>
      </c>
      <c r="N284" s="20" t="s">
        <v>100</v>
      </c>
      <c r="O284" s="13" t="b">
        <v>1</v>
      </c>
      <c r="P284" s="20" t="b">
        <v>1</v>
      </c>
      <c r="Q284" s="20" t="b">
        <v>1</v>
      </c>
      <c r="R284" s="13" t="b">
        <v>1</v>
      </c>
      <c r="S284" s="13" t="b">
        <v>1</v>
      </c>
      <c r="T284" s="13" t="b">
        <v>1</v>
      </c>
      <c r="U284" s="13" t="b">
        <v>1</v>
      </c>
      <c r="V284" s="13" t="b">
        <v>1</v>
      </c>
      <c r="W284" s="13" t="b">
        <v>1</v>
      </c>
      <c r="X284" s="13" t="b">
        <v>0</v>
      </c>
      <c r="Y284" s="21" t="s">
        <v>443</v>
      </c>
      <c r="Z284" s="21" t="s">
        <v>1731</v>
      </c>
      <c r="AA284" s="21" t="s">
        <v>1732</v>
      </c>
      <c r="AB284" s="22"/>
      <c r="AC284" s="23"/>
      <c r="AD284" s="13"/>
      <c r="AE284" s="13" t="b">
        <v>0</v>
      </c>
      <c r="AF284" s="48"/>
      <c r="AG284" s="26"/>
      <c r="AH284" s="39" t="b">
        <v>0</v>
      </c>
      <c r="AI284" s="28"/>
      <c r="AJ284" s="29"/>
      <c r="AK284" s="39" t="b">
        <v>0</v>
      </c>
      <c r="AL284" s="29"/>
      <c r="AM284" s="29"/>
      <c r="AN284" s="29"/>
      <c r="AO284" s="13"/>
      <c r="AP284" s="12"/>
      <c r="AQ284" s="16"/>
      <c r="AR284" s="32"/>
      <c r="AS284" s="33"/>
      <c r="AT284" s="32"/>
      <c r="AU284" s="33"/>
      <c r="AV284" s="34"/>
      <c r="AW284" s="33"/>
      <c r="AX284" s="37"/>
      <c r="AY284" s="38"/>
      <c r="AZ284" s="37"/>
      <c r="BA284" s="38"/>
      <c r="BB284" s="37"/>
      <c r="BC284" s="38"/>
      <c r="BD284" s="37"/>
      <c r="BE284" s="38"/>
      <c r="BF284" s="37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</row>
    <row r="285" spans="1:101" ht="32.25" customHeight="1" x14ac:dyDescent="0.25">
      <c r="A285" s="12">
        <f t="shared" si="99"/>
        <v>284</v>
      </c>
      <c r="B285" s="13" t="s">
        <v>134</v>
      </c>
      <c r="C285" s="13" t="s">
        <v>1573</v>
      </c>
      <c r="D285" s="14" t="s">
        <v>1733</v>
      </c>
      <c r="E285" s="15" t="s">
        <v>1734</v>
      </c>
      <c r="F285" s="15" t="s">
        <v>1735</v>
      </c>
      <c r="G285" s="16">
        <v>60</v>
      </c>
      <c r="H285" s="17">
        <v>100545000</v>
      </c>
      <c r="I285" s="18"/>
      <c r="J285" s="18"/>
      <c r="K285" s="18"/>
      <c r="L285" s="18" t="s">
        <v>99</v>
      </c>
      <c r="M285" s="19">
        <v>17347</v>
      </c>
      <c r="N285" s="20" t="s">
        <v>100</v>
      </c>
      <c r="O285" s="13" t="b">
        <v>1</v>
      </c>
      <c r="P285" s="20" t="b">
        <v>1</v>
      </c>
      <c r="Q285" s="20" t="b">
        <v>1</v>
      </c>
      <c r="R285" s="13" t="b">
        <v>0</v>
      </c>
      <c r="S285" s="13" t="b">
        <v>0</v>
      </c>
      <c r="T285" s="13" t="b">
        <v>1</v>
      </c>
      <c r="U285" s="13" t="b">
        <v>0</v>
      </c>
      <c r="V285" s="13" t="b">
        <v>1</v>
      </c>
      <c r="W285" s="13" t="b">
        <v>1</v>
      </c>
      <c r="X285" s="13" t="b">
        <v>1</v>
      </c>
      <c r="Y285" s="21" t="s">
        <v>101</v>
      </c>
      <c r="Z285" s="21" t="s">
        <v>1736</v>
      </c>
      <c r="AA285" s="21" t="s">
        <v>1737</v>
      </c>
      <c r="AB285" s="22"/>
      <c r="AC285" s="23"/>
      <c r="AD285" s="13"/>
      <c r="AE285" s="47" t="b">
        <v>1</v>
      </c>
      <c r="AF285" s="48">
        <v>45880</v>
      </c>
      <c r="AG285" s="26"/>
      <c r="AH285" s="27" t="b">
        <v>1</v>
      </c>
      <c r="AI285" s="28">
        <v>45917</v>
      </c>
      <c r="AJ285" s="29" t="s">
        <v>104</v>
      </c>
      <c r="AK285" s="27" t="b">
        <v>1</v>
      </c>
      <c r="AL285" s="40">
        <v>45982</v>
      </c>
      <c r="AM285" s="29" t="s">
        <v>104</v>
      </c>
      <c r="AN285" s="29"/>
      <c r="AO285" s="13"/>
      <c r="AP285" s="12"/>
      <c r="AQ285" s="16"/>
      <c r="AR285" s="32"/>
      <c r="AS285" s="33"/>
      <c r="AT285" s="32"/>
      <c r="AU285" s="33"/>
      <c r="AV285" s="34"/>
      <c r="AW285" s="33"/>
      <c r="AX285" s="35" t="b">
        <v>1</v>
      </c>
      <c r="AY285" s="36">
        <f t="shared" ref="AY285:AY287" si="108">IF(MOD(H285,4)=0,H285/4,ROUNDUP(H285/4,0))</f>
        <v>25136250</v>
      </c>
      <c r="AZ285" s="37"/>
      <c r="BA285" s="38"/>
      <c r="BB285" s="37"/>
      <c r="BC285" s="38"/>
      <c r="BD285" s="37"/>
      <c r="BE285" s="38"/>
      <c r="BF285" s="37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5" t="b">
        <v>1</v>
      </c>
      <c r="BU285" s="36">
        <f>IF(MOD(H285,4)=0,H285/4,ROUNDDOWN(H285/4,0))</f>
        <v>25136250</v>
      </c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5" t="b">
        <v>1</v>
      </c>
      <c r="CK285" s="36">
        <f t="shared" ref="CK285:CK291" si="109">IF(MOD(H285,4)=0,H285/4,ROUNDUP(H285/4,0))</f>
        <v>25136250</v>
      </c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</row>
    <row r="286" spans="1:101" ht="32.25" customHeight="1" x14ac:dyDescent="0.25">
      <c r="A286" s="12">
        <f t="shared" si="99"/>
        <v>285</v>
      </c>
      <c r="B286" s="13" t="s">
        <v>134</v>
      </c>
      <c r="C286" s="13" t="s">
        <v>1573</v>
      </c>
      <c r="D286" s="14" t="s">
        <v>1738</v>
      </c>
      <c r="E286" s="15" t="s">
        <v>1739</v>
      </c>
      <c r="F286" s="15" t="s">
        <v>1740</v>
      </c>
      <c r="G286" s="16">
        <v>63</v>
      </c>
      <c r="H286" s="17">
        <v>105572250</v>
      </c>
      <c r="I286" s="18"/>
      <c r="J286" s="18"/>
      <c r="K286" s="18"/>
      <c r="L286" s="18" t="s">
        <v>99</v>
      </c>
      <c r="M286" s="19">
        <v>17348</v>
      </c>
      <c r="N286" s="20" t="s">
        <v>100</v>
      </c>
      <c r="O286" s="13" t="b">
        <v>1</v>
      </c>
      <c r="P286" s="20" t="b">
        <v>1</v>
      </c>
      <c r="Q286" s="20" t="b">
        <v>1</v>
      </c>
      <c r="R286" s="13" t="b">
        <v>1</v>
      </c>
      <c r="S286" s="13" t="b">
        <v>1</v>
      </c>
      <c r="T286" s="13" t="b">
        <v>1</v>
      </c>
      <c r="U286" s="13" t="b">
        <v>1</v>
      </c>
      <c r="V286" s="13" t="b">
        <v>1</v>
      </c>
      <c r="W286" s="13" t="b">
        <v>1</v>
      </c>
      <c r="X286" s="13" t="b">
        <v>1</v>
      </c>
      <c r="Y286" s="21" t="s">
        <v>101</v>
      </c>
      <c r="Z286" s="21" t="s">
        <v>1741</v>
      </c>
      <c r="AA286" s="21" t="s">
        <v>1742</v>
      </c>
      <c r="AB286" s="22"/>
      <c r="AC286" s="23"/>
      <c r="AD286" s="13"/>
      <c r="AE286" s="47" t="b">
        <v>1</v>
      </c>
      <c r="AF286" s="48">
        <v>45880</v>
      </c>
      <c r="AG286" s="26"/>
      <c r="AH286" s="27" t="b">
        <v>1</v>
      </c>
      <c r="AI286" s="28">
        <v>45947</v>
      </c>
      <c r="AJ286" s="49" t="s">
        <v>1032</v>
      </c>
      <c r="AK286" s="27" t="b">
        <v>1</v>
      </c>
      <c r="AL286" s="40">
        <v>45982</v>
      </c>
      <c r="AM286" s="49" t="s">
        <v>1743</v>
      </c>
      <c r="AN286" s="29"/>
      <c r="AO286" s="13"/>
      <c r="AP286" s="12"/>
      <c r="AQ286" s="16"/>
      <c r="AR286" s="32"/>
      <c r="AS286" s="33"/>
      <c r="AT286" s="32"/>
      <c r="AU286" s="33"/>
      <c r="AV286" s="34"/>
      <c r="AW286" s="33"/>
      <c r="AX286" s="35" t="b">
        <v>1</v>
      </c>
      <c r="AY286" s="36">
        <f t="shared" si="108"/>
        <v>26393063</v>
      </c>
      <c r="AZ286" s="37"/>
      <c r="BA286" s="38"/>
      <c r="BB286" s="37"/>
      <c r="BC286" s="38"/>
      <c r="BD286" s="37"/>
      <c r="BE286" s="38"/>
      <c r="BF286" s="37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7"/>
      <c r="BU286" s="37"/>
      <c r="BV286" s="35" t="b">
        <v>1</v>
      </c>
      <c r="BW286" s="41">
        <f t="shared" ref="BW286:BW301" si="110">IF(MOD(H286,4)=0,H286/4,ROUNDDOWN(H286/4,0))</f>
        <v>26393062</v>
      </c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35" t="b">
        <v>1</v>
      </c>
      <c r="CK286" s="36">
        <f t="shared" si="109"/>
        <v>26393063</v>
      </c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</row>
    <row r="287" spans="1:101" ht="32.25" customHeight="1" x14ac:dyDescent="0.25">
      <c r="A287" s="12">
        <f t="shared" si="99"/>
        <v>286</v>
      </c>
      <c r="B287" s="13" t="s">
        <v>134</v>
      </c>
      <c r="C287" s="13" t="s">
        <v>1573</v>
      </c>
      <c r="D287" s="14" t="s">
        <v>1744</v>
      </c>
      <c r="E287" s="15" t="s">
        <v>1745</v>
      </c>
      <c r="F287" s="15" t="s">
        <v>1746</v>
      </c>
      <c r="G287" s="16">
        <v>94</v>
      </c>
      <c r="H287" s="17">
        <v>157520500</v>
      </c>
      <c r="I287" s="18"/>
      <c r="J287" s="18"/>
      <c r="K287" s="18"/>
      <c r="L287" s="18" t="s">
        <v>99</v>
      </c>
      <c r="M287" s="19">
        <v>17349</v>
      </c>
      <c r="N287" s="20" t="s">
        <v>100</v>
      </c>
      <c r="O287" s="13" t="b">
        <v>1</v>
      </c>
      <c r="P287" s="20" t="b">
        <v>1</v>
      </c>
      <c r="Q287" s="20" t="b">
        <v>1</v>
      </c>
      <c r="R287" s="13" t="b">
        <v>0</v>
      </c>
      <c r="S287" s="13" t="b">
        <v>0</v>
      </c>
      <c r="T287" s="13" t="b">
        <v>1</v>
      </c>
      <c r="U287" s="13" t="b">
        <v>1</v>
      </c>
      <c r="V287" s="13" t="b">
        <v>1</v>
      </c>
      <c r="W287" s="13" t="b">
        <v>1</v>
      </c>
      <c r="X287" s="13" t="b">
        <v>0</v>
      </c>
      <c r="Y287" s="21" t="s">
        <v>101</v>
      </c>
      <c r="Z287" s="21" t="s">
        <v>1747</v>
      </c>
      <c r="AA287" s="21" t="s">
        <v>1748</v>
      </c>
      <c r="AB287" s="22"/>
      <c r="AC287" s="23"/>
      <c r="AD287" s="13"/>
      <c r="AE287" s="47" t="b">
        <v>1</v>
      </c>
      <c r="AF287" s="48">
        <v>45880</v>
      </c>
      <c r="AG287" s="26"/>
      <c r="AH287" s="27" t="b">
        <v>1</v>
      </c>
      <c r="AI287" s="28">
        <v>45947</v>
      </c>
      <c r="AJ287" s="49" t="s">
        <v>1749</v>
      </c>
      <c r="AK287" s="27" t="b">
        <v>1</v>
      </c>
      <c r="AL287" s="40">
        <v>45982</v>
      </c>
      <c r="AM287" s="29" t="s">
        <v>1723</v>
      </c>
      <c r="AN287" s="29"/>
      <c r="AO287" s="13"/>
      <c r="AP287" s="12"/>
      <c r="AQ287" s="16"/>
      <c r="AR287" s="32"/>
      <c r="AS287" s="33"/>
      <c r="AT287" s="32"/>
      <c r="AU287" s="33"/>
      <c r="AV287" s="34"/>
      <c r="AW287" s="33"/>
      <c r="AX287" s="35" t="b">
        <v>1</v>
      </c>
      <c r="AY287" s="36">
        <f t="shared" si="108"/>
        <v>39380125</v>
      </c>
      <c r="AZ287" s="37"/>
      <c r="BA287" s="38"/>
      <c r="BB287" s="37"/>
      <c r="BC287" s="38"/>
      <c r="BD287" s="37"/>
      <c r="BE287" s="38"/>
      <c r="BF287" s="37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7"/>
      <c r="BU287" s="37"/>
      <c r="BV287" s="35" t="b">
        <v>1</v>
      </c>
      <c r="BW287" s="41">
        <f t="shared" si="110"/>
        <v>39380125</v>
      </c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35" t="b">
        <v>1</v>
      </c>
      <c r="CK287" s="36">
        <f t="shared" si="109"/>
        <v>39380125</v>
      </c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</row>
    <row r="288" spans="1:101" ht="32.25" customHeight="1" x14ac:dyDescent="0.25">
      <c r="A288" s="12">
        <f t="shared" si="99"/>
        <v>287</v>
      </c>
      <c r="B288" s="13" t="s">
        <v>134</v>
      </c>
      <c r="C288" s="13" t="s">
        <v>1573</v>
      </c>
      <c r="D288" s="14" t="s">
        <v>1750</v>
      </c>
      <c r="E288" s="15" t="s">
        <v>1751</v>
      </c>
      <c r="F288" s="15" t="s">
        <v>1752</v>
      </c>
      <c r="G288" s="16">
        <v>34</v>
      </c>
      <c r="H288" s="17">
        <v>56975500</v>
      </c>
      <c r="I288" s="18"/>
      <c r="J288" s="18"/>
      <c r="K288" s="18"/>
      <c r="L288" s="18" t="s">
        <v>99</v>
      </c>
      <c r="M288" s="19">
        <v>17350</v>
      </c>
      <c r="N288" s="20" t="s">
        <v>100</v>
      </c>
      <c r="O288" s="13" t="b">
        <v>1</v>
      </c>
      <c r="P288" s="20" t="b">
        <v>1</v>
      </c>
      <c r="Q288" s="20" t="b">
        <v>1</v>
      </c>
      <c r="R288" s="13" t="b">
        <v>1</v>
      </c>
      <c r="S288" s="13" t="b">
        <v>1</v>
      </c>
      <c r="T288" s="13" t="b">
        <v>1</v>
      </c>
      <c r="U288" s="13" t="b">
        <v>1</v>
      </c>
      <c r="V288" s="13" t="b">
        <v>1</v>
      </c>
      <c r="W288" s="13" t="b">
        <v>1</v>
      </c>
      <c r="X288" s="13" t="b">
        <v>0</v>
      </c>
      <c r="Y288" s="21" t="s">
        <v>101</v>
      </c>
      <c r="Z288" s="21" t="s">
        <v>1753</v>
      </c>
      <c r="AA288" s="21" t="s">
        <v>1754</v>
      </c>
      <c r="AB288" s="22"/>
      <c r="AC288" s="23"/>
      <c r="AD288" s="13"/>
      <c r="AE288" s="47" t="b">
        <v>1</v>
      </c>
      <c r="AF288" s="48">
        <v>45880</v>
      </c>
      <c r="AG288" s="26"/>
      <c r="AH288" s="27" t="b">
        <v>1</v>
      </c>
      <c r="AI288" s="28">
        <v>45947</v>
      </c>
      <c r="AJ288" s="49" t="s">
        <v>1755</v>
      </c>
      <c r="AK288" s="27" t="b">
        <v>1</v>
      </c>
      <c r="AL288" s="40">
        <v>45982</v>
      </c>
      <c r="AM288" s="49" t="s">
        <v>1743</v>
      </c>
      <c r="AN288" s="29"/>
      <c r="AO288" s="13"/>
      <c r="AP288" s="12"/>
      <c r="AQ288" s="16"/>
      <c r="AR288" s="32"/>
      <c r="AS288" s="33"/>
      <c r="AT288" s="32"/>
      <c r="AU288" s="33"/>
      <c r="AV288" s="34"/>
      <c r="AW288" s="33"/>
      <c r="AX288" s="37"/>
      <c r="AY288" s="38"/>
      <c r="AZ288" s="37"/>
      <c r="BA288" s="38"/>
      <c r="BB288" s="35" t="b">
        <v>1</v>
      </c>
      <c r="BC288" s="36">
        <f>IF(MOD(H288,4)=0,H288/4,ROUNDUP(H288/4,0))</f>
        <v>14243875</v>
      </c>
      <c r="BD288" s="41"/>
      <c r="BE288" s="36"/>
      <c r="BF288" s="41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41"/>
      <c r="BU288" s="41"/>
      <c r="BV288" s="35" t="b">
        <v>1</v>
      </c>
      <c r="BW288" s="41">
        <f t="shared" si="110"/>
        <v>14243875</v>
      </c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35" t="b">
        <v>1</v>
      </c>
      <c r="CK288" s="36">
        <f t="shared" si="109"/>
        <v>14243875</v>
      </c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</row>
    <row r="289" spans="1:101" ht="32.25" customHeight="1" x14ac:dyDescent="0.25">
      <c r="A289" s="12">
        <f t="shared" si="99"/>
        <v>288</v>
      </c>
      <c r="B289" s="13" t="s">
        <v>134</v>
      </c>
      <c r="C289" s="13" t="s">
        <v>1573</v>
      </c>
      <c r="D289" s="14" t="s">
        <v>1756</v>
      </c>
      <c r="E289" s="15" t="s">
        <v>1757</v>
      </c>
      <c r="F289" s="15" t="s">
        <v>1758</v>
      </c>
      <c r="G289" s="16">
        <v>20</v>
      </c>
      <c r="H289" s="17">
        <v>33515000</v>
      </c>
      <c r="I289" s="18"/>
      <c r="J289" s="18"/>
      <c r="K289" s="18"/>
      <c r="L289" s="18" t="s">
        <v>99</v>
      </c>
      <c r="M289" s="19">
        <v>17351</v>
      </c>
      <c r="N289" s="20" t="s">
        <v>100</v>
      </c>
      <c r="O289" s="13" t="b">
        <v>1</v>
      </c>
      <c r="P289" s="20" t="b">
        <v>1</v>
      </c>
      <c r="Q289" s="20" t="b">
        <v>1</v>
      </c>
      <c r="R289" s="13" t="b">
        <v>1</v>
      </c>
      <c r="S289" s="13" t="b">
        <v>1</v>
      </c>
      <c r="T289" s="13" t="b">
        <v>1</v>
      </c>
      <c r="U289" s="13" t="b">
        <v>1</v>
      </c>
      <c r="V289" s="13" t="b">
        <v>1</v>
      </c>
      <c r="W289" s="13" t="b">
        <v>1</v>
      </c>
      <c r="X289" s="13" t="b">
        <v>1</v>
      </c>
      <c r="Y289" s="21" t="s">
        <v>101</v>
      </c>
      <c r="Z289" s="21" t="s">
        <v>1759</v>
      </c>
      <c r="AA289" s="21" t="s">
        <v>1760</v>
      </c>
      <c r="AB289" s="22"/>
      <c r="AC289" s="23"/>
      <c r="AD289" s="13"/>
      <c r="AE289" s="47" t="b">
        <v>1</v>
      </c>
      <c r="AF289" s="48">
        <v>45880</v>
      </c>
      <c r="AG289" s="26"/>
      <c r="AH289" s="27" t="b">
        <v>1</v>
      </c>
      <c r="AI289" s="28">
        <v>45947</v>
      </c>
      <c r="AJ289" s="49" t="s">
        <v>1743</v>
      </c>
      <c r="AK289" s="27" t="b">
        <v>1</v>
      </c>
      <c r="AL289" s="40">
        <v>45982</v>
      </c>
      <c r="AM289" s="49" t="s">
        <v>1743</v>
      </c>
      <c r="AN289" s="29"/>
      <c r="AO289" s="13"/>
      <c r="AP289" s="12"/>
      <c r="AQ289" s="16"/>
      <c r="AR289" s="32"/>
      <c r="AS289" s="33"/>
      <c r="AT289" s="32"/>
      <c r="AU289" s="33"/>
      <c r="AV289" s="34"/>
      <c r="AW289" s="33"/>
      <c r="AX289" s="35" t="b">
        <v>1</v>
      </c>
      <c r="AY289" s="36">
        <f t="shared" ref="AY289:AY301" si="111">IF(MOD(H289,4)=0,H289/4,ROUNDUP(H289/4,0))</f>
        <v>8378750</v>
      </c>
      <c r="AZ289" s="37"/>
      <c r="BA289" s="38"/>
      <c r="BB289" s="37"/>
      <c r="BC289" s="38"/>
      <c r="BD289" s="37"/>
      <c r="BE289" s="38"/>
      <c r="BF289" s="37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7"/>
      <c r="BU289" s="37"/>
      <c r="BV289" s="35" t="b">
        <v>1</v>
      </c>
      <c r="BW289" s="41">
        <f t="shared" si="110"/>
        <v>8378750</v>
      </c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35" t="b">
        <v>1</v>
      </c>
      <c r="CK289" s="36">
        <f t="shared" si="109"/>
        <v>8378750</v>
      </c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</row>
    <row r="290" spans="1:101" ht="32.25" customHeight="1" x14ac:dyDescent="0.25">
      <c r="A290" s="12">
        <f t="shared" si="99"/>
        <v>289</v>
      </c>
      <c r="B290" s="13" t="s">
        <v>134</v>
      </c>
      <c r="C290" s="13" t="s">
        <v>1573</v>
      </c>
      <c r="D290" s="14" t="s">
        <v>1761</v>
      </c>
      <c r="E290" s="15" t="s">
        <v>1762</v>
      </c>
      <c r="F290" s="15" t="s">
        <v>1763</v>
      </c>
      <c r="G290" s="16">
        <v>25</v>
      </c>
      <c r="H290" s="17">
        <v>41893750</v>
      </c>
      <c r="I290" s="18"/>
      <c r="J290" s="18"/>
      <c r="K290" s="18"/>
      <c r="L290" s="18" t="s">
        <v>99</v>
      </c>
      <c r="M290" s="19">
        <v>17352</v>
      </c>
      <c r="N290" s="20" t="s">
        <v>100</v>
      </c>
      <c r="O290" s="13" t="b">
        <v>1</v>
      </c>
      <c r="P290" s="20" t="b">
        <v>1</v>
      </c>
      <c r="Q290" s="20" t="b">
        <v>1</v>
      </c>
      <c r="R290" s="13" t="b">
        <v>1</v>
      </c>
      <c r="S290" s="13" t="b">
        <v>1</v>
      </c>
      <c r="T290" s="13" t="b">
        <v>1</v>
      </c>
      <c r="U290" s="13" t="b">
        <v>0</v>
      </c>
      <c r="V290" s="13" t="b">
        <v>1</v>
      </c>
      <c r="W290" s="13" t="b">
        <v>1</v>
      </c>
      <c r="X290" s="13" t="b">
        <v>1</v>
      </c>
      <c r="Y290" s="21" t="s">
        <v>101</v>
      </c>
      <c r="Z290" s="21" t="s">
        <v>1764</v>
      </c>
      <c r="AA290" s="21" t="s">
        <v>1765</v>
      </c>
      <c r="AB290" s="22"/>
      <c r="AC290" s="23"/>
      <c r="AD290" s="13"/>
      <c r="AE290" s="47" t="b">
        <v>1</v>
      </c>
      <c r="AF290" s="48">
        <v>45880</v>
      </c>
      <c r="AG290" s="26"/>
      <c r="AH290" s="27" t="b">
        <v>1</v>
      </c>
      <c r="AI290" s="28">
        <v>45947</v>
      </c>
      <c r="AJ290" s="49" t="s">
        <v>1032</v>
      </c>
      <c r="AK290" s="27" t="b">
        <v>1</v>
      </c>
      <c r="AL290" s="40">
        <v>45982</v>
      </c>
      <c r="AM290" s="49" t="s">
        <v>1743</v>
      </c>
      <c r="AN290" s="29"/>
      <c r="AO290" s="13"/>
      <c r="AP290" s="12"/>
      <c r="AQ290" s="16"/>
      <c r="AR290" s="12"/>
      <c r="AS290" s="33"/>
      <c r="AT290" s="32"/>
      <c r="AU290" s="33"/>
      <c r="AV290" s="34"/>
      <c r="AW290" s="33"/>
      <c r="AX290" s="35" t="b">
        <v>1</v>
      </c>
      <c r="AY290" s="36">
        <f t="shared" si="111"/>
        <v>10473438</v>
      </c>
      <c r="AZ290" s="37"/>
      <c r="BA290" s="38"/>
      <c r="BB290" s="37"/>
      <c r="BC290" s="38"/>
      <c r="BD290" s="37"/>
      <c r="BE290" s="38"/>
      <c r="BF290" s="37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7"/>
      <c r="BU290" s="37"/>
      <c r="BV290" s="35" t="b">
        <v>1</v>
      </c>
      <c r="BW290" s="41">
        <f t="shared" si="110"/>
        <v>10473437</v>
      </c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35" t="b">
        <v>1</v>
      </c>
      <c r="CK290" s="36">
        <f t="shared" si="109"/>
        <v>10473438</v>
      </c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</row>
    <row r="291" spans="1:101" ht="32.25" customHeight="1" x14ac:dyDescent="0.25">
      <c r="A291" s="12">
        <f t="shared" si="99"/>
        <v>290</v>
      </c>
      <c r="B291" s="13" t="s">
        <v>134</v>
      </c>
      <c r="C291" s="13" t="s">
        <v>1573</v>
      </c>
      <c r="D291" s="14" t="s">
        <v>1766</v>
      </c>
      <c r="E291" s="15" t="s">
        <v>1767</v>
      </c>
      <c r="F291" s="15" t="s">
        <v>1768</v>
      </c>
      <c r="G291" s="16">
        <v>289</v>
      </c>
      <c r="H291" s="17">
        <v>484291750</v>
      </c>
      <c r="I291" s="18"/>
      <c r="J291" s="18"/>
      <c r="K291" s="18"/>
      <c r="L291" s="18" t="s">
        <v>99</v>
      </c>
      <c r="M291" s="19">
        <v>17353</v>
      </c>
      <c r="N291" s="20" t="s">
        <v>100</v>
      </c>
      <c r="O291" s="13" t="b">
        <v>1</v>
      </c>
      <c r="P291" s="20" t="b">
        <v>1</v>
      </c>
      <c r="Q291" s="20" t="b">
        <v>0</v>
      </c>
      <c r="R291" s="13" t="b">
        <v>1</v>
      </c>
      <c r="S291" s="13" t="b">
        <v>1</v>
      </c>
      <c r="T291" s="13" t="b">
        <v>1</v>
      </c>
      <c r="U291" s="13" t="b">
        <v>1</v>
      </c>
      <c r="V291" s="13" t="b">
        <v>1</v>
      </c>
      <c r="W291" s="13" t="b">
        <v>1</v>
      </c>
      <c r="X291" s="13" t="b">
        <v>0</v>
      </c>
      <c r="Y291" s="21" t="s">
        <v>101</v>
      </c>
      <c r="Z291" s="21" t="s">
        <v>1769</v>
      </c>
      <c r="AA291" s="21" t="s">
        <v>1770</v>
      </c>
      <c r="AB291" s="22"/>
      <c r="AC291" s="23"/>
      <c r="AD291" s="69"/>
      <c r="AE291" s="47" t="b">
        <v>1</v>
      </c>
      <c r="AF291" s="48">
        <v>45880</v>
      </c>
      <c r="AG291" s="26"/>
      <c r="AH291" s="27" t="b">
        <v>1</v>
      </c>
      <c r="AI291" s="28">
        <v>45947</v>
      </c>
      <c r="AJ291" s="49" t="s">
        <v>1771</v>
      </c>
      <c r="AK291" s="27" t="b">
        <v>1</v>
      </c>
      <c r="AL291" s="40">
        <v>45982</v>
      </c>
      <c r="AM291" s="29" t="s">
        <v>1772</v>
      </c>
      <c r="AN291" s="29"/>
      <c r="AO291" s="13"/>
      <c r="AP291" s="12"/>
      <c r="AQ291" s="16"/>
      <c r="AR291" s="32"/>
      <c r="AS291" s="33"/>
      <c r="AT291" s="32"/>
      <c r="AU291" s="33"/>
      <c r="AV291" s="34"/>
      <c r="AW291" s="33"/>
      <c r="AX291" s="35" t="b">
        <v>1</v>
      </c>
      <c r="AY291" s="36">
        <f t="shared" si="111"/>
        <v>121072938</v>
      </c>
      <c r="AZ291" s="37"/>
      <c r="BA291" s="38"/>
      <c r="BB291" s="37"/>
      <c r="BC291" s="38"/>
      <c r="BD291" s="37"/>
      <c r="BE291" s="38"/>
      <c r="BF291" s="37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7"/>
      <c r="BU291" s="37"/>
      <c r="BV291" s="35" t="b">
        <v>1</v>
      </c>
      <c r="BW291" s="41">
        <f t="shared" si="110"/>
        <v>121072937</v>
      </c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35" t="b">
        <v>1</v>
      </c>
      <c r="CK291" s="36">
        <f t="shared" si="109"/>
        <v>121072938</v>
      </c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</row>
    <row r="292" spans="1:101" ht="32.25" customHeight="1" x14ac:dyDescent="0.25">
      <c r="A292" s="12">
        <f t="shared" si="99"/>
        <v>291</v>
      </c>
      <c r="B292" s="13" t="s">
        <v>134</v>
      </c>
      <c r="C292" s="13" t="s">
        <v>1573</v>
      </c>
      <c r="D292" s="14" t="s">
        <v>1773</v>
      </c>
      <c r="E292" s="15" t="s">
        <v>1774</v>
      </c>
      <c r="F292" s="15" t="s">
        <v>1775</v>
      </c>
      <c r="G292" s="16">
        <v>350</v>
      </c>
      <c r="H292" s="17">
        <v>586512500</v>
      </c>
      <c r="I292" s="18"/>
      <c r="J292" s="18"/>
      <c r="K292" s="18"/>
      <c r="L292" s="18" t="s">
        <v>99</v>
      </c>
      <c r="M292" s="19">
        <v>17354</v>
      </c>
      <c r="N292" s="20" t="s">
        <v>100</v>
      </c>
      <c r="O292" s="13" t="b">
        <v>1</v>
      </c>
      <c r="P292" s="20" t="b">
        <v>1</v>
      </c>
      <c r="Q292" s="20" t="b">
        <v>1</v>
      </c>
      <c r="R292" s="13" t="b">
        <v>1</v>
      </c>
      <c r="S292" s="13" t="b">
        <v>1</v>
      </c>
      <c r="T292" s="13" t="b">
        <v>1</v>
      </c>
      <c r="U292" s="13" t="b">
        <v>1</v>
      </c>
      <c r="V292" s="13" t="b">
        <v>1</v>
      </c>
      <c r="W292" s="13" t="b">
        <v>1</v>
      </c>
      <c r="X292" s="13" t="b">
        <v>1</v>
      </c>
      <c r="Y292" s="21" t="s">
        <v>101</v>
      </c>
      <c r="Z292" s="21" t="s">
        <v>1776</v>
      </c>
      <c r="AA292" s="21" t="s">
        <v>1777</v>
      </c>
      <c r="AB292" s="22"/>
      <c r="AC292" s="23"/>
      <c r="AD292" s="13"/>
      <c r="AE292" s="47" t="b">
        <v>1</v>
      </c>
      <c r="AF292" s="48">
        <v>45874</v>
      </c>
      <c r="AG292" s="26"/>
      <c r="AH292" s="27" t="b">
        <v>1</v>
      </c>
      <c r="AI292" s="28">
        <v>45947</v>
      </c>
      <c r="AJ292" s="49" t="s">
        <v>1778</v>
      </c>
      <c r="AK292" s="39" t="b">
        <v>1</v>
      </c>
      <c r="AL292" s="40">
        <v>45996</v>
      </c>
      <c r="AM292" s="29" t="s">
        <v>1779</v>
      </c>
      <c r="AN292" s="29"/>
      <c r="AO292" s="13"/>
      <c r="AP292" s="12"/>
      <c r="AQ292" s="16"/>
      <c r="AR292" s="32"/>
      <c r="AS292" s="33"/>
      <c r="AT292" s="32"/>
      <c r="AU292" s="33"/>
      <c r="AV292" s="34"/>
      <c r="AW292" s="33"/>
      <c r="AX292" s="35" t="b">
        <v>1</v>
      </c>
      <c r="AY292" s="36">
        <f t="shared" si="111"/>
        <v>146628125</v>
      </c>
      <c r="AZ292" s="37"/>
      <c r="BA292" s="38"/>
      <c r="BB292" s="37"/>
      <c r="BC292" s="38"/>
      <c r="BD292" s="37"/>
      <c r="BE292" s="38"/>
      <c r="BF292" s="37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7"/>
      <c r="BU292" s="37"/>
      <c r="BV292" s="35" t="b">
        <v>1</v>
      </c>
      <c r="BW292" s="41">
        <f t="shared" si="110"/>
        <v>146628125</v>
      </c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35" t="b">
        <v>1</v>
      </c>
      <c r="CQ292" s="41">
        <f>IF(MOD(H292,4)=0,H292/4,ROUNDUP(H292/4,0))</f>
        <v>146628125</v>
      </c>
      <c r="CR292" s="41"/>
      <c r="CS292" s="41"/>
      <c r="CT292" s="41"/>
      <c r="CU292" s="41"/>
      <c r="CV292" s="41"/>
      <c r="CW292" s="41"/>
    </row>
    <row r="293" spans="1:101" ht="32.25" customHeight="1" x14ac:dyDescent="0.25">
      <c r="A293" s="12">
        <f t="shared" si="99"/>
        <v>292</v>
      </c>
      <c r="B293" s="13" t="s">
        <v>134</v>
      </c>
      <c r="C293" s="13" t="s">
        <v>1573</v>
      </c>
      <c r="D293" s="14" t="s">
        <v>1780</v>
      </c>
      <c r="E293" s="15" t="s">
        <v>1781</v>
      </c>
      <c r="F293" s="15" t="s">
        <v>1782</v>
      </c>
      <c r="G293" s="16">
        <v>53</v>
      </c>
      <c r="H293" s="17">
        <v>88814750</v>
      </c>
      <c r="I293" s="18"/>
      <c r="J293" s="18"/>
      <c r="K293" s="18"/>
      <c r="L293" s="18" t="s">
        <v>99</v>
      </c>
      <c r="M293" s="19">
        <v>17355</v>
      </c>
      <c r="N293" s="20" t="s">
        <v>100</v>
      </c>
      <c r="O293" s="13" t="b">
        <v>1</v>
      </c>
      <c r="P293" s="20" t="b">
        <v>1</v>
      </c>
      <c r="Q293" s="20" t="b">
        <v>1</v>
      </c>
      <c r="R293" s="13" t="b">
        <v>0</v>
      </c>
      <c r="S293" s="13" t="b">
        <v>0</v>
      </c>
      <c r="T293" s="13" t="b">
        <v>1</v>
      </c>
      <c r="U293" s="13" t="b">
        <v>1</v>
      </c>
      <c r="V293" s="13" t="b">
        <v>0</v>
      </c>
      <c r="W293" s="13" t="b">
        <v>1</v>
      </c>
      <c r="X293" s="13" t="b">
        <v>0</v>
      </c>
      <c r="Y293" s="21" t="s">
        <v>101</v>
      </c>
      <c r="Z293" s="21" t="s">
        <v>1783</v>
      </c>
      <c r="AA293" s="21" t="s">
        <v>1784</v>
      </c>
      <c r="AB293" s="22"/>
      <c r="AC293" s="23"/>
      <c r="AD293" s="13"/>
      <c r="AE293" s="47" t="b">
        <v>1</v>
      </c>
      <c r="AF293" s="48">
        <v>45880</v>
      </c>
      <c r="AG293" s="26"/>
      <c r="AH293" s="39" t="b">
        <v>1</v>
      </c>
      <c r="AI293" s="28">
        <v>45947</v>
      </c>
      <c r="AJ293" s="49" t="s">
        <v>104</v>
      </c>
      <c r="AK293" s="27" t="b">
        <v>1</v>
      </c>
      <c r="AL293" s="40">
        <v>45987</v>
      </c>
      <c r="AM293" s="29" t="s">
        <v>104</v>
      </c>
      <c r="AN293" s="29"/>
      <c r="AO293" s="13"/>
      <c r="AP293" s="12"/>
      <c r="AQ293" s="16"/>
      <c r="AR293" s="32"/>
      <c r="AS293" s="33"/>
      <c r="AT293" s="32"/>
      <c r="AU293" s="33"/>
      <c r="AV293" s="34"/>
      <c r="AW293" s="33"/>
      <c r="AX293" s="35" t="b">
        <v>1</v>
      </c>
      <c r="AY293" s="36">
        <f t="shared" si="111"/>
        <v>22203688</v>
      </c>
      <c r="AZ293" s="37"/>
      <c r="BA293" s="38"/>
      <c r="BB293" s="37"/>
      <c r="BC293" s="38"/>
      <c r="BD293" s="37"/>
      <c r="BE293" s="38"/>
      <c r="BF293" s="37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7"/>
      <c r="BU293" s="37"/>
      <c r="BV293" s="35" t="b">
        <v>1</v>
      </c>
      <c r="BW293" s="41">
        <f t="shared" si="110"/>
        <v>22203687</v>
      </c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35" t="b">
        <v>1</v>
      </c>
      <c r="CM293" s="41">
        <f>IF(MOD(H293,4)=0,H293/4,ROUNDUP(H293/4,0))</f>
        <v>22203688</v>
      </c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</row>
    <row r="294" spans="1:101" ht="32.25" customHeight="1" x14ac:dyDescent="0.25">
      <c r="A294" s="12">
        <f t="shared" si="99"/>
        <v>293</v>
      </c>
      <c r="B294" s="13" t="s">
        <v>134</v>
      </c>
      <c r="C294" s="13" t="s">
        <v>1573</v>
      </c>
      <c r="D294" s="14" t="s">
        <v>1785</v>
      </c>
      <c r="E294" s="15" t="s">
        <v>1786</v>
      </c>
      <c r="F294" s="15" t="s">
        <v>1787</v>
      </c>
      <c r="G294" s="16">
        <v>44</v>
      </c>
      <c r="H294" s="17">
        <v>73733000</v>
      </c>
      <c r="I294" s="18"/>
      <c r="J294" s="18"/>
      <c r="K294" s="18"/>
      <c r="L294" s="18" t="s">
        <v>99</v>
      </c>
      <c r="M294" s="19">
        <v>17356</v>
      </c>
      <c r="N294" s="20" t="s">
        <v>100</v>
      </c>
      <c r="O294" s="13" t="b">
        <v>1</v>
      </c>
      <c r="P294" s="20" t="b">
        <v>1</v>
      </c>
      <c r="Q294" s="20" t="b">
        <v>1</v>
      </c>
      <c r="R294" s="13" t="b">
        <v>1</v>
      </c>
      <c r="S294" s="13" t="b">
        <v>1</v>
      </c>
      <c r="T294" s="13" t="b">
        <v>1</v>
      </c>
      <c r="U294" s="13" t="b">
        <v>0</v>
      </c>
      <c r="V294" s="13" t="b">
        <v>1</v>
      </c>
      <c r="W294" s="13" t="b">
        <v>1</v>
      </c>
      <c r="X294" s="13" t="b">
        <v>0</v>
      </c>
      <c r="Y294" s="21" t="s">
        <v>101</v>
      </c>
      <c r="Z294" s="21" t="s">
        <v>1788</v>
      </c>
      <c r="AA294" s="21" t="s">
        <v>1789</v>
      </c>
      <c r="AB294" s="22"/>
      <c r="AC294" s="23"/>
      <c r="AD294" s="13"/>
      <c r="AE294" s="47" t="b">
        <v>1</v>
      </c>
      <c r="AF294" s="48">
        <v>45880</v>
      </c>
      <c r="AG294" s="26"/>
      <c r="AH294" s="27" t="b">
        <v>1</v>
      </c>
      <c r="AI294" s="28">
        <v>45958</v>
      </c>
      <c r="AJ294" s="29" t="s">
        <v>590</v>
      </c>
      <c r="AK294" s="39" t="b">
        <v>1</v>
      </c>
      <c r="AL294" s="40">
        <v>46008</v>
      </c>
      <c r="AM294" s="29" t="s">
        <v>104</v>
      </c>
      <c r="AN294" s="29"/>
      <c r="AO294" s="13"/>
      <c r="AP294" s="12"/>
      <c r="AQ294" s="16"/>
      <c r="AR294" s="12"/>
      <c r="AS294" s="33"/>
      <c r="AT294" s="32"/>
      <c r="AU294" s="33"/>
      <c r="AV294" s="34"/>
      <c r="AW294" s="33"/>
      <c r="AX294" s="35" t="b">
        <v>1</v>
      </c>
      <c r="AY294" s="36">
        <f t="shared" si="111"/>
        <v>18433250</v>
      </c>
      <c r="AZ294" s="37"/>
      <c r="BA294" s="38"/>
      <c r="BB294" s="37"/>
      <c r="BC294" s="38"/>
      <c r="BD294" s="37"/>
      <c r="BE294" s="38"/>
      <c r="BF294" s="37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7"/>
      <c r="BU294" s="37"/>
      <c r="BV294" s="35" t="b">
        <v>1</v>
      </c>
      <c r="BW294" s="41">
        <f t="shared" si="110"/>
        <v>18433250</v>
      </c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12" t="b">
        <v>1</v>
      </c>
      <c r="CS294" s="36">
        <f t="shared" ref="CS294:CS295" si="112">IF(MOD(H294,4)=0,H294/4,ROUNDUP(H294/4,0))</f>
        <v>18433250</v>
      </c>
      <c r="CT294" s="36"/>
      <c r="CU294" s="36"/>
      <c r="CV294" s="36"/>
      <c r="CW294" s="36"/>
    </row>
    <row r="295" spans="1:101" ht="32.25" customHeight="1" x14ac:dyDescent="0.25">
      <c r="A295" s="12">
        <f t="shared" si="99"/>
        <v>294</v>
      </c>
      <c r="B295" s="13" t="s">
        <v>134</v>
      </c>
      <c r="C295" s="13" t="s">
        <v>1573</v>
      </c>
      <c r="D295" s="14" t="s">
        <v>1790</v>
      </c>
      <c r="E295" s="15" t="s">
        <v>1791</v>
      </c>
      <c r="F295" s="15" t="s">
        <v>1792</v>
      </c>
      <c r="G295" s="16">
        <v>199</v>
      </c>
      <c r="H295" s="17">
        <v>333474250</v>
      </c>
      <c r="I295" s="18"/>
      <c r="J295" s="18"/>
      <c r="K295" s="18"/>
      <c r="L295" s="18" t="s">
        <v>99</v>
      </c>
      <c r="M295" s="19">
        <v>17357</v>
      </c>
      <c r="N295" s="20" t="s">
        <v>100</v>
      </c>
      <c r="O295" s="13" t="b">
        <v>1</v>
      </c>
      <c r="P295" s="20" t="b">
        <v>1</v>
      </c>
      <c r="Q295" s="20" t="b">
        <v>0</v>
      </c>
      <c r="R295" s="13" t="b">
        <v>1</v>
      </c>
      <c r="S295" s="13" t="b">
        <v>0</v>
      </c>
      <c r="T295" s="13" t="b">
        <v>1</v>
      </c>
      <c r="U295" s="13" t="b">
        <v>0</v>
      </c>
      <c r="V295" s="13" t="b">
        <v>1</v>
      </c>
      <c r="W295" s="13" t="b">
        <v>1</v>
      </c>
      <c r="X295" s="13" t="b">
        <v>0</v>
      </c>
      <c r="Y295" s="21" t="s">
        <v>101</v>
      </c>
      <c r="Z295" s="21" t="s">
        <v>1793</v>
      </c>
      <c r="AA295" s="21" t="s">
        <v>1794</v>
      </c>
      <c r="AB295" s="22"/>
      <c r="AC295" s="13"/>
      <c r="AD295" s="13"/>
      <c r="AE295" s="47" t="b">
        <v>1</v>
      </c>
      <c r="AF295" s="48">
        <v>45880</v>
      </c>
      <c r="AG295" s="26"/>
      <c r="AH295" s="27" t="b">
        <v>1</v>
      </c>
      <c r="AI295" s="28">
        <v>45947</v>
      </c>
      <c r="AJ295" s="49" t="s">
        <v>1795</v>
      </c>
      <c r="AK295" s="39" t="b">
        <v>1</v>
      </c>
      <c r="AL295" s="40">
        <v>46008</v>
      </c>
      <c r="AM295" s="29" t="s">
        <v>1796</v>
      </c>
      <c r="AN295" s="29"/>
      <c r="AO295" s="13"/>
      <c r="AP295" s="12"/>
      <c r="AQ295" s="16"/>
      <c r="AR295" s="32"/>
      <c r="AS295" s="33"/>
      <c r="AT295" s="32"/>
      <c r="AU295" s="33"/>
      <c r="AV295" s="34"/>
      <c r="AW295" s="33"/>
      <c r="AX295" s="35" t="b">
        <v>1</v>
      </c>
      <c r="AY295" s="36">
        <f t="shared" si="111"/>
        <v>83368563</v>
      </c>
      <c r="AZ295" s="37"/>
      <c r="BA295" s="38"/>
      <c r="BB295" s="37"/>
      <c r="BC295" s="38"/>
      <c r="BD295" s="37"/>
      <c r="BE295" s="38"/>
      <c r="BF295" s="37"/>
      <c r="BG295" s="38"/>
      <c r="BH295" s="38"/>
      <c r="BI295" s="38"/>
      <c r="BJ295" s="38"/>
      <c r="BK295" s="38"/>
      <c r="BL295" s="38"/>
      <c r="BM295" s="38"/>
      <c r="BN295" s="38"/>
      <c r="BO295" s="38"/>
      <c r="BP295" s="38"/>
      <c r="BQ295" s="38"/>
      <c r="BR295" s="38"/>
      <c r="BS295" s="38"/>
      <c r="BT295" s="37"/>
      <c r="BU295" s="37"/>
      <c r="BV295" s="35" t="b">
        <v>1</v>
      </c>
      <c r="BW295" s="41">
        <f t="shared" si="110"/>
        <v>83368562</v>
      </c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12" t="b">
        <v>1</v>
      </c>
      <c r="CS295" s="36">
        <f t="shared" si="112"/>
        <v>83368563</v>
      </c>
      <c r="CT295" s="36"/>
      <c r="CU295" s="36"/>
      <c r="CV295" s="36"/>
      <c r="CW295" s="36"/>
    </row>
    <row r="296" spans="1:101" ht="32.25" customHeight="1" x14ac:dyDescent="0.25">
      <c r="A296" s="12">
        <f t="shared" si="99"/>
        <v>295</v>
      </c>
      <c r="B296" s="13" t="s">
        <v>134</v>
      </c>
      <c r="C296" s="13" t="s">
        <v>1573</v>
      </c>
      <c r="D296" s="14" t="s">
        <v>1797</v>
      </c>
      <c r="E296" s="15" t="s">
        <v>1798</v>
      </c>
      <c r="F296" s="15" t="s">
        <v>1799</v>
      </c>
      <c r="G296" s="16">
        <v>105</v>
      </c>
      <c r="H296" s="17">
        <v>175953750</v>
      </c>
      <c r="I296" s="18"/>
      <c r="J296" s="18"/>
      <c r="K296" s="18"/>
      <c r="L296" s="18" t="s">
        <v>99</v>
      </c>
      <c r="M296" s="19">
        <v>17358</v>
      </c>
      <c r="N296" s="20" t="s">
        <v>100</v>
      </c>
      <c r="O296" s="13" t="b">
        <v>1</v>
      </c>
      <c r="P296" s="20" t="b">
        <v>1</v>
      </c>
      <c r="Q296" s="20" t="b">
        <v>1</v>
      </c>
      <c r="R296" s="13" t="b">
        <v>1</v>
      </c>
      <c r="S296" s="13" t="b">
        <v>1</v>
      </c>
      <c r="T296" s="13" t="b">
        <v>1</v>
      </c>
      <c r="U296" s="13" t="b">
        <v>1</v>
      </c>
      <c r="V296" s="13" t="b">
        <v>1</v>
      </c>
      <c r="W296" s="13" t="b">
        <v>1</v>
      </c>
      <c r="X296" s="13" t="b">
        <v>1</v>
      </c>
      <c r="Y296" s="21" t="s">
        <v>101</v>
      </c>
      <c r="Z296" s="21" t="s">
        <v>1800</v>
      </c>
      <c r="AA296" s="21" t="s">
        <v>1801</v>
      </c>
      <c r="AB296" s="22"/>
      <c r="AC296" s="13"/>
      <c r="AD296" s="13"/>
      <c r="AE296" s="47" t="b">
        <v>1</v>
      </c>
      <c r="AF296" s="48">
        <v>45880</v>
      </c>
      <c r="AG296" s="26"/>
      <c r="AH296" s="27" t="b">
        <v>1</v>
      </c>
      <c r="AI296" s="28">
        <v>45947</v>
      </c>
      <c r="AJ296" s="49" t="s">
        <v>1802</v>
      </c>
      <c r="AK296" s="27" t="b">
        <v>1</v>
      </c>
      <c r="AL296" s="40">
        <v>45982</v>
      </c>
      <c r="AM296" s="49" t="s">
        <v>1743</v>
      </c>
      <c r="AN296" s="29"/>
      <c r="AO296" s="13"/>
      <c r="AP296" s="12"/>
      <c r="AQ296" s="16"/>
      <c r="AR296" s="32"/>
      <c r="AS296" s="33"/>
      <c r="AT296" s="32"/>
      <c r="AU296" s="33"/>
      <c r="AV296" s="34"/>
      <c r="AW296" s="33"/>
      <c r="AX296" s="35" t="b">
        <v>1</v>
      </c>
      <c r="AY296" s="36">
        <f t="shared" si="111"/>
        <v>43988438</v>
      </c>
      <c r="AZ296" s="37"/>
      <c r="BA296" s="38"/>
      <c r="BB296" s="37"/>
      <c r="BC296" s="38"/>
      <c r="BD296" s="37"/>
      <c r="BE296" s="38"/>
      <c r="BF296" s="37"/>
      <c r="BG296" s="38"/>
      <c r="BH296" s="38"/>
      <c r="BI296" s="38"/>
      <c r="BJ296" s="38"/>
      <c r="BK296" s="38"/>
      <c r="BL296" s="38"/>
      <c r="BM296" s="38"/>
      <c r="BN296" s="38"/>
      <c r="BO296" s="38"/>
      <c r="BP296" s="38"/>
      <c r="BQ296" s="38"/>
      <c r="BR296" s="38"/>
      <c r="BS296" s="38"/>
      <c r="BT296" s="37"/>
      <c r="BU296" s="37"/>
      <c r="BV296" s="35" t="b">
        <v>1</v>
      </c>
      <c r="BW296" s="41">
        <f t="shared" si="110"/>
        <v>43988437</v>
      </c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35" t="b">
        <v>1</v>
      </c>
      <c r="CK296" s="36">
        <f t="shared" ref="CK296:CK297" si="113">IF(MOD(H296,4)=0,H296/4,ROUNDUP(H296/4,0))</f>
        <v>43988438</v>
      </c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</row>
    <row r="297" spans="1:101" ht="32.25" customHeight="1" x14ac:dyDescent="0.25">
      <c r="A297" s="12">
        <f t="shared" si="99"/>
        <v>296</v>
      </c>
      <c r="B297" s="13" t="s">
        <v>134</v>
      </c>
      <c r="C297" s="13" t="s">
        <v>1573</v>
      </c>
      <c r="D297" s="14" t="s">
        <v>1803</v>
      </c>
      <c r="E297" s="15" t="s">
        <v>1804</v>
      </c>
      <c r="F297" s="15" t="s">
        <v>1805</v>
      </c>
      <c r="G297" s="16">
        <v>281</v>
      </c>
      <c r="H297" s="17">
        <v>470885750</v>
      </c>
      <c r="I297" s="18"/>
      <c r="J297" s="18"/>
      <c r="K297" s="18"/>
      <c r="L297" s="18" t="s">
        <v>99</v>
      </c>
      <c r="M297" s="19">
        <v>17359</v>
      </c>
      <c r="N297" s="20" t="s">
        <v>100</v>
      </c>
      <c r="O297" s="13" t="b">
        <v>1</v>
      </c>
      <c r="P297" s="20" t="b">
        <v>1</v>
      </c>
      <c r="Q297" s="20" t="b">
        <v>1</v>
      </c>
      <c r="R297" s="13" t="b">
        <v>1</v>
      </c>
      <c r="S297" s="13" t="b">
        <v>1</v>
      </c>
      <c r="T297" s="13" t="b">
        <v>1</v>
      </c>
      <c r="U297" s="13" t="b">
        <v>1</v>
      </c>
      <c r="V297" s="13" t="b">
        <v>1</v>
      </c>
      <c r="W297" s="13" t="b">
        <v>1</v>
      </c>
      <c r="X297" s="13" t="b">
        <v>0</v>
      </c>
      <c r="Y297" s="21" t="s">
        <v>101</v>
      </c>
      <c r="Z297" s="21" t="s">
        <v>1806</v>
      </c>
      <c r="AA297" s="21" t="s">
        <v>1807</v>
      </c>
      <c r="AB297" s="22"/>
      <c r="AC297" s="23"/>
      <c r="AD297" s="13"/>
      <c r="AE297" s="47" t="b">
        <v>1</v>
      </c>
      <c r="AF297" s="48">
        <v>45880</v>
      </c>
      <c r="AG297" s="26"/>
      <c r="AH297" s="27" t="b">
        <v>1</v>
      </c>
      <c r="AI297" s="28">
        <v>45944</v>
      </c>
      <c r="AJ297" s="49" t="s">
        <v>104</v>
      </c>
      <c r="AK297" s="27" t="b">
        <v>1</v>
      </c>
      <c r="AL297" s="40">
        <v>45976</v>
      </c>
      <c r="AM297" s="29" t="s">
        <v>104</v>
      </c>
      <c r="AN297" s="29"/>
      <c r="AO297" s="13"/>
      <c r="AP297" s="12"/>
      <c r="AQ297" s="16"/>
      <c r="AR297" s="32"/>
      <c r="AS297" s="33"/>
      <c r="AT297" s="32"/>
      <c r="AU297" s="33"/>
      <c r="AV297" s="34"/>
      <c r="AW297" s="33"/>
      <c r="AX297" s="35" t="b">
        <v>1</v>
      </c>
      <c r="AY297" s="36">
        <f t="shared" si="111"/>
        <v>117721438</v>
      </c>
      <c r="AZ297" s="37"/>
      <c r="BA297" s="38"/>
      <c r="BB297" s="37"/>
      <c r="BC297" s="38"/>
      <c r="BD297" s="37"/>
      <c r="BE297" s="38"/>
      <c r="BF297" s="37"/>
      <c r="BG297" s="38"/>
      <c r="BH297" s="38"/>
      <c r="BI297" s="38"/>
      <c r="BJ297" s="38"/>
      <c r="BK297" s="38"/>
      <c r="BL297" s="38"/>
      <c r="BM297" s="38"/>
      <c r="BN297" s="38"/>
      <c r="BO297" s="38"/>
      <c r="BP297" s="38"/>
      <c r="BQ297" s="38"/>
      <c r="BR297" s="38"/>
      <c r="BS297" s="38"/>
      <c r="BT297" s="37"/>
      <c r="BU297" s="37"/>
      <c r="BV297" s="35" t="b">
        <v>1</v>
      </c>
      <c r="BW297" s="41">
        <f t="shared" si="110"/>
        <v>117721437</v>
      </c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35" t="b">
        <v>1</v>
      </c>
      <c r="CK297" s="36">
        <f t="shared" si="113"/>
        <v>117721438</v>
      </c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</row>
    <row r="298" spans="1:101" ht="32.25" customHeight="1" x14ac:dyDescent="0.25">
      <c r="A298" s="12">
        <f t="shared" si="99"/>
        <v>297</v>
      </c>
      <c r="B298" s="13" t="s">
        <v>134</v>
      </c>
      <c r="C298" s="13" t="s">
        <v>1573</v>
      </c>
      <c r="D298" s="14" t="s">
        <v>1808</v>
      </c>
      <c r="E298" s="15" t="s">
        <v>1809</v>
      </c>
      <c r="F298" s="15" t="s">
        <v>1810</v>
      </c>
      <c r="G298" s="16">
        <v>491</v>
      </c>
      <c r="H298" s="17">
        <v>822793250</v>
      </c>
      <c r="I298" s="18"/>
      <c r="J298" s="18"/>
      <c r="K298" s="18"/>
      <c r="L298" s="18" t="s">
        <v>99</v>
      </c>
      <c r="M298" s="19">
        <v>17360</v>
      </c>
      <c r="N298" s="20" t="s">
        <v>100</v>
      </c>
      <c r="O298" s="13" t="b">
        <v>1</v>
      </c>
      <c r="P298" s="20" t="b">
        <v>1</v>
      </c>
      <c r="Q298" s="20" t="b">
        <v>1</v>
      </c>
      <c r="R298" s="13" t="b">
        <v>0</v>
      </c>
      <c r="S298" s="13" t="b">
        <v>0</v>
      </c>
      <c r="T298" s="13" t="b">
        <v>1</v>
      </c>
      <c r="U298" s="13" t="b">
        <v>1</v>
      </c>
      <c r="V298" s="13" t="b">
        <v>1</v>
      </c>
      <c r="W298" s="13" t="b">
        <v>1</v>
      </c>
      <c r="X298" s="13" t="b">
        <v>0</v>
      </c>
      <c r="Y298" s="21" t="s">
        <v>101</v>
      </c>
      <c r="Z298" s="21" t="s">
        <v>1811</v>
      </c>
      <c r="AA298" s="21" t="s">
        <v>1812</v>
      </c>
      <c r="AB298" s="22"/>
      <c r="AC298" s="23"/>
      <c r="AD298" s="13"/>
      <c r="AE298" s="47" t="b">
        <v>1</v>
      </c>
      <c r="AF298" s="48">
        <v>45880</v>
      </c>
      <c r="AG298" s="26"/>
      <c r="AH298" s="27" t="b">
        <v>1</v>
      </c>
      <c r="AI298" s="28">
        <v>45950</v>
      </c>
      <c r="AJ298" s="49" t="s">
        <v>104</v>
      </c>
      <c r="AK298" s="39" t="b">
        <v>1</v>
      </c>
      <c r="AL298" s="40">
        <v>45996</v>
      </c>
      <c r="AM298" s="29" t="s">
        <v>104</v>
      </c>
      <c r="AN298" s="29"/>
      <c r="AO298" s="13"/>
      <c r="AP298" s="12"/>
      <c r="AQ298" s="16"/>
      <c r="AR298" s="32"/>
      <c r="AS298" s="33"/>
      <c r="AT298" s="32"/>
      <c r="AU298" s="33"/>
      <c r="AV298" s="34"/>
      <c r="AW298" s="33"/>
      <c r="AX298" s="35" t="b">
        <v>1</v>
      </c>
      <c r="AY298" s="36">
        <f t="shared" si="111"/>
        <v>205698313</v>
      </c>
      <c r="AZ298" s="37"/>
      <c r="BA298" s="38"/>
      <c r="BB298" s="37"/>
      <c r="BC298" s="38"/>
      <c r="BD298" s="37"/>
      <c r="BE298" s="38"/>
      <c r="BF298" s="37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  <c r="BQ298" s="38"/>
      <c r="BR298" s="38"/>
      <c r="BS298" s="38"/>
      <c r="BT298" s="37"/>
      <c r="BU298" s="37"/>
      <c r="BV298" s="35" t="b">
        <v>1</v>
      </c>
      <c r="BW298" s="41">
        <f t="shared" si="110"/>
        <v>205698312</v>
      </c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35" t="b">
        <v>1</v>
      </c>
      <c r="CQ298" s="41">
        <f>IF(MOD(H298,4)=0,H298/4,ROUNDUP(H298/4,0))</f>
        <v>205698313</v>
      </c>
      <c r="CR298" s="41"/>
      <c r="CS298" s="41"/>
      <c r="CT298" s="41"/>
      <c r="CU298" s="41"/>
      <c r="CV298" s="41"/>
      <c r="CW298" s="41"/>
    </row>
    <row r="299" spans="1:101" ht="32.25" customHeight="1" x14ac:dyDescent="0.25">
      <c r="A299" s="12">
        <f t="shared" si="99"/>
        <v>298</v>
      </c>
      <c r="B299" s="13" t="s">
        <v>134</v>
      </c>
      <c r="C299" s="13" t="s">
        <v>1573</v>
      </c>
      <c r="D299" s="14" t="s">
        <v>1813</v>
      </c>
      <c r="E299" s="15" t="s">
        <v>1814</v>
      </c>
      <c r="F299" s="15" t="s">
        <v>1815</v>
      </c>
      <c r="G299" s="16">
        <v>274</v>
      </c>
      <c r="H299" s="17">
        <v>459155500</v>
      </c>
      <c r="I299" s="18"/>
      <c r="J299" s="18"/>
      <c r="K299" s="18"/>
      <c r="L299" s="18" t="s">
        <v>99</v>
      </c>
      <c r="M299" s="19">
        <v>17361</v>
      </c>
      <c r="N299" s="20" t="s">
        <v>100</v>
      </c>
      <c r="O299" s="13" t="b">
        <v>1</v>
      </c>
      <c r="P299" s="20" t="b">
        <v>1</v>
      </c>
      <c r="Q299" s="20" t="b">
        <v>1</v>
      </c>
      <c r="R299" s="13" t="b">
        <v>1</v>
      </c>
      <c r="S299" s="13" t="b">
        <v>1</v>
      </c>
      <c r="T299" s="13" t="b">
        <v>1</v>
      </c>
      <c r="U299" s="13" t="b">
        <v>1</v>
      </c>
      <c r="V299" s="13" t="b">
        <v>1</v>
      </c>
      <c r="W299" s="13" t="b">
        <v>1</v>
      </c>
      <c r="X299" s="13" t="b">
        <v>0</v>
      </c>
      <c r="Y299" s="21" t="s">
        <v>101</v>
      </c>
      <c r="Z299" s="21" t="s">
        <v>1816</v>
      </c>
      <c r="AA299" s="21" t="s">
        <v>1817</v>
      </c>
      <c r="AB299" s="22"/>
      <c r="AC299" s="23"/>
      <c r="AD299" s="13"/>
      <c r="AE299" s="47" t="b">
        <v>1</v>
      </c>
      <c r="AF299" s="48">
        <v>45880</v>
      </c>
      <c r="AG299" s="26"/>
      <c r="AH299" s="27" t="b">
        <v>1</v>
      </c>
      <c r="AI299" s="40">
        <v>45944</v>
      </c>
      <c r="AJ299" s="49" t="s">
        <v>104</v>
      </c>
      <c r="AK299" s="27" t="b">
        <v>1</v>
      </c>
      <c r="AL299" s="40">
        <v>45992</v>
      </c>
      <c r="AM299" s="29" t="s">
        <v>104</v>
      </c>
      <c r="AN299" s="29"/>
      <c r="AO299" s="13"/>
      <c r="AP299" s="12"/>
      <c r="AQ299" s="16"/>
      <c r="AR299" s="32"/>
      <c r="AS299" s="33"/>
      <c r="AT299" s="32"/>
      <c r="AU299" s="33"/>
      <c r="AV299" s="34"/>
      <c r="AW299" s="33"/>
      <c r="AX299" s="35" t="b">
        <v>1</v>
      </c>
      <c r="AY299" s="36">
        <f t="shared" si="111"/>
        <v>114788875</v>
      </c>
      <c r="AZ299" s="37"/>
      <c r="BA299" s="38"/>
      <c r="BB299" s="37"/>
      <c r="BC299" s="38"/>
      <c r="BD299" s="37"/>
      <c r="BE299" s="38"/>
      <c r="BF299" s="37"/>
      <c r="BG299" s="38"/>
      <c r="BH299" s="38"/>
      <c r="BI299" s="38"/>
      <c r="BJ299" s="38"/>
      <c r="BK299" s="38"/>
      <c r="BL299" s="38"/>
      <c r="BM299" s="38"/>
      <c r="BN299" s="38"/>
      <c r="BO299" s="38"/>
      <c r="BP299" s="38"/>
      <c r="BQ299" s="38"/>
      <c r="BR299" s="38"/>
      <c r="BS299" s="38"/>
      <c r="BT299" s="37"/>
      <c r="BU299" s="37"/>
      <c r="BV299" s="35" t="b">
        <v>1</v>
      </c>
      <c r="BW299" s="41">
        <f t="shared" si="110"/>
        <v>114788875</v>
      </c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35" t="b">
        <v>1</v>
      </c>
      <c r="CO299" s="36">
        <f>IF(MOD(H299,4)=0,H299/4,ROUNDUP(H299/4,0))</f>
        <v>114788875</v>
      </c>
      <c r="CP299" s="36"/>
      <c r="CQ299" s="36"/>
      <c r="CR299" s="36"/>
      <c r="CS299" s="36"/>
      <c r="CT299" s="36"/>
      <c r="CU299" s="36"/>
      <c r="CV299" s="36"/>
      <c r="CW299" s="36"/>
    </row>
    <row r="300" spans="1:101" ht="32.25" customHeight="1" x14ac:dyDescent="0.25">
      <c r="A300" s="12">
        <f t="shared" si="99"/>
        <v>299</v>
      </c>
      <c r="B300" s="13" t="s">
        <v>134</v>
      </c>
      <c r="C300" s="13" t="s">
        <v>1573</v>
      </c>
      <c r="D300" s="14" t="s">
        <v>1818</v>
      </c>
      <c r="E300" s="15" t="s">
        <v>1819</v>
      </c>
      <c r="F300" s="15" t="s">
        <v>1820</v>
      </c>
      <c r="G300" s="16">
        <v>225</v>
      </c>
      <c r="H300" s="17">
        <v>377043750</v>
      </c>
      <c r="I300" s="18"/>
      <c r="J300" s="18"/>
      <c r="K300" s="18"/>
      <c r="L300" s="18" t="s">
        <v>99</v>
      </c>
      <c r="M300" s="19">
        <v>17362</v>
      </c>
      <c r="N300" s="20" t="s">
        <v>100</v>
      </c>
      <c r="O300" s="13" t="b">
        <v>1</v>
      </c>
      <c r="P300" s="20" t="b">
        <v>1</v>
      </c>
      <c r="Q300" s="20" t="b">
        <v>1</v>
      </c>
      <c r="R300" s="13" t="b">
        <v>1</v>
      </c>
      <c r="S300" s="13" t="b">
        <v>1</v>
      </c>
      <c r="T300" s="13" t="b">
        <v>1</v>
      </c>
      <c r="U300" s="13" t="b">
        <v>1</v>
      </c>
      <c r="V300" s="13" t="b">
        <v>1</v>
      </c>
      <c r="W300" s="13" t="b">
        <v>1</v>
      </c>
      <c r="X300" s="13" t="b">
        <v>1</v>
      </c>
      <c r="Y300" s="21" t="s">
        <v>101</v>
      </c>
      <c r="Z300" s="21" t="s">
        <v>1821</v>
      </c>
      <c r="AA300" s="21" t="s">
        <v>1822</v>
      </c>
      <c r="AB300" s="22"/>
      <c r="AC300" s="23"/>
      <c r="AD300" s="13"/>
      <c r="AE300" s="47" t="b">
        <v>1</v>
      </c>
      <c r="AF300" s="48">
        <v>45880</v>
      </c>
      <c r="AG300" s="26"/>
      <c r="AH300" s="27" t="b">
        <v>1</v>
      </c>
      <c r="AI300" s="28">
        <v>45947</v>
      </c>
      <c r="AJ300" s="49" t="s">
        <v>1823</v>
      </c>
      <c r="AK300" s="27" t="b">
        <v>1</v>
      </c>
      <c r="AL300" s="40">
        <v>45982</v>
      </c>
      <c r="AM300" s="29" t="s">
        <v>1824</v>
      </c>
      <c r="AN300" s="29"/>
      <c r="AO300" s="13"/>
      <c r="AP300" s="12"/>
      <c r="AQ300" s="16"/>
      <c r="AR300" s="32"/>
      <c r="AS300" s="33"/>
      <c r="AT300" s="32"/>
      <c r="AU300" s="33"/>
      <c r="AV300" s="34"/>
      <c r="AW300" s="33"/>
      <c r="AX300" s="35" t="b">
        <v>1</v>
      </c>
      <c r="AY300" s="36">
        <f t="shared" si="111"/>
        <v>94260938</v>
      </c>
      <c r="AZ300" s="37"/>
      <c r="BA300" s="38"/>
      <c r="BB300" s="37"/>
      <c r="BC300" s="38"/>
      <c r="BD300" s="37"/>
      <c r="BE300" s="38"/>
      <c r="BF300" s="37"/>
      <c r="BG300" s="38"/>
      <c r="BH300" s="38"/>
      <c r="BI300" s="38"/>
      <c r="BJ300" s="38"/>
      <c r="BK300" s="38"/>
      <c r="BL300" s="38"/>
      <c r="BM300" s="38"/>
      <c r="BN300" s="38"/>
      <c r="BO300" s="38"/>
      <c r="BP300" s="38"/>
      <c r="BQ300" s="38"/>
      <c r="BR300" s="38"/>
      <c r="BS300" s="38"/>
      <c r="BT300" s="37"/>
      <c r="BU300" s="37"/>
      <c r="BV300" s="35" t="b">
        <v>1</v>
      </c>
      <c r="BW300" s="41">
        <f t="shared" si="110"/>
        <v>94260937</v>
      </c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35" t="b">
        <v>1</v>
      </c>
      <c r="CK300" s="36">
        <f t="shared" ref="CK300:CK301" si="114">IF(MOD(H300,4)=0,H300/4,ROUNDUP(H300/4,0))</f>
        <v>94260938</v>
      </c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</row>
    <row r="301" spans="1:101" ht="32.25" customHeight="1" x14ac:dyDescent="0.25">
      <c r="A301" s="12">
        <f t="shared" si="99"/>
        <v>300</v>
      </c>
      <c r="B301" s="13" t="s">
        <v>134</v>
      </c>
      <c r="C301" s="13" t="s">
        <v>1573</v>
      </c>
      <c r="D301" s="14" t="s">
        <v>1825</v>
      </c>
      <c r="E301" s="15" t="s">
        <v>1826</v>
      </c>
      <c r="F301" s="15" t="s">
        <v>1827</v>
      </c>
      <c r="G301" s="16">
        <v>62</v>
      </c>
      <c r="H301" s="17">
        <v>103896500</v>
      </c>
      <c r="I301" s="18"/>
      <c r="J301" s="18"/>
      <c r="K301" s="18"/>
      <c r="L301" s="18" t="s">
        <v>99</v>
      </c>
      <c r="M301" s="19">
        <v>17363</v>
      </c>
      <c r="N301" s="20" t="s">
        <v>100</v>
      </c>
      <c r="O301" s="13" t="b">
        <v>1</v>
      </c>
      <c r="P301" s="20" t="b">
        <v>1</v>
      </c>
      <c r="Q301" s="20" t="b">
        <v>1</v>
      </c>
      <c r="R301" s="13" t="b">
        <v>0</v>
      </c>
      <c r="S301" s="13" t="b">
        <v>0</v>
      </c>
      <c r="T301" s="13" t="b">
        <v>1</v>
      </c>
      <c r="U301" s="13" t="b">
        <v>0</v>
      </c>
      <c r="V301" s="13" t="b">
        <v>0</v>
      </c>
      <c r="W301" s="13" t="b">
        <v>0</v>
      </c>
      <c r="X301" s="13" t="b">
        <v>0</v>
      </c>
      <c r="Y301" s="21" t="s">
        <v>101</v>
      </c>
      <c r="Z301" s="21" t="s">
        <v>1828</v>
      </c>
      <c r="AA301" s="21" t="s">
        <v>1829</v>
      </c>
      <c r="AB301" s="22"/>
      <c r="AC301" s="13"/>
      <c r="AD301" s="13"/>
      <c r="AE301" s="47" t="b">
        <v>1</v>
      </c>
      <c r="AF301" s="48">
        <v>45880</v>
      </c>
      <c r="AG301" s="26"/>
      <c r="AH301" s="27" t="b">
        <v>1</v>
      </c>
      <c r="AI301" s="28">
        <v>45947</v>
      </c>
      <c r="AJ301" s="49" t="s">
        <v>1830</v>
      </c>
      <c r="AK301" s="27" t="b">
        <v>1</v>
      </c>
      <c r="AL301" s="40">
        <v>45982</v>
      </c>
      <c r="AM301" s="49" t="s">
        <v>1743</v>
      </c>
      <c r="AN301" s="29"/>
      <c r="AO301" s="13"/>
      <c r="AP301" s="12"/>
      <c r="AQ301" s="16"/>
      <c r="AR301" s="32"/>
      <c r="AS301" s="33"/>
      <c r="AT301" s="32"/>
      <c r="AU301" s="33"/>
      <c r="AV301" s="34"/>
      <c r="AW301" s="33"/>
      <c r="AX301" s="35" t="b">
        <v>1</v>
      </c>
      <c r="AY301" s="36">
        <f t="shared" si="111"/>
        <v>25974125</v>
      </c>
      <c r="AZ301" s="37"/>
      <c r="BA301" s="38"/>
      <c r="BB301" s="37"/>
      <c r="BC301" s="38"/>
      <c r="BD301" s="37"/>
      <c r="BE301" s="38"/>
      <c r="BF301" s="37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  <c r="BQ301" s="38"/>
      <c r="BR301" s="38"/>
      <c r="BS301" s="38"/>
      <c r="BT301" s="37"/>
      <c r="BU301" s="37"/>
      <c r="BV301" s="35" t="b">
        <v>1</v>
      </c>
      <c r="BW301" s="41">
        <f t="shared" si="110"/>
        <v>25974125</v>
      </c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35" t="b">
        <v>1</v>
      </c>
      <c r="CK301" s="36">
        <f t="shared" si="114"/>
        <v>25974125</v>
      </c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</row>
    <row r="302" spans="1:101" ht="32.25" customHeight="1" x14ac:dyDescent="0.25">
      <c r="A302" s="12">
        <f t="shared" si="99"/>
        <v>301</v>
      </c>
      <c r="B302" s="13" t="s">
        <v>134</v>
      </c>
      <c r="C302" s="13" t="s">
        <v>1573</v>
      </c>
      <c r="D302" s="14" t="s">
        <v>1831</v>
      </c>
      <c r="E302" s="15" t="s">
        <v>1832</v>
      </c>
      <c r="F302" s="15" t="s">
        <v>1833</v>
      </c>
      <c r="G302" s="16">
        <v>2</v>
      </c>
      <c r="H302" s="17">
        <v>3351500</v>
      </c>
      <c r="I302" s="18"/>
      <c r="J302" s="18"/>
      <c r="K302" s="18"/>
      <c r="L302" s="18" t="s">
        <v>99</v>
      </c>
      <c r="M302" s="19">
        <v>17364</v>
      </c>
      <c r="N302" s="20" t="s">
        <v>100</v>
      </c>
      <c r="O302" s="13" t="b">
        <v>0</v>
      </c>
      <c r="P302" s="20" t="b">
        <v>0</v>
      </c>
      <c r="Q302" s="20" t="b">
        <v>0</v>
      </c>
      <c r="R302" s="13" t="b">
        <v>0</v>
      </c>
      <c r="S302" s="13" t="b">
        <v>0</v>
      </c>
      <c r="T302" s="13" t="b">
        <v>0</v>
      </c>
      <c r="U302" s="13" t="b">
        <v>0</v>
      </c>
      <c r="V302" s="13" t="b">
        <v>0</v>
      </c>
      <c r="W302" s="13" t="b">
        <v>0</v>
      </c>
      <c r="X302" s="13" t="b">
        <v>0</v>
      </c>
      <c r="Y302" s="21" t="s">
        <v>101</v>
      </c>
      <c r="Z302" s="21" t="s">
        <v>1834</v>
      </c>
      <c r="AA302" s="21" t="s">
        <v>1835</v>
      </c>
      <c r="AB302" s="15"/>
      <c r="AC302" s="13"/>
      <c r="AD302" s="13"/>
      <c r="AE302" s="13" t="b">
        <v>0</v>
      </c>
      <c r="AF302" s="48"/>
      <c r="AG302" s="26"/>
      <c r="AH302" s="39" t="b">
        <v>0</v>
      </c>
      <c r="AI302" s="28"/>
      <c r="AJ302" s="29"/>
      <c r="AK302" s="39" t="b">
        <v>0</v>
      </c>
      <c r="AL302" s="29"/>
      <c r="AM302" s="29"/>
      <c r="AN302" s="29"/>
      <c r="AO302" s="13"/>
      <c r="AP302" s="32"/>
      <c r="AQ302" s="33"/>
      <c r="AR302" s="32"/>
      <c r="AS302" s="33"/>
      <c r="AT302" s="32"/>
      <c r="AU302" s="33"/>
      <c r="AV302" s="34"/>
      <c r="AW302" s="33"/>
      <c r="AX302" s="37"/>
      <c r="AY302" s="38"/>
      <c r="AZ302" s="37"/>
      <c r="BA302" s="38"/>
      <c r="BB302" s="37"/>
      <c r="BC302" s="38"/>
      <c r="BD302" s="37"/>
      <c r="BE302" s="38"/>
      <c r="BF302" s="37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  <c r="BQ302" s="38"/>
      <c r="BR302" s="38"/>
      <c r="BS302" s="38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</row>
    <row r="303" spans="1:101" ht="32.25" customHeight="1" x14ac:dyDescent="0.25">
      <c r="A303" s="12">
        <f t="shared" si="99"/>
        <v>302</v>
      </c>
      <c r="B303" s="13" t="s">
        <v>251</v>
      </c>
      <c r="C303" s="13" t="s">
        <v>1573</v>
      </c>
      <c r="D303" s="14" t="s">
        <v>1836</v>
      </c>
      <c r="E303" s="15" t="s">
        <v>1837</v>
      </c>
      <c r="F303" s="15" t="s">
        <v>1838</v>
      </c>
      <c r="G303" s="16">
        <v>4</v>
      </c>
      <c r="H303" s="17">
        <v>7993000</v>
      </c>
      <c r="I303" s="18"/>
      <c r="J303" s="18"/>
      <c r="K303" s="18"/>
      <c r="L303" s="18" t="s">
        <v>99</v>
      </c>
      <c r="M303" s="19">
        <v>17365</v>
      </c>
      <c r="N303" s="20" t="s">
        <v>100</v>
      </c>
      <c r="O303" s="13" t="b">
        <v>0</v>
      </c>
      <c r="P303" s="20" t="b">
        <v>0</v>
      </c>
      <c r="Q303" s="20" t="b">
        <v>0</v>
      </c>
      <c r="R303" s="13" t="b">
        <v>0</v>
      </c>
      <c r="S303" s="13" t="b">
        <v>0</v>
      </c>
      <c r="T303" s="13" t="b">
        <v>0</v>
      </c>
      <c r="U303" s="13" t="b">
        <v>0</v>
      </c>
      <c r="V303" s="13" t="b">
        <v>0</v>
      </c>
      <c r="W303" s="13" t="b">
        <v>0</v>
      </c>
      <c r="X303" s="13" t="b">
        <v>0</v>
      </c>
      <c r="Y303" s="21" t="s">
        <v>101</v>
      </c>
      <c r="Z303" s="21" t="s">
        <v>1839</v>
      </c>
      <c r="AA303" s="21" t="s">
        <v>1840</v>
      </c>
      <c r="AB303" s="22"/>
      <c r="AC303" s="13"/>
      <c r="AD303" s="13"/>
      <c r="AE303" s="13" t="b">
        <v>1</v>
      </c>
      <c r="AF303" s="48">
        <v>45996</v>
      </c>
      <c r="AG303" s="26" t="s">
        <v>1841</v>
      </c>
      <c r="AH303" s="39" t="b">
        <v>0</v>
      </c>
      <c r="AI303" s="28"/>
      <c r="AJ303" s="29"/>
      <c r="AK303" s="39" t="b">
        <v>0</v>
      </c>
      <c r="AL303" s="29"/>
      <c r="AM303" s="29"/>
      <c r="AN303" s="29"/>
      <c r="AO303" s="13"/>
      <c r="AP303" s="32"/>
      <c r="AQ303" s="33"/>
      <c r="AR303" s="32"/>
      <c r="AS303" s="33"/>
      <c r="AT303" s="32"/>
      <c r="AU303" s="33"/>
      <c r="AV303" s="34"/>
      <c r="AW303" s="33"/>
      <c r="AX303" s="37"/>
      <c r="AY303" s="38"/>
      <c r="AZ303" s="37"/>
      <c r="BA303" s="38"/>
      <c r="BB303" s="37"/>
      <c r="BC303" s="38"/>
      <c r="BD303" s="37"/>
      <c r="BE303" s="38"/>
      <c r="BF303" s="37"/>
      <c r="BG303" s="38"/>
      <c r="BH303" s="38"/>
      <c r="BI303" s="38"/>
      <c r="BJ303" s="38"/>
      <c r="BK303" s="38"/>
      <c r="BL303" s="38"/>
      <c r="BM303" s="38"/>
      <c r="BN303" s="42" t="b">
        <v>1</v>
      </c>
      <c r="BO303" s="38">
        <f>IF(MOD(H303,4)=0,H303/4,ROUNDUP(H303/4,0))</f>
        <v>1998250</v>
      </c>
      <c r="BP303" s="38"/>
      <c r="BQ303" s="38"/>
      <c r="BR303" s="38"/>
      <c r="BS303" s="38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</row>
    <row r="304" spans="1:101" ht="32.25" customHeight="1" x14ac:dyDescent="0.25">
      <c r="A304" s="12">
        <f t="shared" si="99"/>
        <v>303</v>
      </c>
      <c r="B304" s="13" t="s">
        <v>251</v>
      </c>
      <c r="C304" s="13" t="s">
        <v>1573</v>
      </c>
      <c r="D304" s="14" t="s">
        <v>1842</v>
      </c>
      <c r="E304" s="15" t="s">
        <v>1843</v>
      </c>
      <c r="F304" s="15" t="s">
        <v>1844</v>
      </c>
      <c r="G304" s="16">
        <v>54</v>
      </c>
      <c r="H304" s="17">
        <v>107905500</v>
      </c>
      <c r="I304" s="18"/>
      <c r="J304" s="18"/>
      <c r="K304" s="18"/>
      <c r="L304" s="18" t="s">
        <v>99</v>
      </c>
      <c r="M304" s="19">
        <v>17366</v>
      </c>
      <c r="N304" s="20" t="s">
        <v>100</v>
      </c>
      <c r="O304" s="13" t="b">
        <v>1</v>
      </c>
      <c r="P304" s="20" t="b">
        <v>1</v>
      </c>
      <c r="Q304" s="20" t="b">
        <v>1</v>
      </c>
      <c r="R304" s="13" t="b">
        <v>1</v>
      </c>
      <c r="S304" s="13" t="b">
        <v>1</v>
      </c>
      <c r="T304" s="13" t="b">
        <v>1</v>
      </c>
      <c r="U304" s="13" t="b">
        <v>1</v>
      </c>
      <c r="V304" s="13" t="b">
        <v>1</v>
      </c>
      <c r="W304" s="13" t="b">
        <v>1</v>
      </c>
      <c r="X304" s="13" t="b">
        <v>0</v>
      </c>
      <c r="Y304" s="21" t="s">
        <v>101</v>
      </c>
      <c r="Z304" s="21" t="s">
        <v>1845</v>
      </c>
      <c r="AA304" s="21" t="s">
        <v>1846</v>
      </c>
      <c r="AB304" s="22"/>
      <c r="AC304" s="13"/>
      <c r="AD304" s="13"/>
      <c r="AE304" s="13" t="b">
        <v>1</v>
      </c>
      <c r="AF304" s="48">
        <v>45874</v>
      </c>
      <c r="AG304" s="26"/>
      <c r="AH304" s="39" t="b">
        <v>1</v>
      </c>
      <c r="AI304" s="28">
        <v>45919</v>
      </c>
      <c r="AJ304" s="29" t="s">
        <v>104</v>
      </c>
      <c r="AK304" s="39" t="b">
        <v>1</v>
      </c>
      <c r="AL304" s="40">
        <v>45976</v>
      </c>
      <c r="AM304" s="29" t="s">
        <v>590</v>
      </c>
      <c r="AN304" s="29"/>
      <c r="AO304" s="13"/>
      <c r="AP304" s="12"/>
      <c r="AQ304" s="16"/>
      <c r="AR304" s="32"/>
      <c r="AS304" s="33"/>
      <c r="AT304" s="32"/>
      <c r="AU304" s="33"/>
      <c r="AV304" s="34"/>
      <c r="AW304" s="33"/>
      <c r="AX304" s="35" t="b">
        <v>1</v>
      </c>
      <c r="AY304" s="74">
        <f t="shared" ref="AY304:AY327" si="115">IF(MOD(H304,4)=0,H304/4,ROUNDUP(H304/4,0))</f>
        <v>26976375</v>
      </c>
      <c r="AZ304" s="37"/>
      <c r="BA304" s="38"/>
      <c r="BB304" s="37"/>
      <c r="BC304" s="38"/>
      <c r="BD304" s="37"/>
      <c r="BE304" s="38"/>
      <c r="BF304" s="37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5" t="b">
        <v>1</v>
      </c>
      <c r="BU304" s="36">
        <f t="shared" ref="BU304:BU305" si="116">IF(MOD(H304,4)=0,H304/4,ROUNDDOWN(H304/4,0))</f>
        <v>26976375</v>
      </c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5" t="b">
        <v>1</v>
      </c>
      <c r="CK304" s="36">
        <f t="shared" ref="CK304:CK305" si="117">IF(MOD(H304,4)=0,H304/4,ROUNDUP(H304/4,0))</f>
        <v>26976375</v>
      </c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</row>
    <row r="305" spans="1:101" ht="32.25" customHeight="1" x14ac:dyDescent="0.25">
      <c r="A305" s="12">
        <f t="shared" si="99"/>
        <v>304</v>
      </c>
      <c r="B305" s="13" t="s">
        <v>251</v>
      </c>
      <c r="C305" s="13" t="s">
        <v>1573</v>
      </c>
      <c r="D305" s="14" t="s">
        <v>1847</v>
      </c>
      <c r="E305" s="15" t="s">
        <v>1848</v>
      </c>
      <c r="F305" s="15" t="s">
        <v>1849</v>
      </c>
      <c r="G305" s="16">
        <v>96</v>
      </c>
      <c r="H305" s="17">
        <v>191832000</v>
      </c>
      <c r="I305" s="18"/>
      <c r="J305" s="18"/>
      <c r="K305" s="18"/>
      <c r="L305" s="18" t="s">
        <v>99</v>
      </c>
      <c r="M305" s="19">
        <v>17367</v>
      </c>
      <c r="N305" s="20" t="s">
        <v>100</v>
      </c>
      <c r="O305" s="13" t="b">
        <v>1</v>
      </c>
      <c r="P305" s="20" t="b">
        <v>1</v>
      </c>
      <c r="Q305" s="20" t="b">
        <v>1</v>
      </c>
      <c r="R305" s="13" t="b">
        <v>1</v>
      </c>
      <c r="S305" s="13" t="b">
        <v>1</v>
      </c>
      <c r="T305" s="13" t="b">
        <v>1</v>
      </c>
      <c r="U305" s="13" t="b">
        <v>1</v>
      </c>
      <c r="V305" s="13" t="b">
        <v>1</v>
      </c>
      <c r="W305" s="13" t="b">
        <v>1</v>
      </c>
      <c r="X305" s="13" t="b">
        <v>0</v>
      </c>
      <c r="Y305" s="21" t="s">
        <v>101</v>
      </c>
      <c r="Z305" s="21" t="s">
        <v>1850</v>
      </c>
      <c r="AA305" s="21" t="s">
        <v>1851</v>
      </c>
      <c r="AB305" s="22"/>
      <c r="AC305" s="13"/>
      <c r="AD305" s="13"/>
      <c r="AE305" s="13" t="b">
        <v>1</v>
      </c>
      <c r="AF305" s="48">
        <v>45874</v>
      </c>
      <c r="AG305" s="26"/>
      <c r="AH305" s="39" t="b">
        <v>1</v>
      </c>
      <c r="AI305" s="28">
        <v>45919</v>
      </c>
      <c r="AJ305" s="29" t="s">
        <v>104</v>
      </c>
      <c r="AK305" s="39" t="b">
        <v>1</v>
      </c>
      <c r="AL305" s="40">
        <v>45976</v>
      </c>
      <c r="AM305" s="29"/>
      <c r="AN305" s="29"/>
      <c r="AO305" s="13"/>
      <c r="AP305" s="12"/>
      <c r="AQ305" s="16"/>
      <c r="AR305" s="12"/>
      <c r="AS305" s="33"/>
      <c r="AT305" s="32"/>
      <c r="AU305" s="33"/>
      <c r="AV305" s="34"/>
      <c r="AW305" s="33"/>
      <c r="AX305" s="35" t="b">
        <v>1</v>
      </c>
      <c r="AY305" s="74">
        <f t="shared" si="115"/>
        <v>47958000</v>
      </c>
      <c r="AZ305" s="37"/>
      <c r="BA305" s="38"/>
      <c r="BB305" s="37"/>
      <c r="BC305" s="38"/>
      <c r="BD305" s="37"/>
      <c r="BE305" s="38"/>
      <c r="BF305" s="37"/>
      <c r="BG305" s="38"/>
      <c r="BH305" s="38"/>
      <c r="BI305" s="38"/>
      <c r="BJ305" s="38"/>
      <c r="BK305" s="38"/>
      <c r="BL305" s="38"/>
      <c r="BM305" s="38"/>
      <c r="BN305" s="38"/>
      <c r="BO305" s="38"/>
      <c r="BP305" s="38"/>
      <c r="BQ305" s="38"/>
      <c r="BR305" s="38"/>
      <c r="BS305" s="38"/>
      <c r="BT305" s="35" t="b">
        <v>1</v>
      </c>
      <c r="BU305" s="36">
        <f t="shared" si="116"/>
        <v>47958000</v>
      </c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5" t="b">
        <v>1</v>
      </c>
      <c r="CK305" s="36">
        <f t="shared" si="117"/>
        <v>47958000</v>
      </c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</row>
    <row r="306" spans="1:101" ht="32.25" customHeight="1" x14ac:dyDescent="0.25">
      <c r="A306" s="12">
        <f t="shared" si="99"/>
        <v>305</v>
      </c>
      <c r="B306" s="13" t="s">
        <v>251</v>
      </c>
      <c r="C306" s="13" t="s">
        <v>1573</v>
      </c>
      <c r="D306" s="14" t="s">
        <v>1852</v>
      </c>
      <c r="E306" s="15" t="s">
        <v>1853</v>
      </c>
      <c r="F306" s="15" t="s">
        <v>1854</v>
      </c>
      <c r="G306" s="16">
        <v>164</v>
      </c>
      <c r="H306" s="17">
        <v>327713000</v>
      </c>
      <c r="I306" s="18"/>
      <c r="J306" s="18"/>
      <c r="K306" s="18"/>
      <c r="L306" s="18" t="s">
        <v>99</v>
      </c>
      <c r="M306" s="19">
        <v>17368</v>
      </c>
      <c r="N306" s="20" t="s">
        <v>100</v>
      </c>
      <c r="O306" s="13" t="b">
        <v>1</v>
      </c>
      <c r="P306" s="20" t="b">
        <v>1</v>
      </c>
      <c r="Q306" s="20" t="b">
        <v>1</v>
      </c>
      <c r="R306" s="13" t="b">
        <v>1</v>
      </c>
      <c r="S306" s="13" t="b">
        <v>1</v>
      </c>
      <c r="T306" s="13" t="b">
        <v>1</v>
      </c>
      <c r="U306" s="13" t="b">
        <v>1</v>
      </c>
      <c r="V306" s="13" t="b">
        <v>1</v>
      </c>
      <c r="W306" s="13" t="b">
        <v>1</v>
      </c>
      <c r="X306" s="13" t="b">
        <v>0</v>
      </c>
      <c r="Y306" s="21" t="s">
        <v>101</v>
      </c>
      <c r="Z306" s="21" t="s">
        <v>1855</v>
      </c>
      <c r="AA306" s="21" t="s">
        <v>1856</v>
      </c>
      <c r="AB306" s="22"/>
      <c r="AC306" s="13"/>
      <c r="AD306" s="13"/>
      <c r="AE306" s="13" t="b">
        <v>1</v>
      </c>
      <c r="AF306" s="48">
        <v>45874</v>
      </c>
      <c r="AG306" s="26"/>
      <c r="AH306" s="39" t="b">
        <v>1</v>
      </c>
      <c r="AI306" s="28">
        <v>45961</v>
      </c>
      <c r="AJ306" s="29"/>
      <c r="AK306" s="39" t="b">
        <v>1</v>
      </c>
      <c r="AL306" s="40">
        <v>45992</v>
      </c>
      <c r="AM306" s="29"/>
      <c r="AN306" s="29"/>
      <c r="AO306" s="13"/>
      <c r="AP306" s="12"/>
      <c r="AQ306" s="16"/>
      <c r="AR306" s="32"/>
      <c r="AS306" s="33"/>
      <c r="AT306" s="32"/>
      <c r="AU306" s="33"/>
      <c r="AV306" s="34"/>
      <c r="AW306" s="33"/>
      <c r="AX306" s="35" t="b">
        <v>1</v>
      </c>
      <c r="AY306" s="36">
        <f t="shared" si="115"/>
        <v>81928250</v>
      </c>
      <c r="AZ306" s="37"/>
      <c r="BA306" s="38"/>
      <c r="BB306" s="37"/>
      <c r="BC306" s="38"/>
      <c r="BD306" s="37"/>
      <c r="BE306" s="38"/>
      <c r="BF306" s="37"/>
      <c r="BG306" s="38"/>
      <c r="BH306" s="38"/>
      <c r="BI306" s="38"/>
      <c r="BJ306" s="38"/>
      <c r="BK306" s="38"/>
      <c r="BL306" s="38"/>
      <c r="BM306" s="38"/>
      <c r="BN306" s="38"/>
      <c r="BO306" s="38"/>
      <c r="BP306" s="38"/>
      <c r="BQ306" s="38"/>
      <c r="BR306" s="38"/>
      <c r="BS306" s="38"/>
      <c r="BT306" s="37"/>
      <c r="BU306" s="37"/>
      <c r="BV306" s="35" t="b">
        <v>1</v>
      </c>
      <c r="BW306" s="41">
        <f>IF(MOD(H306,4)=0,H306/4,ROUNDDOWN(H306/4,0))</f>
        <v>81928250</v>
      </c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35" t="b">
        <v>1</v>
      </c>
      <c r="CO306" s="36">
        <f>IF(MOD(H306,4)=0,H306/4,ROUNDUP(H306/4,0))</f>
        <v>81928250</v>
      </c>
      <c r="CP306" s="36"/>
      <c r="CQ306" s="36"/>
      <c r="CR306" s="36"/>
      <c r="CS306" s="36"/>
      <c r="CT306" s="36"/>
      <c r="CU306" s="36"/>
      <c r="CV306" s="36"/>
      <c r="CW306" s="36"/>
    </row>
    <row r="307" spans="1:101" ht="32.25" customHeight="1" x14ac:dyDescent="0.25">
      <c r="A307" s="12">
        <f t="shared" si="99"/>
        <v>306</v>
      </c>
      <c r="B307" s="13" t="s">
        <v>251</v>
      </c>
      <c r="C307" s="13" t="s">
        <v>1573</v>
      </c>
      <c r="D307" s="14" t="s">
        <v>1857</v>
      </c>
      <c r="E307" s="15" t="s">
        <v>1858</v>
      </c>
      <c r="F307" s="15" t="s">
        <v>1859</v>
      </c>
      <c r="G307" s="16">
        <v>10</v>
      </c>
      <c r="H307" s="17">
        <v>19982500</v>
      </c>
      <c r="I307" s="18"/>
      <c r="J307" s="18"/>
      <c r="K307" s="18"/>
      <c r="L307" s="18" t="s">
        <v>99</v>
      </c>
      <c r="M307" s="19">
        <v>17369</v>
      </c>
      <c r="N307" s="20" t="s">
        <v>100</v>
      </c>
      <c r="O307" s="13" t="b">
        <v>1</v>
      </c>
      <c r="P307" s="20" t="b">
        <v>1</v>
      </c>
      <c r="Q307" s="20" t="b">
        <v>1</v>
      </c>
      <c r="R307" s="13" t="b">
        <v>1</v>
      </c>
      <c r="S307" s="13" t="b">
        <v>1</v>
      </c>
      <c r="T307" s="13" t="b">
        <v>1</v>
      </c>
      <c r="U307" s="13" t="b">
        <v>1</v>
      </c>
      <c r="V307" s="13" t="b">
        <v>1</v>
      </c>
      <c r="W307" s="13" t="b">
        <v>1</v>
      </c>
      <c r="X307" s="13" t="b">
        <v>0</v>
      </c>
      <c r="Y307" s="21" t="s">
        <v>101</v>
      </c>
      <c r="Z307" s="21" t="s">
        <v>1860</v>
      </c>
      <c r="AA307" s="21" t="s">
        <v>1861</v>
      </c>
      <c r="AB307" s="22"/>
      <c r="AC307" s="13"/>
      <c r="AD307" s="13"/>
      <c r="AE307" s="13" t="b">
        <v>1</v>
      </c>
      <c r="AF307" s="48">
        <v>45874</v>
      </c>
      <c r="AG307" s="26"/>
      <c r="AH307" s="39" t="b">
        <v>1</v>
      </c>
      <c r="AI307" s="28">
        <v>45919</v>
      </c>
      <c r="AJ307" s="29" t="s">
        <v>104</v>
      </c>
      <c r="AK307" s="39" t="b">
        <v>1</v>
      </c>
      <c r="AL307" s="40">
        <v>45976</v>
      </c>
      <c r="AM307" s="29" t="s">
        <v>590</v>
      </c>
      <c r="AN307" s="29"/>
      <c r="AO307" s="13"/>
      <c r="AP307" s="12"/>
      <c r="AQ307" s="16"/>
      <c r="AR307" s="32"/>
      <c r="AS307" s="33"/>
      <c r="AT307" s="32"/>
      <c r="AU307" s="33"/>
      <c r="AV307" s="34"/>
      <c r="AW307" s="33"/>
      <c r="AX307" s="35" t="b">
        <v>1</v>
      </c>
      <c r="AY307" s="74">
        <f t="shared" si="115"/>
        <v>4995625</v>
      </c>
      <c r="AZ307" s="37"/>
      <c r="BA307" s="38"/>
      <c r="BB307" s="37"/>
      <c r="BC307" s="38"/>
      <c r="BD307" s="37"/>
      <c r="BE307" s="38"/>
      <c r="BF307" s="37"/>
      <c r="BG307" s="38"/>
      <c r="BH307" s="38"/>
      <c r="BI307" s="38"/>
      <c r="BJ307" s="38"/>
      <c r="BK307" s="38"/>
      <c r="BL307" s="38"/>
      <c r="BM307" s="38"/>
      <c r="BN307" s="38"/>
      <c r="BO307" s="38"/>
      <c r="BP307" s="38"/>
      <c r="BQ307" s="38"/>
      <c r="BR307" s="38"/>
      <c r="BS307" s="38"/>
      <c r="BT307" s="35" t="b">
        <v>1</v>
      </c>
      <c r="BU307" s="36">
        <f t="shared" ref="BU307:BU311" si="118">IF(MOD(H307,4)=0,H307/4,ROUNDDOWN(H307/4,0))</f>
        <v>4995625</v>
      </c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5" t="b">
        <v>1</v>
      </c>
      <c r="CK307" s="36">
        <f t="shared" ref="CK307:CK311" si="119">IF(MOD(H307,4)=0,H307/4,ROUNDUP(H307/4,0))</f>
        <v>4995625</v>
      </c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</row>
    <row r="308" spans="1:101" ht="32.25" customHeight="1" x14ac:dyDescent="0.25">
      <c r="A308" s="12">
        <f t="shared" si="99"/>
        <v>307</v>
      </c>
      <c r="B308" s="13" t="s">
        <v>251</v>
      </c>
      <c r="C308" s="13" t="s">
        <v>1573</v>
      </c>
      <c r="D308" s="14" t="s">
        <v>1862</v>
      </c>
      <c r="E308" s="15" t="s">
        <v>1863</v>
      </c>
      <c r="F308" s="15" t="s">
        <v>1864</v>
      </c>
      <c r="G308" s="16">
        <v>32</v>
      </c>
      <c r="H308" s="17">
        <v>63944000</v>
      </c>
      <c r="I308" s="18"/>
      <c r="J308" s="18"/>
      <c r="K308" s="18"/>
      <c r="L308" s="18" t="s">
        <v>99</v>
      </c>
      <c r="M308" s="19">
        <v>17370</v>
      </c>
      <c r="N308" s="20" t="s">
        <v>100</v>
      </c>
      <c r="O308" s="13" t="b">
        <v>1</v>
      </c>
      <c r="P308" s="20" t="b">
        <v>1</v>
      </c>
      <c r="Q308" s="20" t="b">
        <v>1</v>
      </c>
      <c r="R308" s="13" t="b">
        <v>1</v>
      </c>
      <c r="S308" s="13" t="b">
        <v>1</v>
      </c>
      <c r="T308" s="13" t="b">
        <v>1</v>
      </c>
      <c r="U308" s="13" t="b">
        <v>1</v>
      </c>
      <c r="V308" s="13" t="b">
        <v>1</v>
      </c>
      <c r="W308" s="13" t="b">
        <v>1</v>
      </c>
      <c r="X308" s="13" t="b">
        <v>0</v>
      </c>
      <c r="Y308" s="21" t="s">
        <v>101</v>
      </c>
      <c r="Z308" s="21" t="s">
        <v>1865</v>
      </c>
      <c r="AA308" s="21" t="s">
        <v>1866</v>
      </c>
      <c r="AB308" s="22"/>
      <c r="AC308" s="13"/>
      <c r="AD308" s="13"/>
      <c r="AE308" s="13" t="b">
        <v>1</v>
      </c>
      <c r="AF308" s="48">
        <v>45874</v>
      </c>
      <c r="AG308" s="26"/>
      <c r="AH308" s="39" t="b">
        <v>1</v>
      </c>
      <c r="AI308" s="28">
        <v>45919</v>
      </c>
      <c r="AJ308" s="29" t="s">
        <v>104</v>
      </c>
      <c r="AK308" s="39" t="b">
        <v>1</v>
      </c>
      <c r="AL308" s="40">
        <v>45976</v>
      </c>
      <c r="AM308" s="29" t="s">
        <v>590</v>
      </c>
      <c r="AN308" s="29"/>
      <c r="AO308" s="13"/>
      <c r="AP308" s="12"/>
      <c r="AQ308" s="16"/>
      <c r="AR308" s="32"/>
      <c r="AS308" s="33"/>
      <c r="AT308" s="32"/>
      <c r="AU308" s="33"/>
      <c r="AV308" s="34"/>
      <c r="AW308" s="33"/>
      <c r="AX308" s="35" t="b">
        <v>1</v>
      </c>
      <c r="AY308" s="74">
        <f t="shared" si="115"/>
        <v>15986000</v>
      </c>
      <c r="AZ308" s="37"/>
      <c r="BA308" s="38"/>
      <c r="BB308" s="37"/>
      <c r="BC308" s="38"/>
      <c r="BD308" s="37"/>
      <c r="BE308" s="38"/>
      <c r="BF308" s="37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  <c r="BQ308" s="38"/>
      <c r="BR308" s="38"/>
      <c r="BS308" s="38"/>
      <c r="BT308" s="35" t="b">
        <v>1</v>
      </c>
      <c r="BU308" s="36">
        <f t="shared" si="118"/>
        <v>15986000</v>
      </c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5" t="b">
        <v>1</v>
      </c>
      <c r="CK308" s="36">
        <f t="shared" si="119"/>
        <v>15986000</v>
      </c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</row>
    <row r="309" spans="1:101" ht="32.25" customHeight="1" x14ac:dyDescent="0.25">
      <c r="A309" s="12">
        <f t="shared" si="99"/>
        <v>308</v>
      </c>
      <c r="B309" s="13" t="s">
        <v>251</v>
      </c>
      <c r="C309" s="13" t="s">
        <v>1573</v>
      </c>
      <c r="D309" s="14" t="s">
        <v>1867</v>
      </c>
      <c r="E309" s="15" t="s">
        <v>1868</v>
      </c>
      <c r="F309" s="15" t="s">
        <v>1869</v>
      </c>
      <c r="G309" s="16">
        <v>163</v>
      </c>
      <c r="H309" s="17">
        <v>325714750</v>
      </c>
      <c r="I309" s="18"/>
      <c r="J309" s="18"/>
      <c r="K309" s="18"/>
      <c r="L309" s="18" t="s">
        <v>99</v>
      </c>
      <c r="M309" s="19">
        <v>17371</v>
      </c>
      <c r="N309" s="20" t="s">
        <v>100</v>
      </c>
      <c r="O309" s="13" t="b">
        <v>1</v>
      </c>
      <c r="P309" s="20" t="b">
        <v>1</v>
      </c>
      <c r="Q309" s="20" t="b">
        <v>1</v>
      </c>
      <c r="R309" s="13" t="b">
        <v>1</v>
      </c>
      <c r="S309" s="13" t="b">
        <v>1</v>
      </c>
      <c r="T309" s="13" t="b">
        <v>1</v>
      </c>
      <c r="U309" s="13" t="b">
        <v>1</v>
      </c>
      <c r="V309" s="13" t="b">
        <v>1</v>
      </c>
      <c r="W309" s="13" t="b">
        <v>1</v>
      </c>
      <c r="X309" s="13" t="b">
        <v>0</v>
      </c>
      <c r="Y309" s="21" t="s">
        <v>101</v>
      </c>
      <c r="Z309" s="21" t="s">
        <v>1870</v>
      </c>
      <c r="AA309" s="21" t="s">
        <v>1871</v>
      </c>
      <c r="AB309" s="22"/>
      <c r="AC309" s="13"/>
      <c r="AD309" s="13"/>
      <c r="AE309" s="13" t="b">
        <v>1</v>
      </c>
      <c r="AF309" s="48">
        <v>45874</v>
      </c>
      <c r="AG309" s="26"/>
      <c r="AH309" s="39" t="b">
        <v>1</v>
      </c>
      <c r="AI309" s="28">
        <v>45919</v>
      </c>
      <c r="AJ309" s="29" t="s">
        <v>104</v>
      </c>
      <c r="AK309" s="39" t="b">
        <v>1</v>
      </c>
      <c r="AL309" s="40">
        <v>45976</v>
      </c>
      <c r="AM309" s="29" t="s">
        <v>590</v>
      </c>
      <c r="AN309" s="29"/>
      <c r="AO309" s="13"/>
      <c r="AP309" s="12"/>
      <c r="AQ309" s="16"/>
      <c r="AR309" s="32"/>
      <c r="AS309" s="33"/>
      <c r="AT309" s="32"/>
      <c r="AU309" s="33"/>
      <c r="AV309" s="34"/>
      <c r="AW309" s="33"/>
      <c r="AX309" s="35" t="b">
        <v>1</v>
      </c>
      <c r="AY309" s="74">
        <f t="shared" si="115"/>
        <v>81428688</v>
      </c>
      <c r="AZ309" s="37"/>
      <c r="BA309" s="38"/>
      <c r="BB309" s="37"/>
      <c r="BC309" s="38"/>
      <c r="BD309" s="37"/>
      <c r="BE309" s="38"/>
      <c r="BF309" s="37"/>
      <c r="BG309" s="38"/>
      <c r="BH309" s="38"/>
      <c r="BI309" s="38"/>
      <c r="BJ309" s="38"/>
      <c r="BK309" s="38"/>
      <c r="BL309" s="38"/>
      <c r="BM309" s="38"/>
      <c r="BN309" s="38"/>
      <c r="BO309" s="38"/>
      <c r="BP309" s="38"/>
      <c r="BQ309" s="38"/>
      <c r="BR309" s="38"/>
      <c r="BS309" s="38"/>
      <c r="BT309" s="35" t="b">
        <v>1</v>
      </c>
      <c r="BU309" s="36">
        <f t="shared" si="118"/>
        <v>81428687</v>
      </c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5" t="b">
        <v>1</v>
      </c>
      <c r="CK309" s="36">
        <f t="shared" si="119"/>
        <v>81428688</v>
      </c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</row>
    <row r="310" spans="1:101" ht="32.25" customHeight="1" x14ac:dyDescent="0.25">
      <c r="A310" s="12">
        <f t="shared" si="99"/>
        <v>309</v>
      </c>
      <c r="B310" s="13" t="s">
        <v>251</v>
      </c>
      <c r="C310" s="13" t="s">
        <v>1573</v>
      </c>
      <c r="D310" s="14" t="s">
        <v>1872</v>
      </c>
      <c r="E310" s="15" t="s">
        <v>1873</v>
      </c>
      <c r="F310" s="15" t="s">
        <v>1874</v>
      </c>
      <c r="G310" s="16">
        <v>514</v>
      </c>
      <c r="H310" s="17">
        <v>1027100500</v>
      </c>
      <c r="I310" s="18"/>
      <c r="J310" s="18"/>
      <c r="K310" s="18"/>
      <c r="L310" s="18" t="s">
        <v>99</v>
      </c>
      <c r="M310" s="19">
        <v>17372</v>
      </c>
      <c r="N310" s="20" t="s">
        <v>100</v>
      </c>
      <c r="O310" s="13" t="b">
        <v>1</v>
      </c>
      <c r="P310" s="20" t="b">
        <v>1</v>
      </c>
      <c r="Q310" s="20" t="b">
        <v>1</v>
      </c>
      <c r="R310" s="13" t="b">
        <v>1</v>
      </c>
      <c r="S310" s="13" t="b">
        <v>1</v>
      </c>
      <c r="T310" s="13" t="b">
        <v>1</v>
      </c>
      <c r="U310" s="13" t="b">
        <v>1</v>
      </c>
      <c r="V310" s="13" t="b">
        <v>1</v>
      </c>
      <c r="W310" s="13" t="b">
        <v>1</v>
      </c>
      <c r="X310" s="13" t="b">
        <v>0</v>
      </c>
      <c r="Y310" s="21" t="s">
        <v>101</v>
      </c>
      <c r="Z310" s="21" t="s">
        <v>1875</v>
      </c>
      <c r="AA310" s="21" t="s">
        <v>1876</v>
      </c>
      <c r="AB310" s="22"/>
      <c r="AC310" s="13"/>
      <c r="AD310" s="13"/>
      <c r="AE310" s="13" t="b">
        <v>1</v>
      </c>
      <c r="AF310" s="48">
        <v>45874</v>
      </c>
      <c r="AG310" s="26"/>
      <c r="AH310" s="39" t="b">
        <v>1</v>
      </c>
      <c r="AI310" s="28">
        <v>45919</v>
      </c>
      <c r="AJ310" s="29" t="s">
        <v>104</v>
      </c>
      <c r="AK310" s="39" t="b">
        <v>1</v>
      </c>
      <c r="AL310" s="40">
        <v>45976</v>
      </c>
      <c r="AM310" s="29" t="s">
        <v>590</v>
      </c>
      <c r="AN310" s="29"/>
      <c r="AO310" s="13"/>
      <c r="AP310" s="12"/>
      <c r="AQ310" s="16"/>
      <c r="AR310" s="32"/>
      <c r="AS310" s="33"/>
      <c r="AT310" s="32"/>
      <c r="AU310" s="33"/>
      <c r="AV310" s="34"/>
      <c r="AW310" s="33"/>
      <c r="AX310" s="35" t="b">
        <v>1</v>
      </c>
      <c r="AY310" s="74">
        <f t="shared" si="115"/>
        <v>256775125</v>
      </c>
      <c r="AZ310" s="37"/>
      <c r="BA310" s="38"/>
      <c r="BB310" s="37"/>
      <c r="BC310" s="38"/>
      <c r="BD310" s="37"/>
      <c r="BE310" s="38"/>
      <c r="BF310" s="37"/>
      <c r="BG310" s="38"/>
      <c r="BH310" s="38"/>
      <c r="BI310" s="38"/>
      <c r="BJ310" s="38"/>
      <c r="BK310" s="38"/>
      <c r="BL310" s="38"/>
      <c r="BM310" s="38"/>
      <c r="BN310" s="38"/>
      <c r="BO310" s="38"/>
      <c r="BP310" s="38"/>
      <c r="BQ310" s="38"/>
      <c r="BR310" s="38"/>
      <c r="BS310" s="38"/>
      <c r="BT310" s="35" t="b">
        <v>1</v>
      </c>
      <c r="BU310" s="36">
        <f t="shared" si="118"/>
        <v>256775125</v>
      </c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5" t="b">
        <v>1</v>
      </c>
      <c r="CK310" s="36">
        <f t="shared" si="119"/>
        <v>256775125</v>
      </c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</row>
    <row r="311" spans="1:101" ht="32.25" customHeight="1" x14ac:dyDescent="0.25">
      <c r="A311" s="12">
        <f t="shared" si="99"/>
        <v>310</v>
      </c>
      <c r="B311" s="13" t="s">
        <v>251</v>
      </c>
      <c r="C311" s="13" t="s">
        <v>1573</v>
      </c>
      <c r="D311" s="14" t="s">
        <v>1877</v>
      </c>
      <c r="E311" s="15" t="s">
        <v>1878</v>
      </c>
      <c r="F311" s="15" t="s">
        <v>1879</v>
      </c>
      <c r="G311" s="16">
        <v>49</v>
      </c>
      <c r="H311" s="17">
        <v>97914250</v>
      </c>
      <c r="I311" s="18"/>
      <c r="J311" s="18"/>
      <c r="K311" s="18"/>
      <c r="L311" s="18" t="s">
        <v>99</v>
      </c>
      <c r="M311" s="19">
        <v>17373</v>
      </c>
      <c r="N311" s="20" t="s">
        <v>100</v>
      </c>
      <c r="O311" s="13" t="b">
        <v>1</v>
      </c>
      <c r="P311" s="20" t="b">
        <v>1</v>
      </c>
      <c r="Q311" s="20" t="b">
        <v>1</v>
      </c>
      <c r="R311" s="13" t="b">
        <v>1</v>
      </c>
      <c r="S311" s="13" t="b">
        <v>1</v>
      </c>
      <c r="T311" s="13" t="b">
        <v>1</v>
      </c>
      <c r="U311" s="13" t="b">
        <v>1</v>
      </c>
      <c r="V311" s="13" t="b">
        <v>1</v>
      </c>
      <c r="W311" s="13" t="b">
        <v>1</v>
      </c>
      <c r="X311" s="13" t="b">
        <v>0</v>
      </c>
      <c r="Y311" s="21" t="s">
        <v>101</v>
      </c>
      <c r="Z311" s="21" t="s">
        <v>1880</v>
      </c>
      <c r="AA311" s="21" t="s">
        <v>1881</v>
      </c>
      <c r="AB311" s="22"/>
      <c r="AC311" s="13"/>
      <c r="AD311" s="13"/>
      <c r="AE311" s="13" t="b">
        <v>1</v>
      </c>
      <c r="AF311" s="48">
        <v>45874</v>
      </c>
      <c r="AG311" s="26"/>
      <c r="AH311" s="39" t="b">
        <v>1</v>
      </c>
      <c r="AI311" s="28">
        <v>45919</v>
      </c>
      <c r="AJ311" s="29" t="s">
        <v>104</v>
      </c>
      <c r="AK311" s="39" t="b">
        <v>1</v>
      </c>
      <c r="AL311" s="40">
        <v>45976</v>
      </c>
      <c r="AM311" s="29" t="s">
        <v>590</v>
      </c>
      <c r="AN311" s="29"/>
      <c r="AO311" s="13"/>
      <c r="AP311" s="12"/>
      <c r="AQ311" s="16"/>
      <c r="AR311" s="32"/>
      <c r="AS311" s="33"/>
      <c r="AT311" s="32"/>
      <c r="AU311" s="33"/>
      <c r="AV311" s="34"/>
      <c r="AW311" s="33"/>
      <c r="AX311" s="35" t="b">
        <v>1</v>
      </c>
      <c r="AY311" s="74">
        <f t="shared" si="115"/>
        <v>24478563</v>
      </c>
      <c r="AZ311" s="37"/>
      <c r="BA311" s="38"/>
      <c r="BB311" s="37"/>
      <c r="BC311" s="38"/>
      <c r="BD311" s="37"/>
      <c r="BE311" s="38"/>
      <c r="BF311" s="37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  <c r="BQ311" s="38"/>
      <c r="BR311" s="38"/>
      <c r="BS311" s="38"/>
      <c r="BT311" s="35" t="b">
        <v>1</v>
      </c>
      <c r="BU311" s="36">
        <f t="shared" si="118"/>
        <v>24478562</v>
      </c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5" t="b">
        <v>1</v>
      </c>
      <c r="CK311" s="36">
        <f t="shared" si="119"/>
        <v>24478563</v>
      </c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</row>
    <row r="312" spans="1:101" ht="32.25" customHeight="1" x14ac:dyDescent="0.25">
      <c r="A312" s="12">
        <f t="shared" si="99"/>
        <v>311</v>
      </c>
      <c r="B312" s="13" t="s">
        <v>251</v>
      </c>
      <c r="C312" s="13" t="s">
        <v>1573</v>
      </c>
      <c r="D312" s="14" t="s">
        <v>1882</v>
      </c>
      <c r="E312" s="15" t="s">
        <v>1883</v>
      </c>
      <c r="F312" s="15" t="s">
        <v>1884</v>
      </c>
      <c r="G312" s="16">
        <v>83</v>
      </c>
      <c r="H312" s="17">
        <v>165854750</v>
      </c>
      <c r="I312" s="18"/>
      <c r="J312" s="18"/>
      <c r="K312" s="18"/>
      <c r="L312" s="18" t="s">
        <v>99</v>
      </c>
      <c r="M312" s="19">
        <v>17374</v>
      </c>
      <c r="N312" s="20" t="s">
        <v>100</v>
      </c>
      <c r="O312" s="13" t="b">
        <v>1</v>
      </c>
      <c r="P312" s="20" t="b">
        <v>1</v>
      </c>
      <c r="Q312" s="20" t="b">
        <v>1</v>
      </c>
      <c r="R312" s="13" t="b">
        <v>1</v>
      </c>
      <c r="S312" s="13" t="b">
        <v>1</v>
      </c>
      <c r="T312" s="13" t="b">
        <v>1</v>
      </c>
      <c r="U312" s="13" t="b">
        <v>1</v>
      </c>
      <c r="V312" s="13" t="b">
        <v>1</v>
      </c>
      <c r="W312" s="13" t="b">
        <v>1</v>
      </c>
      <c r="X312" s="13" t="b">
        <v>0</v>
      </c>
      <c r="Y312" s="21" t="s">
        <v>101</v>
      </c>
      <c r="Z312" s="21" t="s">
        <v>1885</v>
      </c>
      <c r="AA312" s="21" t="s">
        <v>1886</v>
      </c>
      <c r="AB312" s="22"/>
      <c r="AC312" s="13"/>
      <c r="AD312" s="13"/>
      <c r="AE312" s="13" t="b">
        <v>1</v>
      </c>
      <c r="AF312" s="48">
        <v>45874</v>
      </c>
      <c r="AG312" s="26"/>
      <c r="AH312" s="39" t="b">
        <v>1</v>
      </c>
      <c r="AI312" s="28">
        <v>45961</v>
      </c>
      <c r="AJ312" s="29"/>
      <c r="AK312" s="39" t="b">
        <v>1</v>
      </c>
      <c r="AL312" s="40">
        <v>45992</v>
      </c>
      <c r="AM312" s="29"/>
      <c r="AN312" s="29"/>
      <c r="AO312" s="13"/>
      <c r="AP312" s="12"/>
      <c r="AQ312" s="16"/>
      <c r="AR312" s="32"/>
      <c r="AS312" s="33"/>
      <c r="AT312" s="32"/>
      <c r="AU312" s="33"/>
      <c r="AV312" s="34"/>
      <c r="AW312" s="33"/>
      <c r="AX312" s="35" t="b">
        <v>1</v>
      </c>
      <c r="AY312" s="36">
        <f t="shared" si="115"/>
        <v>41463688</v>
      </c>
      <c r="AZ312" s="37"/>
      <c r="BA312" s="38"/>
      <c r="BB312" s="37"/>
      <c r="BC312" s="38"/>
      <c r="BD312" s="37"/>
      <c r="BE312" s="38"/>
      <c r="BF312" s="37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  <c r="BQ312" s="38"/>
      <c r="BR312" s="38"/>
      <c r="BS312" s="38"/>
      <c r="BT312" s="37"/>
      <c r="BU312" s="37"/>
      <c r="BV312" s="35" t="b">
        <v>1</v>
      </c>
      <c r="BW312" s="41">
        <f>IF(MOD(H312,4)=0,H312/4,ROUNDDOWN(H312/4,0))</f>
        <v>41463687</v>
      </c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35" t="b">
        <v>1</v>
      </c>
      <c r="CO312" s="36">
        <f>IF(MOD(H312,4)=0,H312/4,ROUNDUP(H312/4,0))</f>
        <v>41463688</v>
      </c>
      <c r="CP312" s="36"/>
      <c r="CQ312" s="36"/>
      <c r="CR312" s="36"/>
      <c r="CS312" s="36"/>
      <c r="CT312" s="36"/>
      <c r="CU312" s="36"/>
      <c r="CV312" s="36"/>
      <c r="CW312" s="36"/>
    </row>
    <row r="313" spans="1:101" ht="32.25" customHeight="1" x14ac:dyDescent="0.25">
      <c r="A313" s="12">
        <f t="shared" si="99"/>
        <v>312</v>
      </c>
      <c r="B313" s="13" t="s">
        <v>251</v>
      </c>
      <c r="C313" s="13" t="s">
        <v>1573</v>
      </c>
      <c r="D313" s="14" t="s">
        <v>1887</v>
      </c>
      <c r="E313" s="15" t="s">
        <v>1888</v>
      </c>
      <c r="F313" s="15" t="s">
        <v>1889</v>
      </c>
      <c r="G313" s="16">
        <v>52</v>
      </c>
      <c r="H313" s="17">
        <v>103909000</v>
      </c>
      <c r="I313" s="18"/>
      <c r="J313" s="18"/>
      <c r="K313" s="18"/>
      <c r="L313" s="18" t="s">
        <v>99</v>
      </c>
      <c r="M313" s="19">
        <v>17375</v>
      </c>
      <c r="N313" s="20" t="s">
        <v>100</v>
      </c>
      <c r="O313" s="13" t="b">
        <v>1</v>
      </c>
      <c r="P313" s="20" t="b">
        <v>1</v>
      </c>
      <c r="Q313" s="20" t="b">
        <v>1</v>
      </c>
      <c r="R313" s="13" t="b">
        <v>1</v>
      </c>
      <c r="S313" s="13" t="b">
        <v>1</v>
      </c>
      <c r="T313" s="13" t="b">
        <v>1</v>
      </c>
      <c r="U313" s="13" t="b">
        <v>1</v>
      </c>
      <c r="V313" s="13" t="b">
        <v>1</v>
      </c>
      <c r="W313" s="13" t="b">
        <v>1</v>
      </c>
      <c r="X313" s="13" t="b">
        <v>0</v>
      </c>
      <c r="Y313" s="21" t="s">
        <v>101</v>
      </c>
      <c r="Z313" s="21" t="s">
        <v>1890</v>
      </c>
      <c r="AA313" s="21" t="s">
        <v>1891</v>
      </c>
      <c r="AB313" s="22"/>
      <c r="AC313" s="13"/>
      <c r="AD313" s="13"/>
      <c r="AE313" s="13" t="b">
        <v>1</v>
      </c>
      <c r="AF313" s="48">
        <v>45874</v>
      </c>
      <c r="AG313" s="26"/>
      <c r="AH313" s="39" t="b">
        <v>1</v>
      </c>
      <c r="AI313" s="28">
        <v>45919</v>
      </c>
      <c r="AJ313" s="29" t="s">
        <v>104</v>
      </c>
      <c r="AK313" s="39" t="b">
        <v>1</v>
      </c>
      <c r="AL313" s="40">
        <v>45988</v>
      </c>
      <c r="AM313" s="29" t="s">
        <v>590</v>
      </c>
      <c r="AN313" s="29"/>
      <c r="AO313" s="13"/>
      <c r="AP313" s="12"/>
      <c r="AQ313" s="16"/>
      <c r="AR313" s="32"/>
      <c r="AS313" s="33"/>
      <c r="AT313" s="32"/>
      <c r="AU313" s="33"/>
      <c r="AV313" s="34"/>
      <c r="AW313" s="33"/>
      <c r="AX313" s="35" t="b">
        <v>1</v>
      </c>
      <c r="AY313" s="74">
        <f t="shared" si="115"/>
        <v>25977250</v>
      </c>
      <c r="AZ313" s="37"/>
      <c r="BA313" s="38"/>
      <c r="BB313" s="37"/>
      <c r="BC313" s="38"/>
      <c r="BD313" s="37"/>
      <c r="BE313" s="38"/>
      <c r="BF313" s="37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  <c r="BS313" s="38"/>
      <c r="BT313" s="35" t="b">
        <v>1</v>
      </c>
      <c r="BU313" s="36">
        <f t="shared" ref="BU313:BU327" si="120">IF(MOD(H313,4)=0,H313/4,ROUNDDOWN(H313/4,0))</f>
        <v>25977250</v>
      </c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5" t="b">
        <v>1</v>
      </c>
      <c r="CM313" s="41">
        <f>IF(MOD(H313,4)=0,H313/4,ROUNDUP(H313/4,0))</f>
        <v>25977250</v>
      </c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</row>
    <row r="314" spans="1:101" ht="32.25" customHeight="1" x14ac:dyDescent="0.25">
      <c r="A314" s="12">
        <f t="shared" si="99"/>
        <v>313</v>
      </c>
      <c r="B314" s="13" t="s">
        <v>251</v>
      </c>
      <c r="C314" s="13" t="s">
        <v>1573</v>
      </c>
      <c r="D314" s="14" t="s">
        <v>1892</v>
      </c>
      <c r="E314" s="15" t="s">
        <v>1893</v>
      </c>
      <c r="F314" s="15" t="s">
        <v>1894</v>
      </c>
      <c r="G314" s="16">
        <v>436</v>
      </c>
      <c r="H314" s="17">
        <v>871237000</v>
      </c>
      <c r="I314" s="18"/>
      <c r="J314" s="18"/>
      <c r="K314" s="18"/>
      <c r="L314" s="18" t="s">
        <v>99</v>
      </c>
      <c r="M314" s="19">
        <v>17376</v>
      </c>
      <c r="N314" s="20" t="s">
        <v>100</v>
      </c>
      <c r="O314" s="13" t="b">
        <v>1</v>
      </c>
      <c r="P314" s="20" t="b">
        <v>1</v>
      </c>
      <c r="Q314" s="20" t="b">
        <v>1</v>
      </c>
      <c r="R314" s="13" t="b">
        <v>1</v>
      </c>
      <c r="S314" s="13" t="b">
        <v>1</v>
      </c>
      <c r="T314" s="13" t="b">
        <v>1</v>
      </c>
      <c r="U314" s="13" t="b">
        <v>1</v>
      </c>
      <c r="V314" s="13" t="b">
        <v>1</v>
      </c>
      <c r="W314" s="13" t="b">
        <v>1</v>
      </c>
      <c r="X314" s="13" t="b">
        <v>0</v>
      </c>
      <c r="Y314" s="21" t="s">
        <v>101</v>
      </c>
      <c r="Z314" s="21" t="s">
        <v>1895</v>
      </c>
      <c r="AA314" s="21" t="s">
        <v>1896</v>
      </c>
      <c r="AB314" s="22"/>
      <c r="AC314" s="13"/>
      <c r="AD314" s="13"/>
      <c r="AE314" s="13" t="b">
        <v>1</v>
      </c>
      <c r="AF314" s="48">
        <v>45874</v>
      </c>
      <c r="AG314" s="26"/>
      <c r="AH314" s="39" t="b">
        <v>1</v>
      </c>
      <c r="AI314" s="28">
        <v>45919</v>
      </c>
      <c r="AJ314" s="29" t="s">
        <v>104</v>
      </c>
      <c r="AK314" s="39" t="b">
        <v>1</v>
      </c>
      <c r="AL314" s="40">
        <v>45976</v>
      </c>
      <c r="AM314" s="29" t="s">
        <v>590</v>
      </c>
      <c r="AN314" s="29"/>
      <c r="AO314" s="13"/>
      <c r="AP314" s="12"/>
      <c r="AQ314" s="16"/>
      <c r="AR314" s="32"/>
      <c r="AS314" s="33"/>
      <c r="AT314" s="32"/>
      <c r="AU314" s="33"/>
      <c r="AV314" s="34"/>
      <c r="AW314" s="33"/>
      <c r="AX314" s="35" t="b">
        <v>1</v>
      </c>
      <c r="AY314" s="74">
        <f t="shared" si="115"/>
        <v>217809250</v>
      </c>
      <c r="AZ314" s="37"/>
      <c r="BA314" s="38"/>
      <c r="BB314" s="37"/>
      <c r="BC314" s="38"/>
      <c r="BD314" s="37"/>
      <c r="BE314" s="38"/>
      <c r="BF314" s="37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  <c r="BS314" s="38"/>
      <c r="BT314" s="35" t="b">
        <v>1</v>
      </c>
      <c r="BU314" s="36">
        <f t="shared" si="120"/>
        <v>217809250</v>
      </c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5" t="b">
        <v>1</v>
      </c>
      <c r="CK314" s="36">
        <f t="shared" ref="CK314:CK317" si="121">IF(MOD(H314,4)=0,H314/4,ROUNDUP(H314/4,0))</f>
        <v>217809250</v>
      </c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</row>
    <row r="315" spans="1:101" ht="32.25" customHeight="1" x14ac:dyDescent="0.25">
      <c r="A315" s="12">
        <f t="shared" si="99"/>
        <v>314</v>
      </c>
      <c r="B315" s="13" t="s">
        <v>251</v>
      </c>
      <c r="C315" s="13" t="s">
        <v>1573</v>
      </c>
      <c r="D315" s="14" t="s">
        <v>1897</v>
      </c>
      <c r="E315" s="15" t="s">
        <v>1898</v>
      </c>
      <c r="F315" s="15" t="s">
        <v>1899</v>
      </c>
      <c r="G315" s="16">
        <v>1356</v>
      </c>
      <c r="H315" s="17">
        <v>2709627000</v>
      </c>
      <c r="I315" s="18"/>
      <c r="J315" s="18"/>
      <c r="K315" s="18"/>
      <c r="L315" s="18" t="s">
        <v>99</v>
      </c>
      <c r="M315" s="19">
        <v>17377</v>
      </c>
      <c r="N315" s="20" t="s">
        <v>100</v>
      </c>
      <c r="O315" s="13" t="b">
        <v>1</v>
      </c>
      <c r="P315" s="20" t="b">
        <v>1</v>
      </c>
      <c r="Q315" s="20" t="b">
        <v>0</v>
      </c>
      <c r="R315" s="13" t="b">
        <v>1</v>
      </c>
      <c r="S315" s="13" t="b">
        <v>1</v>
      </c>
      <c r="T315" s="13" t="b">
        <v>1</v>
      </c>
      <c r="U315" s="13" t="b">
        <v>1</v>
      </c>
      <c r="V315" s="13" t="b">
        <v>1</v>
      </c>
      <c r="W315" s="13" t="b">
        <v>1</v>
      </c>
      <c r="X315" s="13" t="b">
        <v>0</v>
      </c>
      <c r="Y315" s="21" t="s">
        <v>101</v>
      </c>
      <c r="Z315" s="21" t="s">
        <v>1900</v>
      </c>
      <c r="AA315" s="21" t="s">
        <v>1901</v>
      </c>
      <c r="AB315" s="22"/>
      <c r="AC315" s="23"/>
      <c r="AD315" s="13"/>
      <c r="AE315" s="13" t="b">
        <v>1</v>
      </c>
      <c r="AF315" s="48">
        <v>45873</v>
      </c>
      <c r="AG315" s="26"/>
      <c r="AH315" s="27" t="b">
        <v>1</v>
      </c>
      <c r="AI315" s="28">
        <v>45918</v>
      </c>
      <c r="AJ315" s="29" t="s">
        <v>1902</v>
      </c>
      <c r="AK315" s="27" t="b">
        <v>1</v>
      </c>
      <c r="AL315" s="75">
        <v>45967</v>
      </c>
      <c r="AM315" s="29"/>
      <c r="AN315" s="29"/>
      <c r="AO315" s="13"/>
      <c r="AP315" s="12"/>
      <c r="AQ315" s="16"/>
      <c r="AR315" s="32"/>
      <c r="AS315" s="33"/>
      <c r="AT315" s="32"/>
      <c r="AU315" s="33"/>
      <c r="AV315" s="34"/>
      <c r="AW315" s="33"/>
      <c r="AX315" s="35" t="b">
        <v>1</v>
      </c>
      <c r="AY315" s="36">
        <f t="shared" si="115"/>
        <v>677406750</v>
      </c>
      <c r="AZ315" s="37"/>
      <c r="BA315" s="38"/>
      <c r="BB315" s="37"/>
      <c r="BC315" s="38"/>
      <c r="BD315" s="37"/>
      <c r="BE315" s="38"/>
      <c r="BF315" s="37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  <c r="BS315" s="38"/>
      <c r="BT315" s="35" t="b">
        <v>1</v>
      </c>
      <c r="BU315" s="36">
        <f t="shared" si="120"/>
        <v>677406750</v>
      </c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5" t="b">
        <v>1</v>
      </c>
      <c r="CK315" s="36">
        <f t="shared" si="121"/>
        <v>677406750</v>
      </c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</row>
    <row r="316" spans="1:101" ht="32.25" customHeight="1" x14ac:dyDescent="0.25">
      <c r="A316" s="12">
        <f t="shared" si="99"/>
        <v>315</v>
      </c>
      <c r="B316" s="13" t="s">
        <v>251</v>
      </c>
      <c r="C316" s="13" t="s">
        <v>1573</v>
      </c>
      <c r="D316" s="14" t="s">
        <v>1903</v>
      </c>
      <c r="E316" s="15" t="s">
        <v>1904</v>
      </c>
      <c r="F316" s="15" t="s">
        <v>1905</v>
      </c>
      <c r="G316" s="16">
        <v>98</v>
      </c>
      <c r="H316" s="17">
        <v>195828500</v>
      </c>
      <c r="I316" s="18"/>
      <c r="J316" s="18"/>
      <c r="K316" s="18"/>
      <c r="L316" s="18" t="s">
        <v>99</v>
      </c>
      <c r="M316" s="19">
        <v>17378</v>
      </c>
      <c r="N316" s="20" t="s">
        <v>100</v>
      </c>
      <c r="O316" s="13" t="b">
        <v>1</v>
      </c>
      <c r="P316" s="20" t="b">
        <v>1</v>
      </c>
      <c r="Q316" s="20" t="b">
        <v>1</v>
      </c>
      <c r="R316" s="13" t="b">
        <v>1</v>
      </c>
      <c r="S316" s="13" t="b">
        <v>1</v>
      </c>
      <c r="T316" s="13" t="b">
        <v>1</v>
      </c>
      <c r="U316" s="13" t="b">
        <v>1</v>
      </c>
      <c r="V316" s="13" t="b">
        <v>1</v>
      </c>
      <c r="W316" s="13" t="b">
        <v>1</v>
      </c>
      <c r="X316" s="13" t="b">
        <v>0</v>
      </c>
      <c r="Y316" s="21" t="s">
        <v>101</v>
      </c>
      <c r="Z316" s="21" t="s">
        <v>1906</v>
      </c>
      <c r="AA316" s="21" t="s">
        <v>1907</v>
      </c>
      <c r="AB316" s="22"/>
      <c r="AC316" s="13"/>
      <c r="AD316" s="13"/>
      <c r="AE316" s="13" t="b">
        <v>1</v>
      </c>
      <c r="AF316" s="48">
        <v>45874</v>
      </c>
      <c r="AG316" s="26"/>
      <c r="AH316" s="39" t="b">
        <v>1</v>
      </c>
      <c r="AI316" s="28">
        <v>45919</v>
      </c>
      <c r="AJ316" s="29" t="s">
        <v>104</v>
      </c>
      <c r="AK316" s="39" t="b">
        <v>1</v>
      </c>
      <c r="AL316" s="40">
        <v>45976</v>
      </c>
      <c r="AM316" s="29" t="s">
        <v>590</v>
      </c>
      <c r="AN316" s="29"/>
      <c r="AO316" s="13"/>
      <c r="AP316" s="12"/>
      <c r="AQ316" s="16"/>
      <c r="AR316" s="12"/>
      <c r="AS316" s="33"/>
      <c r="AT316" s="32"/>
      <c r="AU316" s="33"/>
      <c r="AV316" s="34"/>
      <c r="AW316" s="33"/>
      <c r="AX316" s="35" t="b">
        <v>1</v>
      </c>
      <c r="AY316" s="74">
        <f t="shared" si="115"/>
        <v>48957125</v>
      </c>
      <c r="AZ316" s="37"/>
      <c r="BA316" s="38"/>
      <c r="BB316" s="37"/>
      <c r="BC316" s="38"/>
      <c r="BD316" s="37"/>
      <c r="BE316" s="38"/>
      <c r="BF316" s="37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  <c r="BS316" s="38"/>
      <c r="BT316" s="35" t="b">
        <v>1</v>
      </c>
      <c r="BU316" s="36">
        <f t="shared" si="120"/>
        <v>48957125</v>
      </c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5" t="b">
        <v>1</v>
      </c>
      <c r="CK316" s="36">
        <f t="shared" si="121"/>
        <v>48957125</v>
      </c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</row>
    <row r="317" spans="1:101" ht="32.25" customHeight="1" x14ac:dyDescent="0.25">
      <c r="A317" s="12">
        <f t="shared" si="99"/>
        <v>316</v>
      </c>
      <c r="B317" s="13" t="s">
        <v>251</v>
      </c>
      <c r="C317" s="13" t="s">
        <v>1573</v>
      </c>
      <c r="D317" s="14" t="s">
        <v>1908</v>
      </c>
      <c r="E317" s="15" t="s">
        <v>1909</v>
      </c>
      <c r="F317" s="15" t="s">
        <v>1910</v>
      </c>
      <c r="G317" s="16">
        <v>195</v>
      </c>
      <c r="H317" s="17">
        <v>389658750</v>
      </c>
      <c r="I317" s="18"/>
      <c r="J317" s="18"/>
      <c r="K317" s="18"/>
      <c r="L317" s="18" t="s">
        <v>99</v>
      </c>
      <c r="M317" s="19">
        <v>17379</v>
      </c>
      <c r="N317" s="20" t="s">
        <v>100</v>
      </c>
      <c r="O317" s="13" t="b">
        <v>1</v>
      </c>
      <c r="P317" s="20" t="b">
        <v>1</v>
      </c>
      <c r="Q317" s="20" t="b">
        <v>1</v>
      </c>
      <c r="R317" s="13" t="b">
        <v>1</v>
      </c>
      <c r="S317" s="13" t="b">
        <v>1</v>
      </c>
      <c r="T317" s="13" t="b">
        <v>1</v>
      </c>
      <c r="U317" s="13" t="b">
        <v>1</v>
      </c>
      <c r="V317" s="13" t="b">
        <v>1</v>
      </c>
      <c r="W317" s="13" t="b">
        <v>1</v>
      </c>
      <c r="X317" s="13" t="b">
        <v>0</v>
      </c>
      <c r="Y317" s="21" t="s">
        <v>101</v>
      </c>
      <c r="Z317" s="21" t="s">
        <v>1911</v>
      </c>
      <c r="AA317" s="21" t="s">
        <v>1912</v>
      </c>
      <c r="AB317" s="22"/>
      <c r="AC317" s="13"/>
      <c r="AD317" s="13"/>
      <c r="AE317" s="13" t="b">
        <v>1</v>
      </c>
      <c r="AF317" s="48">
        <v>45874</v>
      </c>
      <c r="AG317" s="26"/>
      <c r="AH317" s="39" t="b">
        <v>1</v>
      </c>
      <c r="AI317" s="28">
        <v>45919</v>
      </c>
      <c r="AJ317" s="29" t="s">
        <v>104</v>
      </c>
      <c r="AK317" s="39" t="b">
        <v>1</v>
      </c>
      <c r="AL317" s="40">
        <v>45976</v>
      </c>
      <c r="AM317" s="29" t="s">
        <v>590</v>
      </c>
      <c r="AN317" s="29"/>
      <c r="AO317" s="13"/>
      <c r="AP317" s="12"/>
      <c r="AQ317" s="16"/>
      <c r="AR317" s="32"/>
      <c r="AS317" s="33"/>
      <c r="AT317" s="32"/>
      <c r="AU317" s="33"/>
      <c r="AV317" s="34"/>
      <c r="AW317" s="33"/>
      <c r="AX317" s="35" t="b">
        <v>1</v>
      </c>
      <c r="AY317" s="74">
        <f t="shared" si="115"/>
        <v>97414688</v>
      </c>
      <c r="AZ317" s="37"/>
      <c r="BA317" s="38"/>
      <c r="BB317" s="37"/>
      <c r="BC317" s="38"/>
      <c r="BD317" s="37"/>
      <c r="BE317" s="38"/>
      <c r="BF317" s="37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  <c r="BT317" s="35" t="b">
        <v>1</v>
      </c>
      <c r="BU317" s="36">
        <f t="shared" si="120"/>
        <v>97414687</v>
      </c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5" t="b">
        <v>1</v>
      </c>
      <c r="CK317" s="36">
        <f t="shared" si="121"/>
        <v>97414688</v>
      </c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</row>
    <row r="318" spans="1:101" ht="32.25" customHeight="1" x14ac:dyDescent="0.25">
      <c r="A318" s="12">
        <f t="shared" si="99"/>
        <v>317</v>
      </c>
      <c r="B318" s="13" t="s">
        <v>251</v>
      </c>
      <c r="C318" s="13" t="s">
        <v>1573</v>
      </c>
      <c r="D318" s="14" t="s">
        <v>1913</v>
      </c>
      <c r="E318" s="15" t="s">
        <v>1914</v>
      </c>
      <c r="F318" s="15" t="s">
        <v>1915</v>
      </c>
      <c r="G318" s="16">
        <v>131</v>
      </c>
      <c r="H318" s="17">
        <v>261770750</v>
      </c>
      <c r="I318" s="18"/>
      <c r="J318" s="18"/>
      <c r="K318" s="18"/>
      <c r="L318" s="18" t="s">
        <v>99</v>
      </c>
      <c r="M318" s="19">
        <v>17380</v>
      </c>
      <c r="N318" s="20" t="s">
        <v>100</v>
      </c>
      <c r="O318" s="13" t="b">
        <v>1</v>
      </c>
      <c r="P318" s="20" t="b">
        <v>1</v>
      </c>
      <c r="Q318" s="20" t="b">
        <v>1</v>
      </c>
      <c r="R318" s="13" t="b">
        <v>1</v>
      </c>
      <c r="S318" s="13" t="b">
        <v>1</v>
      </c>
      <c r="T318" s="13" t="b">
        <v>1</v>
      </c>
      <c r="U318" s="13" t="b">
        <v>1</v>
      </c>
      <c r="V318" s="13" t="b">
        <v>1</v>
      </c>
      <c r="W318" s="13" t="b">
        <v>1</v>
      </c>
      <c r="X318" s="13" t="b">
        <v>0</v>
      </c>
      <c r="Y318" s="21" t="s">
        <v>101</v>
      </c>
      <c r="Z318" s="21" t="s">
        <v>1916</v>
      </c>
      <c r="AA318" s="21" t="s">
        <v>1917</v>
      </c>
      <c r="AB318" s="22"/>
      <c r="AC318" s="13"/>
      <c r="AD318" s="13"/>
      <c r="AE318" s="13" t="b">
        <v>1</v>
      </c>
      <c r="AF318" s="48">
        <v>45874</v>
      </c>
      <c r="AG318" s="26"/>
      <c r="AH318" s="39" t="b">
        <v>1</v>
      </c>
      <c r="AI318" s="28">
        <v>45919</v>
      </c>
      <c r="AJ318" s="29" t="s">
        <v>104</v>
      </c>
      <c r="AK318" s="39" t="b">
        <v>1</v>
      </c>
      <c r="AL318" s="40">
        <v>46003</v>
      </c>
      <c r="AM318" s="29" t="s">
        <v>104</v>
      </c>
      <c r="AN318" s="29"/>
      <c r="AO318" s="13"/>
      <c r="AP318" s="12"/>
      <c r="AQ318" s="16"/>
      <c r="AR318" s="32"/>
      <c r="AS318" s="33"/>
      <c r="AT318" s="32"/>
      <c r="AU318" s="33"/>
      <c r="AV318" s="34"/>
      <c r="AW318" s="33"/>
      <c r="AX318" s="35" t="b">
        <v>1</v>
      </c>
      <c r="AY318" s="74">
        <f t="shared" si="115"/>
        <v>65442688</v>
      </c>
      <c r="AZ318" s="37"/>
      <c r="BA318" s="38"/>
      <c r="BB318" s="37"/>
      <c r="BC318" s="38"/>
      <c r="BD318" s="37"/>
      <c r="BE318" s="38"/>
      <c r="BF318" s="37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5" t="b">
        <v>1</v>
      </c>
      <c r="BU318" s="36">
        <f t="shared" si="120"/>
        <v>65442687</v>
      </c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12" t="b">
        <v>1</v>
      </c>
      <c r="CS318" s="36">
        <f>IF(MOD(H318,4)=0,H318/4,ROUNDUP(H318/4,0))</f>
        <v>65442688</v>
      </c>
      <c r="CT318" s="36"/>
      <c r="CU318" s="36"/>
      <c r="CV318" s="36"/>
      <c r="CW318" s="36"/>
    </row>
    <row r="319" spans="1:101" ht="32.25" customHeight="1" x14ac:dyDescent="0.25">
      <c r="A319" s="12">
        <f t="shared" si="99"/>
        <v>318</v>
      </c>
      <c r="B319" s="13" t="s">
        <v>251</v>
      </c>
      <c r="C319" s="13" t="s">
        <v>1573</v>
      </c>
      <c r="D319" s="14" t="s">
        <v>1918</v>
      </c>
      <c r="E319" s="15" t="s">
        <v>1919</v>
      </c>
      <c r="F319" s="15" t="s">
        <v>1920</v>
      </c>
      <c r="G319" s="16">
        <v>312</v>
      </c>
      <c r="H319" s="17">
        <v>623454000</v>
      </c>
      <c r="I319" s="18"/>
      <c r="J319" s="18"/>
      <c r="K319" s="18"/>
      <c r="L319" s="18" t="s">
        <v>99</v>
      </c>
      <c r="M319" s="19">
        <v>17381</v>
      </c>
      <c r="N319" s="20" t="s">
        <v>100</v>
      </c>
      <c r="O319" s="13" t="b">
        <v>1</v>
      </c>
      <c r="P319" s="20" t="b">
        <v>1</v>
      </c>
      <c r="Q319" s="20" t="b">
        <v>1</v>
      </c>
      <c r="R319" s="13" t="b">
        <v>1</v>
      </c>
      <c r="S319" s="13" t="b">
        <v>1</v>
      </c>
      <c r="T319" s="13" t="b">
        <v>1</v>
      </c>
      <c r="U319" s="13" t="b">
        <v>1</v>
      </c>
      <c r="V319" s="13" t="b">
        <v>1</v>
      </c>
      <c r="W319" s="13" t="b">
        <v>1</v>
      </c>
      <c r="X319" s="13" t="b">
        <v>0</v>
      </c>
      <c r="Y319" s="21" t="s">
        <v>101</v>
      </c>
      <c r="Z319" s="21" t="s">
        <v>1921</v>
      </c>
      <c r="AA319" s="21" t="s">
        <v>1922</v>
      </c>
      <c r="AB319" s="22"/>
      <c r="AC319" s="13"/>
      <c r="AD319" s="13"/>
      <c r="AE319" s="13" t="b">
        <v>1</v>
      </c>
      <c r="AF319" s="48">
        <v>45874</v>
      </c>
      <c r="AG319" s="26"/>
      <c r="AH319" s="39" t="b">
        <v>1</v>
      </c>
      <c r="AI319" s="28">
        <v>45919</v>
      </c>
      <c r="AJ319" s="29" t="s">
        <v>104</v>
      </c>
      <c r="AK319" s="39" t="b">
        <v>1</v>
      </c>
      <c r="AL319" s="40">
        <v>45976</v>
      </c>
      <c r="AM319" s="29" t="s">
        <v>590</v>
      </c>
      <c r="AN319" s="29"/>
      <c r="AO319" s="13"/>
      <c r="AP319" s="12"/>
      <c r="AQ319" s="16"/>
      <c r="AR319" s="32"/>
      <c r="AS319" s="33"/>
      <c r="AT319" s="32"/>
      <c r="AU319" s="33"/>
      <c r="AV319" s="34"/>
      <c r="AW319" s="33"/>
      <c r="AX319" s="35" t="b">
        <v>1</v>
      </c>
      <c r="AY319" s="74">
        <f t="shared" si="115"/>
        <v>155863500</v>
      </c>
      <c r="AZ319" s="37"/>
      <c r="BA319" s="38"/>
      <c r="BB319" s="37"/>
      <c r="BC319" s="38"/>
      <c r="BD319" s="37"/>
      <c r="BE319" s="38"/>
      <c r="BF319" s="37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  <c r="BS319" s="38"/>
      <c r="BT319" s="35" t="b">
        <v>1</v>
      </c>
      <c r="BU319" s="36">
        <f t="shared" si="120"/>
        <v>155863500</v>
      </c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5" t="b">
        <v>1</v>
      </c>
      <c r="CK319" s="36">
        <f t="shared" ref="CK319:CK327" si="122">IF(MOD(H319,4)=0,H319/4,ROUNDUP(H319/4,0))</f>
        <v>155863500</v>
      </c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</row>
    <row r="320" spans="1:101" ht="32.25" customHeight="1" x14ac:dyDescent="0.25">
      <c r="A320" s="12">
        <f t="shared" si="99"/>
        <v>319</v>
      </c>
      <c r="B320" s="13" t="s">
        <v>251</v>
      </c>
      <c r="C320" s="13" t="s">
        <v>1573</v>
      </c>
      <c r="D320" s="14" t="s">
        <v>1923</v>
      </c>
      <c r="E320" s="15" t="s">
        <v>1924</v>
      </c>
      <c r="F320" s="15" t="s">
        <v>1925</v>
      </c>
      <c r="G320" s="16">
        <v>116</v>
      </c>
      <c r="H320" s="17">
        <v>231797000</v>
      </c>
      <c r="I320" s="18"/>
      <c r="J320" s="18"/>
      <c r="K320" s="18"/>
      <c r="L320" s="18" t="s">
        <v>99</v>
      </c>
      <c r="M320" s="19">
        <v>17382</v>
      </c>
      <c r="N320" s="20" t="s">
        <v>100</v>
      </c>
      <c r="O320" s="13" t="b">
        <v>1</v>
      </c>
      <c r="P320" s="20" t="b">
        <v>1</v>
      </c>
      <c r="Q320" s="20" t="b">
        <v>1</v>
      </c>
      <c r="R320" s="13" t="b">
        <v>1</v>
      </c>
      <c r="S320" s="13" t="b">
        <v>1</v>
      </c>
      <c r="T320" s="13" t="b">
        <v>1</v>
      </c>
      <c r="U320" s="13" t="b">
        <v>1</v>
      </c>
      <c r="V320" s="13" t="b">
        <v>1</v>
      </c>
      <c r="W320" s="13" t="b">
        <v>1</v>
      </c>
      <c r="X320" s="13" t="b">
        <v>0</v>
      </c>
      <c r="Y320" s="21" t="s">
        <v>101</v>
      </c>
      <c r="Z320" s="21" t="s">
        <v>1926</v>
      </c>
      <c r="AA320" s="21" t="s">
        <v>1927</v>
      </c>
      <c r="AB320" s="22"/>
      <c r="AC320" s="13"/>
      <c r="AD320" s="13"/>
      <c r="AE320" s="13" t="b">
        <v>1</v>
      </c>
      <c r="AF320" s="48">
        <v>45874</v>
      </c>
      <c r="AG320" s="26"/>
      <c r="AH320" s="39" t="b">
        <v>1</v>
      </c>
      <c r="AI320" s="28">
        <v>45919</v>
      </c>
      <c r="AJ320" s="29" t="s">
        <v>104</v>
      </c>
      <c r="AK320" s="39" t="b">
        <v>1</v>
      </c>
      <c r="AL320" s="40">
        <v>45976</v>
      </c>
      <c r="AM320" s="29" t="s">
        <v>1584</v>
      </c>
      <c r="AN320" s="29"/>
      <c r="AO320" s="13"/>
      <c r="AP320" s="12"/>
      <c r="AQ320" s="16"/>
      <c r="AR320" s="32"/>
      <c r="AS320" s="33"/>
      <c r="AT320" s="32"/>
      <c r="AU320" s="33"/>
      <c r="AV320" s="34"/>
      <c r="AW320" s="33"/>
      <c r="AX320" s="35" t="b">
        <v>1</v>
      </c>
      <c r="AY320" s="74">
        <f t="shared" si="115"/>
        <v>57949250</v>
      </c>
      <c r="AZ320" s="37"/>
      <c r="BA320" s="38"/>
      <c r="BB320" s="37"/>
      <c r="BC320" s="38"/>
      <c r="BD320" s="37"/>
      <c r="BE320" s="38"/>
      <c r="BF320" s="37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38"/>
      <c r="BS320" s="38"/>
      <c r="BT320" s="35" t="b">
        <v>1</v>
      </c>
      <c r="BU320" s="36">
        <f t="shared" si="120"/>
        <v>57949250</v>
      </c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5" t="b">
        <v>1</v>
      </c>
      <c r="CK320" s="36">
        <f t="shared" si="122"/>
        <v>57949250</v>
      </c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</row>
    <row r="321" spans="1:101" ht="32.25" customHeight="1" x14ac:dyDescent="0.25">
      <c r="A321" s="12">
        <f t="shared" si="99"/>
        <v>320</v>
      </c>
      <c r="B321" s="13" t="s">
        <v>251</v>
      </c>
      <c r="C321" s="13" t="s">
        <v>1573</v>
      </c>
      <c r="D321" s="14" t="s">
        <v>1928</v>
      </c>
      <c r="E321" s="15" t="s">
        <v>1929</v>
      </c>
      <c r="F321" s="15" t="s">
        <v>1930</v>
      </c>
      <c r="G321" s="16">
        <v>22</v>
      </c>
      <c r="H321" s="17">
        <v>43961500</v>
      </c>
      <c r="I321" s="18"/>
      <c r="J321" s="18"/>
      <c r="K321" s="18"/>
      <c r="L321" s="18" t="s">
        <v>99</v>
      </c>
      <c r="M321" s="19">
        <v>17383</v>
      </c>
      <c r="N321" s="20" t="s">
        <v>100</v>
      </c>
      <c r="O321" s="13" t="b">
        <v>1</v>
      </c>
      <c r="P321" s="20" t="b">
        <v>1</v>
      </c>
      <c r="Q321" s="20" t="b">
        <v>1</v>
      </c>
      <c r="R321" s="13" t="b">
        <v>1</v>
      </c>
      <c r="S321" s="13" t="b">
        <v>1</v>
      </c>
      <c r="T321" s="13" t="b">
        <v>1</v>
      </c>
      <c r="U321" s="13" t="b">
        <v>1</v>
      </c>
      <c r="V321" s="13" t="b">
        <v>1</v>
      </c>
      <c r="W321" s="13" t="b">
        <v>1</v>
      </c>
      <c r="X321" s="13" t="b">
        <v>0</v>
      </c>
      <c r="Y321" s="21" t="s">
        <v>101</v>
      </c>
      <c r="Z321" s="21" t="s">
        <v>1931</v>
      </c>
      <c r="AA321" s="21" t="s">
        <v>1932</v>
      </c>
      <c r="AB321" s="22"/>
      <c r="AC321" s="13"/>
      <c r="AD321" s="13"/>
      <c r="AE321" s="13" t="b">
        <v>1</v>
      </c>
      <c r="AF321" s="48">
        <v>45874</v>
      </c>
      <c r="AG321" s="26"/>
      <c r="AH321" s="39" t="b">
        <v>1</v>
      </c>
      <c r="AI321" s="28">
        <v>45919</v>
      </c>
      <c r="AJ321" s="29" t="s">
        <v>104</v>
      </c>
      <c r="AK321" s="39" t="b">
        <v>1</v>
      </c>
      <c r="AL321" s="40">
        <v>45976</v>
      </c>
      <c r="AM321" s="29" t="s">
        <v>590</v>
      </c>
      <c r="AN321" s="29"/>
      <c r="AO321" s="13"/>
      <c r="AP321" s="12"/>
      <c r="AQ321" s="16"/>
      <c r="AR321" s="12"/>
      <c r="AS321" s="33"/>
      <c r="AT321" s="32"/>
      <c r="AU321" s="33"/>
      <c r="AV321" s="34"/>
      <c r="AW321" s="33"/>
      <c r="AX321" s="35" t="b">
        <v>1</v>
      </c>
      <c r="AY321" s="74">
        <f t="shared" si="115"/>
        <v>10990375</v>
      </c>
      <c r="AZ321" s="37"/>
      <c r="BA321" s="38"/>
      <c r="BB321" s="37"/>
      <c r="BC321" s="38"/>
      <c r="BD321" s="37"/>
      <c r="BE321" s="38"/>
      <c r="BF321" s="37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  <c r="BQ321" s="38"/>
      <c r="BR321" s="38"/>
      <c r="BS321" s="38"/>
      <c r="BT321" s="35" t="b">
        <v>1</v>
      </c>
      <c r="BU321" s="36">
        <f t="shared" si="120"/>
        <v>10990375</v>
      </c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5" t="b">
        <v>1</v>
      </c>
      <c r="CK321" s="36">
        <f t="shared" si="122"/>
        <v>10990375</v>
      </c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</row>
    <row r="322" spans="1:101" ht="32.25" customHeight="1" x14ac:dyDescent="0.25">
      <c r="A322" s="12">
        <f t="shared" si="99"/>
        <v>321</v>
      </c>
      <c r="B322" s="13" t="s">
        <v>251</v>
      </c>
      <c r="C322" s="13" t="s">
        <v>1573</v>
      </c>
      <c r="D322" s="14" t="s">
        <v>1933</v>
      </c>
      <c r="E322" s="15" t="s">
        <v>1934</v>
      </c>
      <c r="F322" s="15" t="s">
        <v>1935</v>
      </c>
      <c r="G322" s="16">
        <v>39</v>
      </c>
      <c r="H322" s="17">
        <v>77931750</v>
      </c>
      <c r="I322" s="18"/>
      <c r="J322" s="18"/>
      <c r="K322" s="18"/>
      <c r="L322" s="18" t="s">
        <v>99</v>
      </c>
      <c r="M322" s="19">
        <v>17384</v>
      </c>
      <c r="N322" s="20" t="s">
        <v>100</v>
      </c>
      <c r="O322" s="13" t="b">
        <v>1</v>
      </c>
      <c r="P322" s="20" t="b">
        <v>1</v>
      </c>
      <c r="Q322" s="20" t="b">
        <v>1</v>
      </c>
      <c r="R322" s="13" t="b">
        <v>1</v>
      </c>
      <c r="S322" s="13" t="b">
        <v>1</v>
      </c>
      <c r="T322" s="13" t="b">
        <v>1</v>
      </c>
      <c r="U322" s="13" t="b">
        <v>1</v>
      </c>
      <c r="V322" s="13" t="b">
        <v>1</v>
      </c>
      <c r="W322" s="13" t="b">
        <v>1</v>
      </c>
      <c r="X322" s="13" t="b">
        <v>0</v>
      </c>
      <c r="Y322" s="21" t="s">
        <v>101</v>
      </c>
      <c r="Z322" s="21" t="s">
        <v>1936</v>
      </c>
      <c r="AA322" s="21" t="s">
        <v>1937</v>
      </c>
      <c r="AB322" s="22"/>
      <c r="AC322" s="13"/>
      <c r="AD322" s="13"/>
      <c r="AE322" s="13" t="b">
        <v>1</v>
      </c>
      <c r="AF322" s="48">
        <v>45874</v>
      </c>
      <c r="AG322" s="26"/>
      <c r="AH322" s="39" t="b">
        <v>1</v>
      </c>
      <c r="AI322" s="28">
        <v>45919</v>
      </c>
      <c r="AJ322" s="29" t="s">
        <v>104</v>
      </c>
      <c r="AK322" s="39" t="b">
        <v>1</v>
      </c>
      <c r="AL322" s="40">
        <v>45978</v>
      </c>
      <c r="AM322" s="29" t="s">
        <v>590</v>
      </c>
      <c r="AN322" s="29"/>
      <c r="AO322" s="13"/>
      <c r="AP322" s="12"/>
      <c r="AQ322" s="16"/>
      <c r="AR322" s="32"/>
      <c r="AS322" s="33"/>
      <c r="AT322" s="32"/>
      <c r="AU322" s="33"/>
      <c r="AV322" s="34"/>
      <c r="AW322" s="33"/>
      <c r="AX322" s="35" t="b">
        <v>1</v>
      </c>
      <c r="AY322" s="74">
        <f t="shared" si="115"/>
        <v>19482938</v>
      </c>
      <c r="AZ322" s="37"/>
      <c r="BA322" s="38"/>
      <c r="BB322" s="37"/>
      <c r="BC322" s="38"/>
      <c r="BD322" s="37"/>
      <c r="BE322" s="38"/>
      <c r="BF322" s="37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  <c r="BQ322" s="38"/>
      <c r="BR322" s="38"/>
      <c r="BS322" s="38"/>
      <c r="BT322" s="35" t="b">
        <v>1</v>
      </c>
      <c r="BU322" s="36">
        <f t="shared" si="120"/>
        <v>19482937</v>
      </c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5" t="b">
        <v>1</v>
      </c>
      <c r="CK322" s="36">
        <f t="shared" si="122"/>
        <v>19482938</v>
      </c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</row>
    <row r="323" spans="1:101" ht="32.25" customHeight="1" x14ac:dyDescent="0.25">
      <c r="A323" s="12">
        <f t="shared" si="99"/>
        <v>322</v>
      </c>
      <c r="B323" s="13" t="s">
        <v>251</v>
      </c>
      <c r="C323" s="13" t="s">
        <v>1573</v>
      </c>
      <c r="D323" s="14" t="s">
        <v>1938</v>
      </c>
      <c r="E323" s="15" t="s">
        <v>1939</v>
      </c>
      <c r="F323" s="15" t="s">
        <v>1940</v>
      </c>
      <c r="G323" s="16">
        <v>13</v>
      </c>
      <c r="H323" s="17">
        <v>25977250</v>
      </c>
      <c r="I323" s="18"/>
      <c r="J323" s="18"/>
      <c r="K323" s="18"/>
      <c r="L323" s="18" t="s">
        <v>99</v>
      </c>
      <c r="M323" s="19">
        <v>17385</v>
      </c>
      <c r="N323" s="20" t="s">
        <v>100</v>
      </c>
      <c r="O323" s="13" t="b">
        <v>1</v>
      </c>
      <c r="P323" s="20" t="b">
        <v>1</v>
      </c>
      <c r="Q323" s="20" t="b">
        <v>1</v>
      </c>
      <c r="R323" s="13" t="b">
        <v>1</v>
      </c>
      <c r="S323" s="13" t="b">
        <v>1</v>
      </c>
      <c r="T323" s="13" t="b">
        <v>1</v>
      </c>
      <c r="U323" s="13" t="b">
        <v>1</v>
      </c>
      <c r="V323" s="13" t="b">
        <v>1</v>
      </c>
      <c r="W323" s="13" t="b">
        <v>1</v>
      </c>
      <c r="X323" s="13" t="b">
        <v>0</v>
      </c>
      <c r="Y323" s="21" t="s">
        <v>101</v>
      </c>
      <c r="Z323" s="21" t="s">
        <v>1941</v>
      </c>
      <c r="AA323" s="21" t="s">
        <v>1942</v>
      </c>
      <c r="AB323" s="22"/>
      <c r="AC323" s="13"/>
      <c r="AD323" s="13"/>
      <c r="AE323" s="13" t="b">
        <v>1</v>
      </c>
      <c r="AF323" s="48">
        <v>45874</v>
      </c>
      <c r="AG323" s="26"/>
      <c r="AH323" s="39" t="b">
        <v>1</v>
      </c>
      <c r="AI323" s="28">
        <v>45919</v>
      </c>
      <c r="AJ323" s="29" t="s">
        <v>104</v>
      </c>
      <c r="AK323" s="39" t="b">
        <v>1</v>
      </c>
      <c r="AL323" s="40">
        <v>45978</v>
      </c>
      <c r="AM323" s="29" t="s">
        <v>590</v>
      </c>
      <c r="AN323" s="29"/>
      <c r="AO323" s="13"/>
      <c r="AP323" s="12"/>
      <c r="AQ323" s="16"/>
      <c r="AR323" s="32"/>
      <c r="AS323" s="33"/>
      <c r="AT323" s="32"/>
      <c r="AU323" s="33"/>
      <c r="AV323" s="34"/>
      <c r="AW323" s="33"/>
      <c r="AX323" s="35" t="b">
        <v>1</v>
      </c>
      <c r="AY323" s="74">
        <f t="shared" si="115"/>
        <v>6494313</v>
      </c>
      <c r="AZ323" s="37"/>
      <c r="BA323" s="38"/>
      <c r="BB323" s="37"/>
      <c r="BC323" s="38"/>
      <c r="BD323" s="37"/>
      <c r="BE323" s="38"/>
      <c r="BF323" s="37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38"/>
      <c r="BS323" s="38"/>
      <c r="BT323" s="35" t="b">
        <v>1</v>
      </c>
      <c r="BU323" s="36">
        <f t="shared" si="120"/>
        <v>6494312</v>
      </c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5" t="b">
        <v>1</v>
      </c>
      <c r="CK323" s="36">
        <f t="shared" si="122"/>
        <v>6494313</v>
      </c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</row>
    <row r="324" spans="1:101" ht="32.25" customHeight="1" x14ac:dyDescent="0.25">
      <c r="A324" s="12">
        <f t="shared" si="99"/>
        <v>323</v>
      </c>
      <c r="B324" s="13" t="s">
        <v>251</v>
      </c>
      <c r="C324" s="13" t="s">
        <v>1573</v>
      </c>
      <c r="D324" s="14" t="s">
        <v>1943</v>
      </c>
      <c r="E324" s="15" t="s">
        <v>1944</v>
      </c>
      <c r="F324" s="15" t="s">
        <v>1945</v>
      </c>
      <c r="G324" s="16">
        <v>39</v>
      </c>
      <c r="H324" s="17">
        <v>77931750</v>
      </c>
      <c r="I324" s="18"/>
      <c r="J324" s="18"/>
      <c r="K324" s="18"/>
      <c r="L324" s="18" t="s">
        <v>99</v>
      </c>
      <c r="M324" s="19">
        <v>17386</v>
      </c>
      <c r="N324" s="20" t="s">
        <v>100</v>
      </c>
      <c r="O324" s="13" t="b">
        <v>1</v>
      </c>
      <c r="P324" s="20" t="b">
        <v>1</v>
      </c>
      <c r="Q324" s="20" t="b">
        <v>1</v>
      </c>
      <c r="R324" s="13" t="b">
        <v>1</v>
      </c>
      <c r="S324" s="13" t="b">
        <v>1</v>
      </c>
      <c r="T324" s="13" t="b">
        <v>1</v>
      </c>
      <c r="U324" s="13" t="b">
        <v>1</v>
      </c>
      <c r="V324" s="13" t="b">
        <v>1</v>
      </c>
      <c r="W324" s="13" t="b">
        <v>1</v>
      </c>
      <c r="X324" s="13" t="b">
        <v>0</v>
      </c>
      <c r="Y324" s="21" t="s">
        <v>101</v>
      </c>
      <c r="Z324" s="21" t="s">
        <v>1946</v>
      </c>
      <c r="AA324" s="21" t="s">
        <v>1947</v>
      </c>
      <c r="AB324" s="22"/>
      <c r="AC324" s="13"/>
      <c r="AD324" s="13"/>
      <c r="AE324" s="13" t="b">
        <v>1</v>
      </c>
      <c r="AF324" s="48">
        <v>45874</v>
      </c>
      <c r="AG324" s="26"/>
      <c r="AH324" s="39" t="b">
        <v>1</v>
      </c>
      <c r="AI324" s="28">
        <v>45919</v>
      </c>
      <c r="AJ324" s="29" t="s">
        <v>104</v>
      </c>
      <c r="AK324" s="39" t="b">
        <v>1</v>
      </c>
      <c r="AL324" s="40">
        <v>45978</v>
      </c>
      <c r="AM324" s="29" t="s">
        <v>590</v>
      </c>
      <c r="AN324" s="29"/>
      <c r="AO324" s="13"/>
      <c r="AP324" s="12"/>
      <c r="AQ324" s="16"/>
      <c r="AR324" s="32"/>
      <c r="AS324" s="33"/>
      <c r="AT324" s="32"/>
      <c r="AU324" s="33"/>
      <c r="AV324" s="34"/>
      <c r="AW324" s="33"/>
      <c r="AX324" s="35" t="b">
        <v>1</v>
      </c>
      <c r="AY324" s="74">
        <f t="shared" si="115"/>
        <v>19482938</v>
      </c>
      <c r="AZ324" s="37"/>
      <c r="BA324" s="38"/>
      <c r="BB324" s="37"/>
      <c r="BC324" s="38"/>
      <c r="BD324" s="37"/>
      <c r="BE324" s="38"/>
      <c r="BF324" s="37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  <c r="BQ324" s="38"/>
      <c r="BR324" s="38"/>
      <c r="BS324" s="38"/>
      <c r="BT324" s="35" t="b">
        <v>1</v>
      </c>
      <c r="BU324" s="36">
        <f t="shared" si="120"/>
        <v>19482937</v>
      </c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5" t="b">
        <v>1</v>
      </c>
      <c r="CK324" s="36">
        <f t="shared" si="122"/>
        <v>19482938</v>
      </c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</row>
    <row r="325" spans="1:101" ht="32.25" customHeight="1" x14ac:dyDescent="0.25">
      <c r="A325" s="12">
        <f t="shared" si="99"/>
        <v>324</v>
      </c>
      <c r="B325" s="13" t="s">
        <v>251</v>
      </c>
      <c r="C325" s="13" t="s">
        <v>1573</v>
      </c>
      <c r="D325" s="14" t="s">
        <v>1948</v>
      </c>
      <c r="E325" s="15" t="s">
        <v>1949</v>
      </c>
      <c r="F325" s="15" t="s">
        <v>1950</v>
      </c>
      <c r="G325" s="16">
        <v>61</v>
      </c>
      <c r="H325" s="17">
        <v>121893250</v>
      </c>
      <c r="I325" s="18"/>
      <c r="J325" s="18"/>
      <c r="K325" s="18"/>
      <c r="L325" s="18" t="s">
        <v>99</v>
      </c>
      <c r="M325" s="19">
        <v>17387</v>
      </c>
      <c r="N325" s="20" t="s">
        <v>100</v>
      </c>
      <c r="O325" s="13" t="b">
        <v>1</v>
      </c>
      <c r="P325" s="20" t="b">
        <v>1</v>
      </c>
      <c r="Q325" s="20" t="b">
        <v>1</v>
      </c>
      <c r="R325" s="13" t="b">
        <v>1</v>
      </c>
      <c r="S325" s="13" t="b">
        <v>1</v>
      </c>
      <c r="T325" s="13" t="b">
        <v>1</v>
      </c>
      <c r="U325" s="13" t="b">
        <v>1</v>
      </c>
      <c r="V325" s="13" t="b">
        <v>1</v>
      </c>
      <c r="W325" s="13" t="b">
        <v>1</v>
      </c>
      <c r="X325" s="13" t="b">
        <v>0</v>
      </c>
      <c r="Y325" s="21" t="s">
        <v>101</v>
      </c>
      <c r="Z325" s="21" t="s">
        <v>1951</v>
      </c>
      <c r="AA325" s="21" t="s">
        <v>1952</v>
      </c>
      <c r="AB325" s="22"/>
      <c r="AC325" s="13"/>
      <c r="AD325" s="13"/>
      <c r="AE325" s="13" t="b">
        <v>1</v>
      </c>
      <c r="AF325" s="48">
        <v>45874</v>
      </c>
      <c r="AG325" s="26" t="s">
        <v>1953</v>
      </c>
      <c r="AH325" s="39" t="b">
        <v>1</v>
      </c>
      <c r="AI325" s="28">
        <v>45919</v>
      </c>
      <c r="AJ325" s="29" t="s">
        <v>104</v>
      </c>
      <c r="AK325" s="39" t="b">
        <v>1</v>
      </c>
      <c r="AL325" s="40">
        <v>45976</v>
      </c>
      <c r="AM325" s="29" t="s">
        <v>104</v>
      </c>
      <c r="AN325" s="29"/>
      <c r="AO325" s="13"/>
      <c r="AP325" s="12"/>
      <c r="AQ325" s="16"/>
      <c r="AR325" s="32"/>
      <c r="AS325" s="33"/>
      <c r="AT325" s="32"/>
      <c r="AU325" s="33"/>
      <c r="AV325" s="34"/>
      <c r="AW325" s="33"/>
      <c r="AX325" s="35" t="b">
        <v>1</v>
      </c>
      <c r="AY325" s="74">
        <f t="shared" si="115"/>
        <v>30473313</v>
      </c>
      <c r="AZ325" s="37"/>
      <c r="BA325" s="38"/>
      <c r="BB325" s="37"/>
      <c r="BC325" s="38"/>
      <c r="BD325" s="37"/>
      <c r="BE325" s="38"/>
      <c r="BF325" s="37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  <c r="BS325" s="38"/>
      <c r="BT325" s="35" t="b">
        <v>1</v>
      </c>
      <c r="BU325" s="36">
        <f t="shared" si="120"/>
        <v>30473312</v>
      </c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5" t="b">
        <v>1</v>
      </c>
      <c r="CK325" s="36">
        <f t="shared" si="122"/>
        <v>30473313</v>
      </c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</row>
    <row r="326" spans="1:101" ht="32.25" customHeight="1" x14ac:dyDescent="0.25">
      <c r="A326" s="12">
        <f t="shared" si="99"/>
        <v>325</v>
      </c>
      <c r="B326" s="13" t="s">
        <v>251</v>
      </c>
      <c r="C326" s="13" t="s">
        <v>1573</v>
      </c>
      <c r="D326" s="14" t="s">
        <v>1954</v>
      </c>
      <c r="E326" s="15" t="s">
        <v>1955</v>
      </c>
      <c r="F326" s="15" t="s">
        <v>1956</v>
      </c>
      <c r="G326" s="16">
        <v>281</v>
      </c>
      <c r="H326" s="17">
        <v>561508250</v>
      </c>
      <c r="I326" s="18"/>
      <c r="J326" s="18"/>
      <c r="K326" s="18"/>
      <c r="L326" s="18" t="s">
        <v>99</v>
      </c>
      <c r="M326" s="19">
        <v>17388</v>
      </c>
      <c r="N326" s="20" t="s">
        <v>100</v>
      </c>
      <c r="O326" s="13" t="b">
        <v>1</v>
      </c>
      <c r="P326" s="20" t="b">
        <v>1</v>
      </c>
      <c r="Q326" s="20" t="b">
        <v>1</v>
      </c>
      <c r="R326" s="13" t="b">
        <v>1</v>
      </c>
      <c r="S326" s="13" t="b">
        <v>1</v>
      </c>
      <c r="T326" s="13" t="b">
        <v>1</v>
      </c>
      <c r="U326" s="13" t="b">
        <v>1</v>
      </c>
      <c r="V326" s="13" t="b">
        <v>1</v>
      </c>
      <c r="W326" s="13" t="b">
        <v>1</v>
      </c>
      <c r="X326" s="13" t="b">
        <v>0</v>
      </c>
      <c r="Y326" s="21" t="s">
        <v>101</v>
      </c>
      <c r="Z326" s="21" t="s">
        <v>1957</v>
      </c>
      <c r="AA326" s="21" t="s">
        <v>1958</v>
      </c>
      <c r="AB326" s="22"/>
      <c r="AC326" s="13"/>
      <c r="AD326" s="13"/>
      <c r="AE326" s="13" t="b">
        <v>1</v>
      </c>
      <c r="AF326" s="48">
        <v>45874</v>
      </c>
      <c r="AG326" s="26"/>
      <c r="AH326" s="39" t="b">
        <v>1</v>
      </c>
      <c r="AI326" s="28">
        <v>45919</v>
      </c>
      <c r="AJ326" s="29" t="s">
        <v>104</v>
      </c>
      <c r="AK326" s="39" t="b">
        <v>1</v>
      </c>
      <c r="AL326" s="40">
        <v>45976</v>
      </c>
      <c r="AM326" s="29" t="s">
        <v>1584</v>
      </c>
      <c r="AN326" s="29"/>
      <c r="AO326" s="13"/>
      <c r="AP326" s="12"/>
      <c r="AQ326" s="16"/>
      <c r="AR326" s="32"/>
      <c r="AS326" s="33"/>
      <c r="AT326" s="32"/>
      <c r="AU326" s="33"/>
      <c r="AV326" s="34"/>
      <c r="AW326" s="33"/>
      <c r="AX326" s="35" t="b">
        <v>1</v>
      </c>
      <c r="AY326" s="74">
        <f t="shared" si="115"/>
        <v>140377063</v>
      </c>
      <c r="AZ326" s="37"/>
      <c r="BA326" s="38"/>
      <c r="BB326" s="37"/>
      <c r="BC326" s="38"/>
      <c r="BD326" s="37"/>
      <c r="BE326" s="38"/>
      <c r="BF326" s="37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  <c r="BQ326" s="38"/>
      <c r="BR326" s="38"/>
      <c r="BS326" s="38"/>
      <c r="BT326" s="35" t="b">
        <v>1</v>
      </c>
      <c r="BU326" s="36">
        <f t="shared" si="120"/>
        <v>140377062</v>
      </c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5" t="b">
        <v>1</v>
      </c>
      <c r="CK326" s="36">
        <f t="shared" si="122"/>
        <v>140377063</v>
      </c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</row>
    <row r="327" spans="1:101" ht="32.25" customHeight="1" x14ac:dyDescent="0.25">
      <c r="A327" s="12">
        <f t="shared" si="99"/>
        <v>326</v>
      </c>
      <c r="B327" s="13" t="s">
        <v>251</v>
      </c>
      <c r="C327" s="13" t="s">
        <v>1573</v>
      </c>
      <c r="D327" s="14" t="s">
        <v>1959</v>
      </c>
      <c r="E327" s="15" t="s">
        <v>1960</v>
      </c>
      <c r="F327" s="15" t="s">
        <v>1961</v>
      </c>
      <c r="G327" s="16">
        <v>522</v>
      </c>
      <c r="H327" s="17">
        <v>1043086500</v>
      </c>
      <c r="I327" s="18"/>
      <c r="J327" s="18"/>
      <c r="K327" s="18"/>
      <c r="L327" s="18" t="s">
        <v>99</v>
      </c>
      <c r="M327" s="19">
        <v>17389</v>
      </c>
      <c r="N327" s="20" t="s">
        <v>100</v>
      </c>
      <c r="O327" s="13" t="b">
        <v>1</v>
      </c>
      <c r="P327" s="20" t="b">
        <v>1</v>
      </c>
      <c r="Q327" s="20" t="b">
        <v>1</v>
      </c>
      <c r="R327" s="13" t="b">
        <v>1</v>
      </c>
      <c r="S327" s="13" t="b">
        <v>1</v>
      </c>
      <c r="T327" s="13" t="b">
        <v>1</v>
      </c>
      <c r="U327" s="13" t="b">
        <v>1</v>
      </c>
      <c r="V327" s="13" t="b">
        <v>1</v>
      </c>
      <c r="W327" s="13" t="b">
        <v>1</v>
      </c>
      <c r="X327" s="13" t="b">
        <v>0</v>
      </c>
      <c r="Y327" s="21" t="s">
        <v>101</v>
      </c>
      <c r="Z327" s="21" t="s">
        <v>1962</v>
      </c>
      <c r="AA327" s="21" t="s">
        <v>1963</v>
      </c>
      <c r="AB327" s="22"/>
      <c r="AC327" s="13"/>
      <c r="AD327" s="13"/>
      <c r="AE327" s="13" t="b">
        <v>1</v>
      </c>
      <c r="AF327" s="48">
        <v>45874</v>
      </c>
      <c r="AG327" s="26"/>
      <c r="AH327" s="39" t="b">
        <v>1</v>
      </c>
      <c r="AI327" s="28">
        <v>45919</v>
      </c>
      <c r="AJ327" s="29" t="s">
        <v>104</v>
      </c>
      <c r="AK327" s="39" t="b">
        <v>1</v>
      </c>
      <c r="AL327" s="40">
        <v>45976</v>
      </c>
      <c r="AM327" s="29"/>
      <c r="AN327" s="29"/>
      <c r="AO327" s="13"/>
      <c r="AP327" s="12"/>
      <c r="AQ327" s="16"/>
      <c r="AR327" s="32"/>
      <c r="AS327" s="33"/>
      <c r="AT327" s="32"/>
      <c r="AU327" s="33"/>
      <c r="AV327" s="34"/>
      <c r="AW327" s="33"/>
      <c r="AX327" s="35" t="b">
        <v>1</v>
      </c>
      <c r="AY327" s="74">
        <f t="shared" si="115"/>
        <v>260771625</v>
      </c>
      <c r="AZ327" s="37"/>
      <c r="BA327" s="38"/>
      <c r="BB327" s="37"/>
      <c r="BC327" s="38"/>
      <c r="BD327" s="37"/>
      <c r="BE327" s="38"/>
      <c r="BF327" s="37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  <c r="BQ327" s="38"/>
      <c r="BR327" s="38"/>
      <c r="BS327" s="38"/>
      <c r="BT327" s="35" t="b">
        <v>1</v>
      </c>
      <c r="BU327" s="36">
        <f t="shared" si="120"/>
        <v>260771625</v>
      </c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5" t="b">
        <v>1</v>
      </c>
      <c r="CK327" s="36">
        <f t="shared" si="122"/>
        <v>260771625</v>
      </c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</row>
    <row r="328" spans="1:101" ht="32.25" customHeight="1" x14ac:dyDescent="0.25">
      <c r="A328" s="12">
        <f t="shared" si="99"/>
        <v>327</v>
      </c>
      <c r="B328" s="13" t="s">
        <v>251</v>
      </c>
      <c r="C328" s="13" t="s">
        <v>1573</v>
      </c>
      <c r="D328" s="14" t="s">
        <v>1964</v>
      </c>
      <c r="E328" s="15" t="s">
        <v>1965</v>
      </c>
      <c r="F328" s="15" t="s">
        <v>1966</v>
      </c>
      <c r="G328" s="16">
        <v>75</v>
      </c>
      <c r="H328" s="17">
        <v>149868750</v>
      </c>
      <c r="I328" s="18"/>
      <c r="J328" s="18"/>
      <c r="K328" s="18"/>
      <c r="L328" s="18" t="s">
        <v>99</v>
      </c>
      <c r="M328" s="19">
        <v>17390</v>
      </c>
      <c r="N328" s="20" t="s">
        <v>100</v>
      </c>
      <c r="O328" s="13" t="b">
        <v>1</v>
      </c>
      <c r="P328" s="20" t="b">
        <v>1</v>
      </c>
      <c r="Q328" s="20" t="b">
        <v>1</v>
      </c>
      <c r="R328" s="13" t="b">
        <v>1</v>
      </c>
      <c r="S328" s="13" t="b">
        <v>1</v>
      </c>
      <c r="T328" s="13" t="b">
        <v>1</v>
      </c>
      <c r="U328" s="13" t="b">
        <v>1</v>
      </c>
      <c r="V328" s="13" t="b">
        <v>1</v>
      </c>
      <c r="W328" s="13" t="b">
        <v>1</v>
      </c>
      <c r="X328" s="13" t="b">
        <v>0</v>
      </c>
      <c r="Y328" s="21" t="s">
        <v>101</v>
      </c>
      <c r="Z328" s="21" t="s">
        <v>1967</v>
      </c>
      <c r="AA328" s="21" t="s">
        <v>1968</v>
      </c>
      <c r="AB328" s="22"/>
      <c r="AC328" s="13"/>
      <c r="AD328" s="13"/>
      <c r="AE328" s="47" t="b">
        <v>1</v>
      </c>
      <c r="AF328" s="48">
        <v>45936</v>
      </c>
      <c r="AG328" s="26" t="s">
        <v>1969</v>
      </c>
      <c r="AH328" s="39" t="b">
        <v>1</v>
      </c>
      <c r="AI328" s="28">
        <v>45993</v>
      </c>
      <c r="AJ328" s="29" t="s">
        <v>104</v>
      </c>
      <c r="AK328" s="39" t="b">
        <v>1</v>
      </c>
      <c r="AL328" s="40">
        <v>46003</v>
      </c>
      <c r="AM328" s="29" t="s">
        <v>104</v>
      </c>
      <c r="AN328" s="29"/>
      <c r="AO328" s="13"/>
      <c r="AP328" s="12"/>
      <c r="AQ328" s="16"/>
      <c r="AR328" s="32"/>
      <c r="AS328" s="33"/>
      <c r="AT328" s="32"/>
      <c r="AU328" s="33"/>
      <c r="AV328" s="34"/>
      <c r="AW328" s="33"/>
      <c r="AX328" s="37"/>
      <c r="AY328" s="38"/>
      <c r="AZ328" s="37"/>
      <c r="BA328" s="38"/>
      <c r="BB328" s="37"/>
      <c r="BC328" s="38"/>
      <c r="BD328" s="37"/>
      <c r="BE328" s="38"/>
      <c r="BF328" s="35" t="b">
        <v>1</v>
      </c>
      <c r="BG328" s="38">
        <f>IF(MOD(H328,4)=0,H328/4,ROUNDUP(H328/4,0))</f>
        <v>37467188</v>
      </c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  <c r="BS328" s="38"/>
      <c r="BT328" s="38"/>
      <c r="BU328" s="38"/>
      <c r="BV328" s="38"/>
      <c r="BW328" s="38"/>
      <c r="BX328" s="38"/>
      <c r="BY328" s="38"/>
      <c r="BZ328" s="38"/>
      <c r="CA328" s="38"/>
      <c r="CB328" s="42" t="b">
        <v>1</v>
      </c>
      <c r="CC328" s="38">
        <f>IF(MOD(H328,4)=0,H328/4,ROUNDDOWN(H328/4,0))</f>
        <v>37467187</v>
      </c>
      <c r="CD328" s="38"/>
      <c r="CE328" s="38"/>
      <c r="CF328" s="38"/>
      <c r="CG328" s="38"/>
      <c r="CH328" s="38"/>
      <c r="CI328" s="38"/>
      <c r="CJ328" s="38"/>
      <c r="CK328" s="38"/>
      <c r="CL328" s="38"/>
      <c r="CM328" s="38"/>
      <c r="CN328" s="38"/>
      <c r="CO328" s="38"/>
      <c r="CP328" s="38"/>
      <c r="CQ328" s="38"/>
      <c r="CR328" s="12" t="b">
        <v>1</v>
      </c>
      <c r="CS328" s="36">
        <f>IF(MOD(H328,4)=0,H328/4,ROUNDUP(H328/4,0))</f>
        <v>37467188</v>
      </c>
      <c r="CT328" s="36"/>
      <c r="CU328" s="36"/>
      <c r="CV328" s="36"/>
      <c r="CW328" s="36"/>
    </row>
    <row r="329" spans="1:101" ht="32.25" customHeight="1" x14ac:dyDescent="0.25">
      <c r="A329" s="12">
        <f t="shared" si="99"/>
        <v>328</v>
      </c>
      <c r="B329" s="13" t="s">
        <v>251</v>
      </c>
      <c r="C329" s="13" t="s">
        <v>1573</v>
      </c>
      <c r="D329" s="14" t="s">
        <v>1970</v>
      </c>
      <c r="E329" s="15" t="s">
        <v>1971</v>
      </c>
      <c r="F329" s="15" t="s">
        <v>1972</v>
      </c>
      <c r="G329" s="16">
        <v>78</v>
      </c>
      <c r="H329" s="17">
        <v>155863500</v>
      </c>
      <c r="I329" s="18"/>
      <c r="J329" s="18"/>
      <c r="K329" s="18"/>
      <c r="L329" s="18" t="s">
        <v>99</v>
      </c>
      <c r="M329" s="19">
        <v>17391</v>
      </c>
      <c r="N329" s="20" t="s">
        <v>100</v>
      </c>
      <c r="O329" s="13" t="b">
        <v>1</v>
      </c>
      <c r="P329" s="20" t="b">
        <v>1</v>
      </c>
      <c r="Q329" s="20" t="b">
        <v>1</v>
      </c>
      <c r="R329" s="13" t="b">
        <v>1</v>
      </c>
      <c r="S329" s="13" t="b">
        <v>1</v>
      </c>
      <c r="T329" s="13" t="b">
        <v>1</v>
      </c>
      <c r="U329" s="13" t="b">
        <v>1</v>
      </c>
      <c r="V329" s="13" t="b">
        <v>1</v>
      </c>
      <c r="W329" s="13" t="b">
        <v>1</v>
      </c>
      <c r="X329" s="13" t="b">
        <v>0</v>
      </c>
      <c r="Y329" s="21" t="s">
        <v>101</v>
      </c>
      <c r="Z329" s="21" t="s">
        <v>1973</v>
      </c>
      <c r="AA329" s="21" t="s">
        <v>1974</v>
      </c>
      <c r="AB329" s="22"/>
      <c r="AC329" s="13"/>
      <c r="AD329" s="13"/>
      <c r="AE329" s="13" t="b">
        <v>1</v>
      </c>
      <c r="AF329" s="48">
        <v>45874</v>
      </c>
      <c r="AG329" s="26"/>
      <c r="AH329" s="39" t="b">
        <v>1</v>
      </c>
      <c r="AI329" s="28">
        <v>45919</v>
      </c>
      <c r="AJ329" s="29" t="s">
        <v>104</v>
      </c>
      <c r="AK329" s="39" t="b">
        <v>1</v>
      </c>
      <c r="AL329" s="40">
        <v>45978</v>
      </c>
      <c r="AM329" s="29" t="s">
        <v>590</v>
      </c>
      <c r="AN329" s="29"/>
      <c r="AO329" s="13"/>
      <c r="AP329" s="12"/>
      <c r="AQ329" s="16"/>
      <c r="AR329" s="32"/>
      <c r="AS329" s="33"/>
      <c r="AT329" s="32"/>
      <c r="AU329" s="33"/>
      <c r="AV329" s="34"/>
      <c r="AW329" s="33"/>
      <c r="AX329" s="35" t="b">
        <v>1</v>
      </c>
      <c r="AY329" s="74">
        <f>IF(MOD(H329,4)=0,H329/4,ROUNDUP(H329/4,0))</f>
        <v>38965875</v>
      </c>
      <c r="AZ329" s="37"/>
      <c r="BA329" s="38"/>
      <c r="BB329" s="37"/>
      <c r="BC329" s="38"/>
      <c r="BD329" s="37"/>
      <c r="BE329" s="38"/>
      <c r="BF329" s="37"/>
      <c r="BG329" s="38"/>
      <c r="BH329" s="38"/>
      <c r="BI329" s="38"/>
      <c r="BJ329" s="38"/>
      <c r="BK329" s="38"/>
      <c r="BL329" s="38"/>
      <c r="BM329" s="38"/>
      <c r="BN329" s="38"/>
      <c r="BO329" s="38"/>
      <c r="BP329" s="38"/>
      <c r="BQ329" s="38"/>
      <c r="BR329" s="38"/>
      <c r="BS329" s="38"/>
      <c r="BT329" s="35" t="b">
        <v>1</v>
      </c>
      <c r="BU329" s="36">
        <f>IF(MOD(H329,4)=0,H329/4,ROUNDDOWN(H329/4,0))</f>
        <v>38965875</v>
      </c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5" t="b">
        <v>1</v>
      </c>
      <c r="CK329" s="36">
        <f>IF(MOD(H329,4)=0,H329/4,ROUNDUP(H329/4,0))</f>
        <v>38965875</v>
      </c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</row>
    <row r="330" spans="1:101" ht="16.5" x14ac:dyDescent="0.45">
      <c r="A330" s="76"/>
      <c r="B330" s="77"/>
      <c r="C330" s="77"/>
      <c r="D330" s="78"/>
      <c r="E330" s="80"/>
      <c r="F330" s="80"/>
      <c r="G330" s="81"/>
      <c r="H330" s="81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82"/>
      <c r="Z330" s="82"/>
      <c r="AA330" s="82"/>
      <c r="AB330" s="80"/>
      <c r="AC330" s="77"/>
      <c r="AD330" s="77"/>
      <c r="AE330" s="77"/>
      <c r="AF330" s="83"/>
      <c r="AG330" s="83"/>
      <c r="AH330" s="83"/>
      <c r="AI330" s="84"/>
      <c r="AJ330" s="83"/>
      <c r="AK330" s="83"/>
      <c r="AL330" s="83"/>
      <c r="AM330" s="83"/>
      <c r="AN330" s="83"/>
      <c r="AO330" s="77"/>
      <c r="AP330" s="76"/>
      <c r="AQ330" s="81"/>
      <c r="AR330" s="76"/>
      <c r="AS330" s="81"/>
      <c r="AT330" s="76"/>
      <c r="AU330" s="81"/>
      <c r="AV330" s="77"/>
      <c r="AW330" s="81"/>
      <c r="AX330" s="77"/>
      <c r="AY330" s="81"/>
      <c r="AZ330" s="77"/>
      <c r="BA330" s="81"/>
      <c r="BB330" s="77"/>
      <c r="BC330" s="81"/>
      <c r="BD330" s="77"/>
      <c r="BE330" s="81"/>
      <c r="BF330" s="77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77"/>
      <c r="BU330" s="77"/>
      <c r="BV330" s="77"/>
      <c r="BW330" s="77"/>
      <c r="BX330" s="77"/>
      <c r="BY330" s="77"/>
      <c r="BZ330" s="77"/>
      <c r="CA330" s="77"/>
      <c r="CB330" s="77"/>
      <c r="CC330" s="77"/>
      <c r="CD330" s="77"/>
      <c r="CE330" s="77"/>
      <c r="CF330" s="77"/>
      <c r="CG330" s="77"/>
      <c r="CH330" s="77"/>
      <c r="CI330" s="77"/>
      <c r="CJ330" s="77"/>
      <c r="CK330" s="77"/>
      <c r="CL330" s="77"/>
      <c r="CM330" s="77"/>
      <c r="CN330" s="77"/>
      <c r="CO330" s="77"/>
      <c r="CP330" s="77"/>
      <c r="CQ330" s="77"/>
      <c r="CR330" s="77"/>
      <c r="CS330" s="77"/>
      <c r="CT330" s="77"/>
      <c r="CU330" s="77"/>
      <c r="CV330" s="77"/>
      <c r="CW330" s="77"/>
    </row>
    <row r="331" spans="1:101" ht="39.75" customHeight="1" x14ac:dyDescent="0.25">
      <c r="A331" s="85"/>
      <c r="B331" s="35"/>
      <c r="C331" s="35"/>
      <c r="D331" s="86"/>
      <c r="E331" s="79"/>
      <c r="F331" s="79"/>
      <c r="G331" s="87">
        <f t="shared" ref="G331:H331" si="123">SUBTOTAL(9,G2:G329)</f>
        <v>54427</v>
      </c>
      <c r="H331" s="87">
        <f t="shared" si="123"/>
        <v>98813727750</v>
      </c>
      <c r="I331" s="36"/>
      <c r="J331" s="36"/>
      <c r="K331" s="36"/>
      <c r="L331" s="36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88"/>
      <c r="Z331" s="88"/>
      <c r="AA331" s="88"/>
      <c r="AB331" s="79"/>
      <c r="AC331" s="35"/>
      <c r="AD331" s="35"/>
      <c r="AE331" s="35"/>
      <c r="AF331" s="89"/>
      <c r="AG331" s="89"/>
      <c r="AH331" s="89"/>
      <c r="AI331" s="90"/>
      <c r="AJ331" s="89"/>
      <c r="AK331" s="89"/>
      <c r="AL331" s="89"/>
      <c r="AM331" s="89"/>
      <c r="AN331" s="89"/>
      <c r="AO331" s="35"/>
      <c r="AP331" s="91"/>
      <c r="AQ331" s="87"/>
      <c r="AR331" s="91"/>
      <c r="AS331" s="87"/>
      <c r="AT331" s="91"/>
      <c r="AU331" s="87"/>
      <c r="AV331" s="91"/>
      <c r="AW331" s="87"/>
      <c r="AX331" s="91">
        <f>SUBTOTAL(3,AX2:AX329)</f>
        <v>158</v>
      </c>
      <c r="AY331" s="87">
        <f>SUBTOTAL(9,AY2:AY329)</f>
        <v>14850243838</v>
      </c>
      <c r="AZ331" s="91">
        <f>SUBTOTAL(3,AZ2:AZ329)</f>
        <v>30</v>
      </c>
      <c r="BA331" s="87">
        <f>SUBTOTAL(9,BA2:BA329)</f>
        <v>2374596254</v>
      </c>
      <c r="BB331" s="91">
        <f>SUBTOTAL(3,BB2:BB329)</f>
        <v>60</v>
      </c>
      <c r="BC331" s="87">
        <f>SUBTOTAL(9,BC2:BC329)</f>
        <v>4115546445</v>
      </c>
      <c r="BD331" s="91">
        <f>SUBTOTAL(3,BD2:BD329)</f>
        <v>18</v>
      </c>
      <c r="BE331" s="87">
        <f>SUBTOTAL(9,BE2:BE329)</f>
        <v>924788690</v>
      </c>
      <c r="BF331" s="91">
        <f>SUBTOTAL(3,BF2:BF329)</f>
        <v>12</v>
      </c>
      <c r="BG331" s="87">
        <f>SUBTOTAL(9,BG2:BG329)</f>
        <v>731427189</v>
      </c>
      <c r="BH331" s="91">
        <f>SUBTOTAL(3,BH2:BH329)</f>
        <v>14</v>
      </c>
      <c r="BI331" s="87">
        <f>SUBTOTAL(9,BI2:BI329)</f>
        <v>446126501</v>
      </c>
      <c r="BJ331" s="91">
        <f>SUBTOTAL(3,BJ2:BJ329)</f>
        <v>9</v>
      </c>
      <c r="BK331" s="87">
        <f>SUBTOTAL(9,BK2:BK329)</f>
        <v>297329814</v>
      </c>
      <c r="BL331" s="91">
        <f>SUBTOTAL(3,BL2:BL329)</f>
        <v>1</v>
      </c>
      <c r="BM331" s="87">
        <f>SUBTOTAL(9,BM2:BM329)</f>
        <v>18717188</v>
      </c>
      <c r="BN331" s="91">
        <f>SUBTOTAL(3,BN2:BN329)</f>
        <v>8</v>
      </c>
      <c r="BO331" s="87">
        <f>SUBTOTAL(9,BO2:BO329)</f>
        <v>450303501</v>
      </c>
      <c r="BP331" s="91">
        <f>SUBTOTAL(3,BP2:BP329)</f>
        <v>2</v>
      </c>
      <c r="BQ331" s="87">
        <f>SUBTOTAL(9,BQ2:BQ329)</f>
        <v>106981938</v>
      </c>
      <c r="BR331" s="91">
        <f>SUBTOTAL(3,BR2:BR329)</f>
        <v>3</v>
      </c>
      <c r="BS331" s="87">
        <f>SUBTOTAL(9,BS2:BS329)</f>
        <v>50297625</v>
      </c>
      <c r="BT331" s="91">
        <f>SUBTOTAL(3,BT2:BT329)</f>
        <v>133</v>
      </c>
      <c r="BU331" s="87">
        <f>SUBTOTAL(9,BU2:BU329)</f>
        <v>13847542293</v>
      </c>
      <c r="BV331" s="91">
        <f>SUBTOTAL(3,BV2:BV329)</f>
        <v>86</v>
      </c>
      <c r="BW331" s="87">
        <f>SUBTOTAL(9,BW2:BW329)</f>
        <v>5818802175</v>
      </c>
      <c r="BX331" s="91">
        <f>SUBTOTAL(3,BX2:BX329)</f>
        <v>49</v>
      </c>
      <c r="BY331" s="87">
        <f>SUBTOTAL(9,BY2:BY329)</f>
        <v>3030142368</v>
      </c>
      <c r="BZ331" s="91">
        <f>SUBTOTAL(3,BZ2:BZ329)</f>
        <v>7</v>
      </c>
      <c r="CA331" s="87">
        <f>SUBTOTAL(9,CA2:CA329)</f>
        <v>260183437</v>
      </c>
      <c r="CB331" s="91">
        <f>SUBTOTAL(3,CB2:CB329)</f>
        <v>7</v>
      </c>
      <c r="CC331" s="87">
        <f>SUBTOTAL(9,CC2:CC329)</f>
        <v>158371249</v>
      </c>
      <c r="CD331" s="91">
        <f>SUBTOTAL(3,CD2:CD329)</f>
        <v>11</v>
      </c>
      <c r="CE331" s="87">
        <f>SUBTOTAL(9,CE2:CE329)</f>
        <v>346178498</v>
      </c>
      <c r="CF331" s="91">
        <f>SUBTOTAL(3,CF2:CF329)</f>
        <v>2</v>
      </c>
      <c r="CG331" s="87">
        <f>SUBTOTAL(9,CG2:CG329)</f>
        <v>153194250</v>
      </c>
      <c r="CH331" s="91">
        <f>SUBTOTAL(3,CH2:CH329)</f>
        <v>8</v>
      </c>
      <c r="CI331" s="87">
        <f>SUBTOTAL(9,CI2:CI329)</f>
        <v>458881249</v>
      </c>
      <c r="CJ331" s="91">
        <f>SUBTOTAL(3,CJ2:CJ329)</f>
        <v>139</v>
      </c>
      <c r="CK331" s="87">
        <f>SUBTOTAL(9,CK2:CK329)</f>
        <v>14073399458</v>
      </c>
      <c r="CL331" s="91">
        <f>SUBTOTAL(3,CL2:CL329)</f>
        <v>12</v>
      </c>
      <c r="CM331" s="87">
        <f>SUBTOTAL(9,CM2:CM329)</f>
        <v>419895314</v>
      </c>
      <c r="CN331" s="91">
        <f>SUBTOTAL(3,CN2:CN329)</f>
        <v>16</v>
      </c>
      <c r="CO331" s="87">
        <f>SUBTOTAL(9,CO2:CO329)</f>
        <v>1264906001</v>
      </c>
      <c r="CP331" s="91">
        <f>SUBTOTAL(3,CP2:CP329)</f>
        <v>43</v>
      </c>
      <c r="CQ331" s="87">
        <f>SUBTOTAL(9,CQ2:CQ329)</f>
        <v>2673087693</v>
      </c>
      <c r="CR331" s="91">
        <f>SUBTOTAL(3,CR2:CR329)</f>
        <v>42</v>
      </c>
      <c r="CS331" s="87">
        <f>SUBTOTAL(9,CS2:CS329)</f>
        <v>2985225571</v>
      </c>
      <c r="CT331" s="91">
        <f>SUBTOTAL(3,CT2:CT329)</f>
        <v>32</v>
      </c>
      <c r="CU331" s="87">
        <f>SUBTOTAL(9,CU2:CU329)</f>
        <v>1779735192</v>
      </c>
      <c r="CV331" s="91">
        <f>SUBTOTAL(3,CV2:CV329)</f>
        <v>1</v>
      </c>
      <c r="CW331" s="87">
        <f>SUBTOTAL(9,CW2:CW329)</f>
        <v>136843438</v>
      </c>
    </row>
    <row r="332" spans="1:101" ht="16.5" x14ac:dyDescent="0.45">
      <c r="A332" s="76"/>
      <c r="B332" s="77"/>
      <c r="C332" s="77"/>
      <c r="D332" s="78"/>
      <c r="E332" s="80"/>
      <c r="F332" s="80"/>
      <c r="G332" s="81"/>
      <c r="H332" s="81"/>
      <c r="I332" s="35"/>
      <c r="J332" s="35"/>
      <c r="K332" s="35"/>
      <c r="L332" s="35"/>
      <c r="M332" s="41"/>
      <c r="N332" s="35"/>
      <c r="O332" s="41"/>
      <c r="P332" s="35"/>
      <c r="Q332" s="41"/>
      <c r="R332" s="35"/>
      <c r="S332" s="35"/>
      <c r="T332" s="35"/>
      <c r="U332" s="35"/>
      <c r="V332" s="35"/>
      <c r="W332" s="35"/>
      <c r="X332" s="35"/>
      <c r="Y332" s="82"/>
      <c r="Z332" s="82"/>
      <c r="AA332" s="82"/>
      <c r="AB332" s="80"/>
      <c r="AC332" s="77"/>
      <c r="AD332" s="77"/>
      <c r="AE332" s="77"/>
      <c r="AF332" s="77"/>
      <c r="AG332" s="77"/>
      <c r="AH332" s="77"/>
      <c r="AI332" s="92"/>
      <c r="AJ332" s="77"/>
      <c r="AK332" s="77"/>
      <c r="AL332" s="77"/>
      <c r="AM332" s="77"/>
      <c r="AN332" s="77"/>
      <c r="AO332" s="77"/>
      <c r="AP332" s="76"/>
      <c r="AQ332" s="81"/>
      <c r="AR332" s="76"/>
      <c r="AS332" s="81"/>
      <c r="AT332" s="76"/>
      <c r="AU332" s="81"/>
      <c r="AV332" s="77"/>
      <c r="AW332" s="81"/>
      <c r="AX332" s="77"/>
      <c r="AY332" s="81"/>
      <c r="AZ332" s="77"/>
      <c r="BA332" s="81"/>
      <c r="BB332" s="77"/>
      <c r="BC332" s="81"/>
      <c r="BD332" s="77"/>
      <c r="BE332" s="81"/>
      <c r="BF332" s="77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77"/>
      <c r="BU332" s="77"/>
      <c r="BV332" s="77"/>
      <c r="BW332" s="77"/>
      <c r="BX332" s="77"/>
      <c r="BY332" s="77"/>
      <c r="BZ332" s="77"/>
      <c r="CA332" s="77"/>
      <c r="CB332" s="77"/>
      <c r="CC332" s="77"/>
      <c r="CD332" s="77"/>
      <c r="CE332" s="77"/>
      <c r="CF332" s="77"/>
      <c r="CG332" s="77"/>
      <c r="CH332" s="77"/>
      <c r="CI332" s="77"/>
      <c r="CJ332" s="77"/>
      <c r="CK332" s="77"/>
      <c r="CL332" s="77"/>
      <c r="CM332" s="77"/>
      <c r="CN332" s="77"/>
      <c r="CO332" s="77"/>
      <c r="CP332" s="77"/>
      <c r="CQ332" s="77"/>
      <c r="CR332" s="77"/>
      <c r="CS332" s="77"/>
      <c r="CT332" s="77"/>
      <c r="CU332" s="77"/>
      <c r="CV332" s="77"/>
      <c r="CW332" s="81">
        <f>AQ331+AS331+AU331+AY331+BA331+BC331+BU331+BW331+BY331+CK331+CO331+CQ331+CS331+CU331+CW331+CM331+CI331+CG331+CE331+CC331+CA331+BS331+BQ331+BO331+BM331+BK331+BI331+BG331+BE331+AW331</f>
        <v>71772747169</v>
      </c>
    </row>
    <row r="333" spans="1:101" ht="16.5" x14ac:dyDescent="0.45">
      <c r="A333" s="76"/>
      <c r="B333" s="77"/>
      <c r="C333" s="77"/>
      <c r="D333" s="78"/>
      <c r="E333" s="80"/>
      <c r="F333" s="80"/>
      <c r="G333" s="81" t="s">
        <v>1975</v>
      </c>
      <c r="H333" s="81">
        <v>104864867750</v>
      </c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82"/>
      <c r="Z333" s="82"/>
      <c r="AA333" s="82"/>
      <c r="AB333" s="80"/>
      <c r="AC333" s="77"/>
      <c r="AD333" s="77"/>
      <c r="AE333" s="77"/>
      <c r="AF333" s="77"/>
      <c r="AG333" s="77"/>
      <c r="AH333" s="77"/>
      <c r="AI333" s="92"/>
      <c r="AJ333" s="77"/>
      <c r="AK333" s="77"/>
      <c r="AL333" s="77"/>
      <c r="AM333" s="77"/>
      <c r="AN333" s="77"/>
      <c r="AO333" s="77"/>
      <c r="AP333" s="76"/>
      <c r="AQ333" s="81"/>
      <c r="AR333" s="76"/>
      <c r="AS333" s="81"/>
      <c r="AT333" s="76"/>
      <c r="AU333" s="81"/>
      <c r="AV333" s="77"/>
      <c r="AW333" s="81"/>
      <c r="AX333" s="77"/>
      <c r="AY333" s="81">
        <f>AY331+BA331+BC331+BE331+BG331</f>
        <v>22996602416</v>
      </c>
      <c r="AZ333" s="77"/>
      <c r="BA333" s="81"/>
      <c r="BB333" s="77"/>
      <c r="BC333" s="81"/>
      <c r="BD333" s="77"/>
      <c r="BE333" s="81"/>
      <c r="BF333" s="77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77"/>
      <c r="BU333" s="77"/>
      <c r="BV333" s="77"/>
      <c r="BW333" s="77"/>
      <c r="BX333" s="77"/>
      <c r="BY333" s="77"/>
      <c r="BZ333" s="77"/>
      <c r="CA333" s="77"/>
      <c r="CB333" s="77"/>
      <c r="CC333" s="77"/>
      <c r="CD333" s="77"/>
      <c r="CE333" s="77"/>
      <c r="CF333" s="77"/>
      <c r="CG333" s="77"/>
      <c r="CH333" s="77"/>
      <c r="CI333" s="77"/>
      <c r="CJ333" s="77"/>
      <c r="CK333" s="77"/>
      <c r="CL333" s="77"/>
      <c r="CM333" s="77"/>
      <c r="CN333" s="77"/>
      <c r="CO333" s="77"/>
      <c r="CP333" s="77"/>
      <c r="CQ333" s="77"/>
      <c r="CR333" s="77"/>
      <c r="CS333" s="77"/>
      <c r="CT333" s="77"/>
      <c r="CU333" s="77"/>
      <c r="CV333" s="77"/>
      <c r="CW333" s="77"/>
    </row>
    <row r="334" spans="1:101" ht="16.5" x14ac:dyDescent="0.45">
      <c r="A334" s="76"/>
      <c r="B334" s="77"/>
      <c r="C334" s="77"/>
      <c r="D334" s="78"/>
      <c r="E334" s="80"/>
      <c r="F334" s="80"/>
      <c r="G334" s="81" t="s">
        <v>1976</v>
      </c>
      <c r="H334" s="81">
        <f>H333-H331</f>
        <v>6051140000</v>
      </c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82"/>
      <c r="Z334" s="82"/>
      <c r="AA334" s="82"/>
      <c r="AB334" s="80"/>
      <c r="AC334" s="77"/>
      <c r="AD334" s="77"/>
      <c r="AE334" s="77"/>
      <c r="AF334" s="77"/>
      <c r="AG334" s="77"/>
      <c r="AH334" s="77"/>
      <c r="AI334" s="92"/>
      <c r="AJ334" s="77"/>
      <c r="AK334" s="77"/>
      <c r="AL334" s="77"/>
      <c r="AM334" s="77"/>
      <c r="AN334" s="77"/>
      <c r="AO334" s="77"/>
      <c r="AP334" s="76"/>
      <c r="AQ334" s="81"/>
      <c r="AR334" s="76"/>
      <c r="AS334" s="81"/>
      <c r="AT334" s="76"/>
      <c r="AU334" s="81"/>
      <c r="AV334" s="77"/>
      <c r="AW334" s="81"/>
      <c r="AX334" s="77"/>
      <c r="AY334" s="81"/>
      <c r="AZ334" s="77"/>
      <c r="BA334" s="81"/>
      <c r="BB334" s="77"/>
      <c r="BC334" s="81"/>
      <c r="BD334" s="77"/>
      <c r="BE334" s="81"/>
      <c r="BF334" s="77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77"/>
      <c r="BU334" s="77"/>
      <c r="BV334" s="77"/>
      <c r="BW334" s="77"/>
      <c r="BX334" s="77"/>
      <c r="BY334" s="77"/>
      <c r="BZ334" s="77"/>
      <c r="CA334" s="77"/>
      <c r="CB334" s="77"/>
      <c r="CC334" s="77"/>
      <c r="CD334" s="77"/>
      <c r="CE334" s="77"/>
      <c r="CF334" s="77"/>
      <c r="CG334" s="77"/>
      <c r="CH334" s="77"/>
      <c r="CI334" s="77"/>
      <c r="CJ334" s="77"/>
      <c r="CK334" s="77"/>
      <c r="CL334" s="77"/>
      <c r="CM334" s="77"/>
      <c r="CN334" s="77"/>
      <c r="CO334" s="77"/>
      <c r="CP334" s="77"/>
      <c r="CQ334" s="77"/>
      <c r="CR334" s="77"/>
      <c r="CS334" s="77"/>
      <c r="CT334" s="77"/>
      <c r="CU334" s="77"/>
      <c r="CV334" s="77"/>
      <c r="CW334" s="77"/>
    </row>
    <row r="335" spans="1:101" ht="16.5" x14ac:dyDescent="0.45">
      <c r="A335" s="76"/>
      <c r="B335" s="77"/>
      <c r="C335" s="77"/>
      <c r="D335" s="78"/>
      <c r="E335" s="80"/>
      <c r="F335" s="80"/>
      <c r="G335" s="81"/>
      <c r="H335" s="81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82"/>
      <c r="Z335" s="82"/>
      <c r="AA335" s="82"/>
      <c r="AB335" s="80"/>
      <c r="AC335" s="77"/>
      <c r="AD335" s="77"/>
      <c r="AE335" s="77"/>
      <c r="AF335" s="77"/>
      <c r="AG335" s="77"/>
      <c r="AH335" s="77"/>
      <c r="AI335" s="92"/>
      <c r="AJ335" s="77"/>
      <c r="AK335" s="77"/>
      <c r="AL335" s="77"/>
      <c r="AM335" s="77"/>
      <c r="AN335" s="77"/>
      <c r="AO335" s="77"/>
      <c r="AP335" s="76"/>
      <c r="AQ335" s="81"/>
      <c r="AR335" s="76"/>
      <c r="AS335" s="81"/>
      <c r="AT335" s="76"/>
      <c r="AU335" s="81"/>
      <c r="AV335" s="77"/>
      <c r="AW335" s="81"/>
      <c r="AX335" s="77"/>
      <c r="AY335" s="81">
        <f>AY333/H331*100</f>
        <v>23.272679757798127</v>
      </c>
      <c r="AZ335" s="77"/>
      <c r="BA335" s="81"/>
      <c r="BB335" s="77"/>
      <c r="BC335" s="81"/>
      <c r="BD335" s="77"/>
      <c r="BE335" s="81"/>
      <c r="BF335" s="77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77"/>
      <c r="BU335" s="77"/>
      <c r="BV335" s="77"/>
      <c r="BW335" s="77"/>
      <c r="BX335" s="77"/>
      <c r="BY335" s="77"/>
      <c r="BZ335" s="77"/>
      <c r="CA335" s="77"/>
      <c r="CB335" s="77"/>
      <c r="CC335" s="77"/>
      <c r="CD335" s="77"/>
      <c r="CE335" s="77"/>
      <c r="CF335" s="77"/>
      <c r="CG335" s="77"/>
      <c r="CH335" s="77"/>
      <c r="CI335" s="77"/>
      <c r="CJ335" s="77"/>
      <c r="CK335" s="77"/>
      <c r="CL335" s="77"/>
      <c r="CM335" s="77"/>
      <c r="CN335" s="77"/>
      <c r="CO335" s="77"/>
      <c r="CP335" s="77"/>
      <c r="CQ335" s="77"/>
      <c r="CR335" s="77"/>
      <c r="CS335" s="77"/>
      <c r="CT335" s="77"/>
      <c r="CU335" s="77"/>
      <c r="CV335" s="77"/>
      <c r="CW335" s="77"/>
    </row>
    <row r="336" spans="1:101" ht="16.5" x14ac:dyDescent="0.45">
      <c r="A336" s="76"/>
      <c r="B336" s="77"/>
      <c r="C336" s="77"/>
      <c r="D336" s="78"/>
      <c r="E336" s="80"/>
      <c r="F336" s="80"/>
      <c r="G336" s="81"/>
      <c r="H336" s="81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82"/>
      <c r="Z336" s="82"/>
      <c r="AA336" s="82"/>
      <c r="AB336" s="80"/>
      <c r="AC336" s="77"/>
      <c r="AD336" s="77"/>
      <c r="AE336" s="77"/>
      <c r="AF336" s="77"/>
      <c r="AG336" s="77"/>
      <c r="AH336" s="77"/>
      <c r="AI336" s="92"/>
      <c r="AJ336" s="77"/>
      <c r="AK336" s="77"/>
      <c r="AL336" s="77"/>
      <c r="AM336" s="77"/>
      <c r="AN336" s="77"/>
      <c r="AO336" s="77"/>
      <c r="AP336" s="76"/>
      <c r="AQ336" s="81"/>
      <c r="AR336" s="76"/>
      <c r="AS336" s="81"/>
      <c r="AT336" s="76"/>
      <c r="AU336" s="81"/>
      <c r="AV336" s="77"/>
      <c r="AW336" s="81"/>
      <c r="AX336" s="77"/>
      <c r="AY336" s="81"/>
      <c r="AZ336" s="77"/>
      <c r="BA336" s="81"/>
      <c r="BB336" s="77"/>
      <c r="BC336" s="81"/>
      <c r="BD336" s="77"/>
      <c r="BE336" s="81"/>
      <c r="BF336" s="77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77"/>
      <c r="BU336" s="77"/>
      <c r="BV336" s="77"/>
      <c r="BW336" s="77"/>
      <c r="BX336" s="77"/>
      <c r="BY336" s="77"/>
      <c r="BZ336" s="77"/>
      <c r="CA336" s="77"/>
      <c r="CB336" s="77"/>
      <c r="CC336" s="77"/>
      <c r="CD336" s="77"/>
      <c r="CE336" s="77"/>
      <c r="CF336" s="77"/>
      <c r="CG336" s="77"/>
      <c r="CH336" s="77"/>
      <c r="CI336" s="77"/>
      <c r="CJ336" s="77"/>
      <c r="CK336" s="77"/>
      <c r="CL336" s="77"/>
      <c r="CM336" s="77"/>
      <c r="CN336" s="77"/>
      <c r="CO336" s="77"/>
      <c r="CP336" s="77"/>
      <c r="CQ336" s="77"/>
      <c r="CR336" s="77"/>
      <c r="CS336" s="77"/>
      <c r="CT336" s="77"/>
      <c r="CU336" s="77"/>
      <c r="CV336" s="77"/>
      <c r="CW336" s="77"/>
    </row>
    <row r="337" spans="1:101" ht="16.5" x14ac:dyDescent="0.45">
      <c r="A337" s="76"/>
      <c r="B337" s="77"/>
      <c r="C337" s="77"/>
      <c r="D337" s="78"/>
      <c r="E337" s="80"/>
      <c r="F337" s="80"/>
      <c r="G337" s="81"/>
      <c r="H337" s="81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82"/>
      <c r="Z337" s="82"/>
      <c r="AA337" s="82"/>
      <c r="AB337" s="80"/>
      <c r="AC337" s="77"/>
      <c r="AD337" s="77"/>
      <c r="AE337" s="77"/>
      <c r="AF337" s="77"/>
      <c r="AG337" s="77"/>
      <c r="AH337" s="77"/>
      <c r="AI337" s="92"/>
      <c r="AJ337" s="77"/>
      <c r="AK337" s="77"/>
      <c r="AL337" s="77"/>
      <c r="AM337" s="77"/>
      <c r="AN337" s="77"/>
      <c r="AO337" s="77"/>
      <c r="AP337" s="76"/>
      <c r="AQ337" s="81"/>
      <c r="AR337" s="76"/>
      <c r="AS337" s="81"/>
      <c r="AT337" s="76"/>
      <c r="AU337" s="81"/>
      <c r="AV337" s="77"/>
      <c r="AW337" s="81"/>
      <c r="AX337" s="77"/>
      <c r="AY337" s="81"/>
      <c r="AZ337" s="77"/>
      <c r="BA337" s="81"/>
      <c r="BB337" s="77"/>
      <c r="BC337" s="81"/>
      <c r="BD337" s="77"/>
      <c r="BE337" s="81"/>
      <c r="BF337" s="77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77"/>
      <c r="BU337" s="77"/>
      <c r="BV337" s="77"/>
      <c r="BW337" s="77"/>
      <c r="BX337" s="77"/>
      <c r="BY337" s="77"/>
      <c r="BZ337" s="77"/>
      <c r="CA337" s="77"/>
      <c r="CB337" s="77"/>
      <c r="CC337" s="77"/>
      <c r="CD337" s="77"/>
      <c r="CE337" s="77"/>
      <c r="CF337" s="77"/>
      <c r="CG337" s="77"/>
      <c r="CH337" s="77"/>
      <c r="CI337" s="77"/>
      <c r="CJ337" s="77"/>
      <c r="CK337" s="77"/>
      <c r="CL337" s="77"/>
      <c r="CM337" s="77"/>
      <c r="CN337" s="77"/>
      <c r="CO337" s="77"/>
      <c r="CP337" s="77"/>
      <c r="CQ337" s="77"/>
      <c r="CR337" s="77"/>
      <c r="CS337" s="77"/>
      <c r="CT337" s="77"/>
      <c r="CU337" s="77"/>
      <c r="CV337" s="77"/>
      <c r="CW337" s="77"/>
    </row>
    <row r="338" spans="1:101" ht="16.5" x14ac:dyDescent="0.45">
      <c r="A338" s="76"/>
      <c r="B338" s="77"/>
      <c r="C338" s="77"/>
      <c r="D338" s="78"/>
      <c r="E338" s="80"/>
      <c r="F338" s="80"/>
      <c r="G338" s="81"/>
      <c r="H338" s="81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82"/>
      <c r="Z338" s="82"/>
      <c r="AA338" s="82"/>
      <c r="AB338" s="80"/>
      <c r="AC338" s="77"/>
      <c r="AD338" s="77"/>
      <c r="AE338" s="77"/>
      <c r="AF338" s="77"/>
      <c r="AG338" s="77"/>
      <c r="AH338" s="77"/>
      <c r="AI338" s="92"/>
      <c r="AJ338" s="77"/>
      <c r="AK338" s="77"/>
      <c r="AL338" s="77"/>
      <c r="AM338" s="77"/>
      <c r="AN338" s="77"/>
      <c r="AO338" s="77"/>
      <c r="AP338" s="76"/>
      <c r="AQ338" s="81"/>
      <c r="AR338" s="76"/>
      <c r="AS338" s="81"/>
      <c r="AT338" s="76"/>
      <c r="AU338" s="81"/>
      <c r="AV338" s="77"/>
      <c r="AW338" s="81"/>
      <c r="AX338" s="77"/>
      <c r="AY338" s="81"/>
      <c r="AZ338" s="77"/>
      <c r="BA338" s="81"/>
      <c r="BB338" s="77"/>
      <c r="BC338" s="81"/>
      <c r="BD338" s="77"/>
      <c r="BE338" s="81"/>
      <c r="BF338" s="77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77"/>
      <c r="BU338" s="77"/>
      <c r="BV338" s="77"/>
      <c r="BW338" s="77"/>
      <c r="BX338" s="77"/>
      <c r="BY338" s="77"/>
      <c r="BZ338" s="77"/>
      <c r="CA338" s="77"/>
      <c r="CB338" s="77"/>
      <c r="CC338" s="77"/>
      <c r="CD338" s="77"/>
      <c r="CE338" s="77"/>
      <c r="CF338" s="77"/>
      <c r="CG338" s="77"/>
      <c r="CH338" s="77"/>
      <c r="CI338" s="77"/>
      <c r="CJ338" s="77"/>
      <c r="CK338" s="77"/>
      <c r="CL338" s="77"/>
      <c r="CM338" s="77"/>
      <c r="CN338" s="77"/>
      <c r="CO338" s="77"/>
      <c r="CP338" s="77"/>
      <c r="CQ338" s="77"/>
      <c r="CR338" s="77"/>
      <c r="CS338" s="77"/>
      <c r="CT338" s="77"/>
      <c r="CU338" s="77"/>
      <c r="CV338" s="77"/>
      <c r="CW338" s="77"/>
    </row>
    <row r="339" spans="1:101" ht="16.5" x14ac:dyDescent="0.45">
      <c r="A339" s="76"/>
      <c r="B339" s="77"/>
      <c r="C339" s="77"/>
      <c r="D339" s="78"/>
      <c r="E339" s="80"/>
      <c r="F339" s="80"/>
      <c r="G339" s="81"/>
      <c r="H339" s="81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82"/>
      <c r="Z339" s="82"/>
      <c r="AA339" s="82"/>
      <c r="AB339" s="80"/>
      <c r="AC339" s="77"/>
      <c r="AD339" s="77"/>
      <c r="AE339" s="77"/>
      <c r="AF339" s="77"/>
      <c r="AG339" s="77"/>
      <c r="AH339" s="77"/>
      <c r="AI339" s="92"/>
      <c r="AJ339" s="77"/>
      <c r="AK339" s="77"/>
      <c r="AL339" s="77"/>
      <c r="AM339" s="77"/>
      <c r="AN339" s="77"/>
      <c r="AO339" s="77"/>
      <c r="AP339" s="76"/>
      <c r="AQ339" s="81"/>
      <c r="AR339" s="76"/>
      <c r="AS339" s="81"/>
      <c r="AT339" s="76"/>
      <c r="AU339" s="81"/>
      <c r="AV339" s="77"/>
      <c r="AW339" s="81"/>
      <c r="AX339" s="77"/>
      <c r="AY339" s="81"/>
      <c r="AZ339" s="77"/>
      <c r="BA339" s="81"/>
      <c r="BB339" s="77"/>
      <c r="BC339" s="81"/>
      <c r="BD339" s="77"/>
      <c r="BE339" s="81"/>
      <c r="BF339" s="77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77"/>
      <c r="BU339" s="77"/>
      <c r="BV339" s="77"/>
      <c r="BW339" s="77"/>
      <c r="BX339" s="77"/>
      <c r="BY339" s="77"/>
      <c r="BZ339" s="77"/>
      <c r="CA339" s="77"/>
      <c r="CB339" s="77"/>
      <c r="CC339" s="77"/>
      <c r="CD339" s="77"/>
      <c r="CE339" s="77"/>
      <c r="CF339" s="77"/>
      <c r="CG339" s="77"/>
      <c r="CH339" s="77"/>
      <c r="CI339" s="77"/>
      <c r="CJ339" s="77"/>
      <c r="CK339" s="77"/>
      <c r="CL339" s="77"/>
      <c r="CM339" s="77"/>
      <c r="CN339" s="77"/>
      <c r="CO339" s="77"/>
      <c r="CP339" s="77"/>
      <c r="CQ339" s="77"/>
      <c r="CR339" s="77"/>
      <c r="CS339" s="77"/>
      <c r="CT339" s="77"/>
      <c r="CU339" s="77"/>
      <c r="CV339" s="77"/>
      <c r="CW339" s="77"/>
    </row>
    <row r="340" spans="1:101" ht="16.5" x14ac:dyDescent="0.45">
      <c r="A340" s="76"/>
      <c r="B340" s="77"/>
      <c r="C340" s="77"/>
      <c r="D340" s="78"/>
      <c r="E340" s="80"/>
      <c r="F340" s="80"/>
      <c r="G340" s="81"/>
      <c r="H340" s="81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82"/>
      <c r="Z340" s="82"/>
      <c r="AA340" s="82"/>
      <c r="AB340" s="80"/>
      <c r="AC340" s="77"/>
      <c r="AD340" s="77"/>
      <c r="AE340" s="77"/>
      <c r="AF340" s="77"/>
      <c r="AG340" s="77"/>
      <c r="AH340" s="77"/>
      <c r="AI340" s="92"/>
      <c r="AJ340" s="77"/>
      <c r="AK340" s="77"/>
      <c r="AL340" s="77"/>
      <c r="AM340" s="77"/>
      <c r="AN340" s="77"/>
      <c r="AO340" s="77"/>
      <c r="AP340" s="76"/>
      <c r="AQ340" s="81"/>
      <c r="AR340" s="76"/>
      <c r="AS340" s="81"/>
      <c r="AT340" s="76"/>
      <c r="AU340" s="81"/>
      <c r="AV340" s="77"/>
      <c r="AW340" s="81"/>
      <c r="AX340" s="77"/>
      <c r="AY340" s="81"/>
      <c r="AZ340" s="77"/>
      <c r="BA340" s="81"/>
      <c r="BB340" s="77"/>
      <c r="BC340" s="81"/>
      <c r="BD340" s="77"/>
      <c r="BE340" s="81"/>
      <c r="BF340" s="77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77"/>
      <c r="BU340" s="77"/>
      <c r="BV340" s="77"/>
      <c r="BW340" s="77"/>
      <c r="BX340" s="77"/>
      <c r="BY340" s="77"/>
      <c r="BZ340" s="77"/>
      <c r="CA340" s="77"/>
      <c r="CB340" s="77"/>
      <c r="CC340" s="77"/>
      <c r="CD340" s="77"/>
      <c r="CE340" s="77"/>
      <c r="CF340" s="77"/>
      <c r="CG340" s="77"/>
      <c r="CH340" s="77"/>
      <c r="CI340" s="77"/>
      <c r="CJ340" s="77"/>
      <c r="CK340" s="77"/>
      <c r="CL340" s="77"/>
      <c r="CM340" s="77"/>
      <c r="CN340" s="77"/>
      <c r="CO340" s="77"/>
      <c r="CP340" s="77"/>
      <c r="CQ340" s="77"/>
      <c r="CR340" s="77"/>
      <c r="CS340" s="77"/>
      <c r="CT340" s="77"/>
      <c r="CU340" s="77"/>
      <c r="CV340" s="77"/>
      <c r="CW340" s="77"/>
    </row>
    <row r="341" spans="1:101" ht="16.5" x14ac:dyDescent="0.45">
      <c r="A341" s="76"/>
      <c r="B341" s="77"/>
      <c r="C341" s="77"/>
      <c r="D341" s="78"/>
      <c r="E341" s="80"/>
      <c r="F341" s="80"/>
      <c r="G341" s="81"/>
      <c r="H341" s="81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82"/>
      <c r="Z341" s="82"/>
      <c r="AA341" s="82"/>
      <c r="AB341" s="80"/>
      <c r="AC341" s="77"/>
      <c r="AD341" s="77"/>
      <c r="AE341" s="77"/>
      <c r="AF341" s="77"/>
      <c r="AG341" s="77"/>
      <c r="AH341" s="77"/>
      <c r="AI341" s="92"/>
      <c r="AJ341" s="77"/>
      <c r="AK341" s="77"/>
      <c r="AL341" s="77"/>
      <c r="AM341" s="77"/>
      <c r="AN341" s="77"/>
      <c r="AO341" s="77"/>
      <c r="AP341" s="76"/>
      <c r="AQ341" s="81"/>
      <c r="AR341" s="76"/>
      <c r="AS341" s="81"/>
      <c r="AT341" s="76"/>
      <c r="AU341" s="81"/>
      <c r="AV341" s="77"/>
      <c r="AW341" s="81"/>
      <c r="AX341" s="77"/>
      <c r="AY341" s="81"/>
      <c r="AZ341" s="77"/>
      <c r="BA341" s="81"/>
      <c r="BB341" s="77"/>
      <c r="BC341" s="81"/>
      <c r="BD341" s="77"/>
      <c r="BE341" s="81"/>
      <c r="BF341" s="77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77"/>
      <c r="BU341" s="77"/>
      <c r="BV341" s="77"/>
      <c r="BW341" s="77"/>
      <c r="BX341" s="77"/>
      <c r="BY341" s="77"/>
      <c r="BZ341" s="77"/>
      <c r="CA341" s="77"/>
      <c r="CB341" s="77"/>
      <c r="CC341" s="77"/>
      <c r="CD341" s="77"/>
      <c r="CE341" s="77"/>
      <c r="CF341" s="77"/>
      <c r="CG341" s="77"/>
      <c r="CH341" s="77"/>
      <c r="CI341" s="77"/>
      <c r="CJ341" s="77"/>
      <c r="CK341" s="77"/>
      <c r="CL341" s="77"/>
      <c r="CM341" s="77"/>
      <c r="CN341" s="77"/>
      <c r="CO341" s="77"/>
      <c r="CP341" s="77"/>
      <c r="CQ341" s="77"/>
      <c r="CR341" s="77"/>
      <c r="CS341" s="77"/>
      <c r="CT341" s="77"/>
      <c r="CU341" s="77"/>
      <c r="CV341" s="77"/>
      <c r="CW341" s="77"/>
    </row>
    <row r="342" spans="1:101" ht="16.5" x14ac:dyDescent="0.45">
      <c r="A342" s="76"/>
      <c r="B342" s="77"/>
      <c r="C342" s="77"/>
      <c r="D342" s="78"/>
      <c r="E342" s="80"/>
      <c r="F342" s="80"/>
      <c r="G342" s="81"/>
      <c r="H342" s="81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82"/>
      <c r="Z342" s="82"/>
      <c r="AA342" s="82"/>
      <c r="AB342" s="80"/>
      <c r="AC342" s="77"/>
      <c r="AD342" s="77"/>
      <c r="AE342" s="77"/>
      <c r="AF342" s="77"/>
      <c r="AG342" s="77"/>
      <c r="AH342" s="77"/>
      <c r="AI342" s="92"/>
      <c r="AJ342" s="77"/>
      <c r="AK342" s="77"/>
      <c r="AL342" s="77"/>
      <c r="AM342" s="77"/>
      <c r="AN342" s="77"/>
      <c r="AO342" s="77"/>
      <c r="AP342" s="76"/>
      <c r="AQ342" s="81"/>
      <c r="AR342" s="76"/>
      <c r="AS342" s="81"/>
      <c r="AT342" s="76"/>
      <c r="AU342" s="81"/>
      <c r="AV342" s="77"/>
      <c r="AW342" s="81"/>
      <c r="AX342" s="77"/>
      <c r="AY342" s="81"/>
      <c r="AZ342" s="77"/>
      <c r="BA342" s="81"/>
      <c r="BB342" s="77"/>
      <c r="BC342" s="81"/>
      <c r="BD342" s="77"/>
      <c r="BE342" s="81"/>
      <c r="BF342" s="77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77"/>
      <c r="BU342" s="77"/>
      <c r="BV342" s="77"/>
      <c r="BW342" s="77"/>
      <c r="BX342" s="77"/>
      <c r="BY342" s="77"/>
      <c r="BZ342" s="77"/>
      <c r="CA342" s="77"/>
      <c r="CB342" s="77"/>
      <c r="CC342" s="77"/>
      <c r="CD342" s="77"/>
      <c r="CE342" s="77"/>
      <c r="CF342" s="77"/>
      <c r="CG342" s="77"/>
      <c r="CH342" s="77"/>
      <c r="CI342" s="77"/>
      <c r="CJ342" s="77"/>
      <c r="CK342" s="77"/>
      <c r="CL342" s="77"/>
      <c r="CM342" s="77"/>
      <c r="CN342" s="77"/>
      <c r="CO342" s="77"/>
      <c r="CP342" s="77"/>
      <c r="CQ342" s="77"/>
      <c r="CR342" s="77"/>
      <c r="CS342" s="77"/>
      <c r="CT342" s="77"/>
      <c r="CU342" s="77"/>
      <c r="CV342" s="77"/>
      <c r="CW342" s="77"/>
    </row>
    <row r="343" spans="1:101" ht="16.5" x14ac:dyDescent="0.45">
      <c r="A343" s="76"/>
      <c r="B343" s="77"/>
      <c r="C343" s="77"/>
      <c r="D343" s="78"/>
      <c r="E343" s="80"/>
      <c r="F343" s="80"/>
      <c r="G343" s="81"/>
      <c r="H343" s="81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82"/>
      <c r="Z343" s="82"/>
      <c r="AA343" s="82"/>
      <c r="AB343" s="80"/>
      <c r="AC343" s="77"/>
      <c r="AD343" s="77"/>
      <c r="AE343" s="77"/>
      <c r="AF343" s="77"/>
      <c r="AG343" s="77"/>
      <c r="AH343" s="77"/>
      <c r="AI343" s="92"/>
      <c r="AJ343" s="77"/>
      <c r="AK343" s="77"/>
      <c r="AL343" s="77"/>
      <c r="AM343" s="77"/>
      <c r="AN343" s="77"/>
      <c r="AO343" s="77"/>
      <c r="AP343" s="76"/>
      <c r="AQ343" s="81"/>
      <c r="AR343" s="76"/>
      <c r="AS343" s="81"/>
      <c r="AT343" s="76"/>
      <c r="AU343" s="81"/>
      <c r="AV343" s="77"/>
      <c r="AW343" s="81"/>
      <c r="AX343" s="77"/>
      <c r="AY343" s="81"/>
      <c r="AZ343" s="77"/>
      <c r="BA343" s="81"/>
      <c r="BB343" s="77"/>
      <c r="BC343" s="81"/>
      <c r="BD343" s="77"/>
      <c r="BE343" s="81"/>
      <c r="BF343" s="77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77"/>
      <c r="BU343" s="77"/>
      <c r="BV343" s="77"/>
      <c r="BW343" s="77"/>
      <c r="BX343" s="77"/>
      <c r="BY343" s="77"/>
      <c r="BZ343" s="77"/>
      <c r="CA343" s="77"/>
      <c r="CB343" s="77"/>
      <c r="CC343" s="77"/>
      <c r="CD343" s="77"/>
      <c r="CE343" s="77"/>
      <c r="CF343" s="77"/>
      <c r="CG343" s="77"/>
      <c r="CH343" s="77"/>
      <c r="CI343" s="77"/>
      <c r="CJ343" s="77"/>
      <c r="CK343" s="77"/>
      <c r="CL343" s="77"/>
      <c r="CM343" s="77"/>
      <c r="CN343" s="77"/>
      <c r="CO343" s="77"/>
      <c r="CP343" s="77"/>
      <c r="CQ343" s="77"/>
      <c r="CR343" s="77"/>
      <c r="CS343" s="77"/>
      <c r="CT343" s="77"/>
      <c r="CU343" s="77"/>
      <c r="CV343" s="77"/>
      <c r="CW343" s="77"/>
    </row>
    <row r="344" spans="1:101" ht="16.5" x14ac:dyDescent="0.45">
      <c r="A344" s="76"/>
      <c r="B344" s="77"/>
      <c r="C344" s="77"/>
      <c r="D344" s="78"/>
      <c r="E344" s="80"/>
      <c r="F344" s="80"/>
      <c r="G344" s="81"/>
      <c r="H344" s="81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82"/>
      <c r="Z344" s="82"/>
      <c r="AA344" s="82"/>
      <c r="AB344" s="80"/>
      <c r="AC344" s="77"/>
      <c r="AD344" s="77"/>
      <c r="AE344" s="77"/>
      <c r="AF344" s="77"/>
      <c r="AG344" s="77"/>
      <c r="AH344" s="77"/>
      <c r="AI344" s="92"/>
      <c r="AJ344" s="77"/>
      <c r="AK344" s="77"/>
      <c r="AL344" s="77"/>
      <c r="AM344" s="77"/>
      <c r="AN344" s="77"/>
      <c r="AO344" s="77"/>
      <c r="AP344" s="76"/>
      <c r="AQ344" s="81"/>
      <c r="AR344" s="76"/>
      <c r="AS344" s="81"/>
      <c r="AT344" s="76"/>
      <c r="AU344" s="81"/>
      <c r="AV344" s="77"/>
      <c r="AW344" s="81"/>
      <c r="AX344" s="77"/>
      <c r="AY344" s="81"/>
      <c r="AZ344" s="77"/>
      <c r="BA344" s="81"/>
      <c r="BB344" s="77"/>
      <c r="BC344" s="81"/>
      <c r="BD344" s="77"/>
      <c r="BE344" s="81"/>
      <c r="BF344" s="77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77"/>
      <c r="BU344" s="77"/>
      <c r="BV344" s="77"/>
      <c r="BW344" s="77"/>
      <c r="BX344" s="77"/>
      <c r="BY344" s="77"/>
      <c r="BZ344" s="77"/>
      <c r="CA344" s="77"/>
      <c r="CB344" s="77"/>
      <c r="CC344" s="77"/>
      <c r="CD344" s="77"/>
      <c r="CE344" s="77"/>
      <c r="CF344" s="77"/>
      <c r="CG344" s="77"/>
      <c r="CH344" s="77"/>
      <c r="CI344" s="77"/>
      <c r="CJ344" s="77"/>
      <c r="CK344" s="77"/>
      <c r="CL344" s="77"/>
      <c r="CM344" s="77"/>
      <c r="CN344" s="77"/>
      <c r="CO344" s="77"/>
      <c r="CP344" s="77"/>
      <c r="CQ344" s="77"/>
      <c r="CR344" s="77"/>
      <c r="CS344" s="77"/>
      <c r="CT344" s="77"/>
      <c r="CU344" s="77"/>
      <c r="CV344" s="77"/>
      <c r="CW344" s="77"/>
    </row>
    <row r="345" spans="1:101" ht="16.5" x14ac:dyDescent="0.45">
      <c r="A345" s="76"/>
      <c r="B345" s="77"/>
      <c r="C345" s="77"/>
      <c r="D345" s="78"/>
      <c r="E345" s="80"/>
      <c r="F345" s="80"/>
      <c r="G345" s="81"/>
      <c r="H345" s="81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82"/>
      <c r="Z345" s="82"/>
      <c r="AA345" s="82"/>
      <c r="AB345" s="80"/>
      <c r="AC345" s="77"/>
      <c r="AD345" s="77"/>
      <c r="AE345" s="77"/>
      <c r="AF345" s="77"/>
      <c r="AG345" s="77"/>
      <c r="AH345" s="77"/>
      <c r="AI345" s="92"/>
      <c r="AJ345" s="77"/>
      <c r="AK345" s="77"/>
      <c r="AL345" s="77"/>
      <c r="AM345" s="77"/>
      <c r="AN345" s="77"/>
      <c r="AO345" s="77"/>
      <c r="AP345" s="76"/>
      <c r="AQ345" s="81"/>
      <c r="AR345" s="76"/>
      <c r="AS345" s="81"/>
      <c r="AT345" s="76"/>
      <c r="AU345" s="81"/>
      <c r="AV345" s="77"/>
      <c r="AW345" s="81"/>
      <c r="AX345" s="77"/>
      <c r="AY345" s="81"/>
      <c r="AZ345" s="77"/>
      <c r="BA345" s="81"/>
      <c r="BB345" s="77"/>
      <c r="BC345" s="81"/>
      <c r="BD345" s="77"/>
      <c r="BE345" s="81"/>
      <c r="BF345" s="77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77"/>
      <c r="BU345" s="77"/>
      <c r="BV345" s="77"/>
      <c r="BW345" s="77"/>
      <c r="BX345" s="77"/>
      <c r="BY345" s="77"/>
      <c r="BZ345" s="77"/>
      <c r="CA345" s="77"/>
      <c r="CB345" s="77"/>
      <c r="CC345" s="77"/>
      <c r="CD345" s="77"/>
      <c r="CE345" s="77"/>
      <c r="CF345" s="77"/>
      <c r="CG345" s="77"/>
      <c r="CH345" s="77"/>
      <c r="CI345" s="77"/>
      <c r="CJ345" s="77"/>
      <c r="CK345" s="77"/>
      <c r="CL345" s="77"/>
      <c r="CM345" s="77"/>
      <c r="CN345" s="77"/>
      <c r="CO345" s="77"/>
      <c r="CP345" s="77"/>
      <c r="CQ345" s="77"/>
      <c r="CR345" s="77"/>
      <c r="CS345" s="77"/>
      <c r="CT345" s="77"/>
      <c r="CU345" s="77"/>
      <c r="CV345" s="77"/>
      <c r="CW345" s="77"/>
    </row>
    <row r="346" spans="1:101" ht="16.5" x14ac:dyDescent="0.45">
      <c r="A346" s="76"/>
      <c r="B346" s="77"/>
      <c r="C346" s="77"/>
      <c r="D346" s="78"/>
      <c r="E346" s="80"/>
      <c r="F346" s="80"/>
      <c r="G346" s="81"/>
      <c r="H346" s="81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82"/>
      <c r="Z346" s="82"/>
      <c r="AA346" s="82"/>
      <c r="AB346" s="80"/>
      <c r="AC346" s="77"/>
      <c r="AD346" s="77"/>
      <c r="AE346" s="77"/>
      <c r="AF346" s="77"/>
      <c r="AG346" s="77"/>
      <c r="AH346" s="77"/>
      <c r="AI346" s="92"/>
      <c r="AJ346" s="77"/>
      <c r="AK346" s="77"/>
      <c r="AL346" s="77"/>
      <c r="AM346" s="77"/>
      <c r="AN346" s="77"/>
      <c r="AO346" s="77"/>
      <c r="AP346" s="76"/>
      <c r="AQ346" s="81"/>
      <c r="AR346" s="76"/>
      <c r="AS346" s="81"/>
      <c r="AT346" s="76"/>
      <c r="AU346" s="81"/>
      <c r="AV346" s="77"/>
      <c r="AW346" s="81"/>
      <c r="AX346" s="77"/>
      <c r="AY346" s="81"/>
      <c r="AZ346" s="77"/>
      <c r="BA346" s="81"/>
      <c r="BB346" s="77"/>
      <c r="BC346" s="81"/>
      <c r="BD346" s="77"/>
      <c r="BE346" s="81"/>
      <c r="BF346" s="77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77"/>
      <c r="BU346" s="77"/>
      <c r="BV346" s="77"/>
      <c r="BW346" s="77"/>
      <c r="BX346" s="77"/>
      <c r="BY346" s="77"/>
      <c r="BZ346" s="77"/>
      <c r="CA346" s="77"/>
      <c r="CB346" s="77"/>
      <c r="CC346" s="77"/>
      <c r="CD346" s="77"/>
      <c r="CE346" s="77"/>
      <c r="CF346" s="77"/>
      <c r="CG346" s="77"/>
      <c r="CH346" s="77"/>
      <c r="CI346" s="77"/>
      <c r="CJ346" s="77"/>
      <c r="CK346" s="77"/>
      <c r="CL346" s="77"/>
      <c r="CM346" s="77"/>
      <c r="CN346" s="77"/>
      <c r="CO346" s="77"/>
      <c r="CP346" s="77"/>
      <c r="CQ346" s="77"/>
      <c r="CR346" s="77"/>
      <c r="CS346" s="77"/>
      <c r="CT346" s="77"/>
      <c r="CU346" s="77"/>
      <c r="CV346" s="77"/>
      <c r="CW346" s="77"/>
    </row>
    <row r="347" spans="1:101" ht="16.5" x14ac:dyDescent="0.45">
      <c r="A347" s="76"/>
      <c r="B347" s="77"/>
      <c r="C347" s="77"/>
      <c r="D347" s="78"/>
      <c r="E347" s="80"/>
      <c r="F347" s="80"/>
      <c r="G347" s="81"/>
      <c r="H347" s="81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82"/>
      <c r="Z347" s="82"/>
      <c r="AA347" s="82"/>
      <c r="AB347" s="80"/>
      <c r="AC347" s="77"/>
      <c r="AD347" s="77"/>
      <c r="AE347" s="77"/>
      <c r="AF347" s="77"/>
      <c r="AG347" s="77"/>
      <c r="AH347" s="77"/>
      <c r="AI347" s="92"/>
      <c r="AJ347" s="77"/>
      <c r="AK347" s="77"/>
      <c r="AL347" s="77"/>
      <c r="AM347" s="77"/>
      <c r="AN347" s="77"/>
      <c r="AO347" s="77"/>
      <c r="AP347" s="76"/>
      <c r="AQ347" s="81"/>
      <c r="AR347" s="76"/>
      <c r="AS347" s="81"/>
      <c r="AT347" s="76"/>
      <c r="AU347" s="81"/>
      <c r="AV347" s="77"/>
      <c r="AW347" s="81"/>
      <c r="AX347" s="77"/>
      <c r="AY347" s="81"/>
      <c r="AZ347" s="77"/>
      <c r="BA347" s="81"/>
      <c r="BB347" s="77"/>
      <c r="BC347" s="81"/>
      <c r="BD347" s="77"/>
      <c r="BE347" s="81"/>
      <c r="BF347" s="77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77"/>
      <c r="BU347" s="77"/>
      <c r="BV347" s="77"/>
      <c r="BW347" s="77"/>
      <c r="BX347" s="77"/>
      <c r="BY347" s="77"/>
      <c r="BZ347" s="77"/>
      <c r="CA347" s="77"/>
      <c r="CB347" s="77"/>
      <c r="CC347" s="77"/>
      <c r="CD347" s="77"/>
      <c r="CE347" s="77"/>
      <c r="CF347" s="77"/>
      <c r="CG347" s="77"/>
      <c r="CH347" s="77"/>
      <c r="CI347" s="77"/>
      <c r="CJ347" s="77"/>
      <c r="CK347" s="77"/>
      <c r="CL347" s="77"/>
      <c r="CM347" s="77"/>
      <c r="CN347" s="77"/>
      <c r="CO347" s="77"/>
      <c r="CP347" s="77"/>
      <c r="CQ347" s="77"/>
      <c r="CR347" s="77"/>
      <c r="CS347" s="77"/>
      <c r="CT347" s="77"/>
      <c r="CU347" s="77"/>
      <c r="CV347" s="77"/>
      <c r="CW347" s="77"/>
    </row>
    <row r="348" spans="1:101" ht="16.5" x14ac:dyDescent="0.45">
      <c r="A348" s="76"/>
      <c r="B348" s="77"/>
      <c r="C348" s="77"/>
      <c r="D348" s="78"/>
      <c r="E348" s="80"/>
      <c r="F348" s="80"/>
      <c r="G348" s="81"/>
      <c r="H348" s="81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82"/>
      <c r="Z348" s="82"/>
      <c r="AA348" s="82"/>
      <c r="AB348" s="80"/>
      <c r="AC348" s="77"/>
      <c r="AD348" s="77"/>
      <c r="AE348" s="77"/>
      <c r="AF348" s="77"/>
      <c r="AG348" s="77"/>
      <c r="AH348" s="77"/>
      <c r="AI348" s="92"/>
      <c r="AJ348" s="77"/>
      <c r="AK348" s="77"/>
      <c r="AL348" s="77"/>
      <c r="AM348" s="77"/>
      <c r="AN348" s="77"/>
      <c r="AO348" s="77"/>
      <c r="AP348" s="76"/>
      <c r="AQ348" s="81"/>
      <c r="AR348" s="76"/>
      <c r="AS348" s="81"/>
      <c r="AT348" s="76"/>
      <c r="AU348" s="81"/>
      <c r="AV348" s="77"/>
      <c r="AW348" s="81"/>
      <c r="AX348" s="77"/>
      <c r="AY348" s="81"/>
      <c r="AZ348" s="77"/>
      <c r="BA348" s="81"/>
      <c r="BB348" s="77"/>
      <c r="BC348" s="81"/>
      <c r="BD348" s="77"/>
      <c r="BE348" s="81"/>
      <c r="BF348" s="77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77"/>
      <c r="BU348" s="77"/>
      <c r="BV348" s="77"/>
      <c r="BW348" s="77"/>
      <c r="BX348" s="77"/>
      <c r="BY348" s="77"/>
      <c r="BZ348" s="77"/>
      <c r="CA348" s="77"/>
      <c r="CB348" s="77"/>
      <c r="CC348" s="77"/>
      <c r="CD348" s="77"/>
      <c r="CE348" s="77"/>
      <c r="CF348" s="77"/>
      <c r="CG348" s="77"/>
      <c r="CH348" s="77"/>
      <c r="CI348" s="77"/>
      <c r="CJ348" s="77"/>
      <c r="CK348" s="77"/>
      <c r="CL348" s="77"/>
      <c r="CM348" s="77"/>
      <c r="CN348" s="77"/>
      <c r="CO348" s="77"/>
      <c r="CP348" s="77"/>
      <c r="CQ348" s="77"/>
      <c r="CR348" s="77"/>
      <c r="CS348" s="77"/>
      <c r="CT348" s="77"/>
      <c r="CU348" s="77"/>
      <c r="CV348" s="77"/>
      <c r="CW348" s="77"/>
    </row>
    <row r="349" spans="1:101" ht="16.5" x14ac:dyDescent="0.45">
      <c r="A349" s="76"/>
      <c r="B349" s="77"/>
      <c r="C349" s="77"/>
      <c r="D349" s="78"/>
      <c r="E349" s="80"/>
      <c r="F349" s="80"/>
      <c r="G349" s="81"/>
      <c r="H349" s="81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82"/>
      <c r="Z349" s="82"/>
      <c r="AA349" s="82"/>
      <c r="AB349" s="80"/>
      <c r="AC349" s="77"/>
      <c r="AD349" s="77"/>
      <c r="AE349" s="77"/>
      <c r="AF349" s="77"/>
      <c r="AG349" s="77"/>
      <c r="AH349" s="77"/>
      <c r="AI349" s="92"/>
      <c r="AJ349" s="77"/>
      <c r="AK349" s="77"/>
      <c r="AL349" s="77"/>
      <c r="AM349" s="77"/>
      <c r="AN349" s="77"/>
      <c r="AO349" s="77"/>
      <c r="AP349" s="76"/>
      <c r="AQ349" s="81"/>
      <c r="AR349" s="76"/>
      <c r="AS349" s="81"/>
      <c r="AT349" s="76"/>
      <c r="AU349" s="81"/>
      <c r="AV349" s="77"/>
      <c r="AW349" s="81"/>
      <c r="AX349" s="77"/>
      <c r="AY349" s="81"/>
      <c r="AZ349" s="77"/>
      <c r="BA349" s="81"/>
      <c r="BB349" s="77"/>
      <c r="BC349" s="81"/>
      <c r="BD349" s="77"/>
      <c r="BE349" s="81"/>
      <c r="BF349" s="77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77"/>
      <c r="BU349" s="77"/>
      <c r="BV349" s="77"/>
      <c r="BW349" s="77"/>
      <c r="BX349" s="77"/>
      <c r="BY349" s="77"/>
      <c r="BZ349" s="77"/>
      <c r="CA349" s="77"/>
      <c r="CB349" s="77"/>
      <c r="CC349" s="77"/>
      <c r="CD349" s="77"/>
      <c r="CE349" s="77"/>
      <c r="CF349" s="77"/>
      <c r="CG349" s="77"/>
      <c r="CH349" s="77"/>
      <c r="CI349" s="77"/>
      <c r="CJ349" s="77"/>
      <c r="CK349" s="77"/>
      <c r="CL349" s="77"/>
      <c r="CM349" s="77"/>
      <c r="CN349" s="77"/>
      <c r="CO349" s="77"/>
      <c r="CP349" s="77"/>
      <c r="CQ349" s="77"/>
      <c r="CR349" s="77"/>
      <c r="CS349" s="77"/>
      <c r="CT349" s="77"/>
      <c r="CU349" s="77"/>
      <c r="CV349" s="77"/>
      <c r="CW349" s="77"/>
    </row>
    <row r="350" spans="1:101" ht="16.5" x14ac:dyDescent="0.45">
      <c r="A350" s="76"/>
      <c r="B350" s="77"/>
      <c r="C350" s="77"/>
      <c r="D350" s="78"/>
      <c r="E350" s="80"/>
      <c r="F350" s="80"/>
      <c r="G350" s="81"/>
      <c r="H350" s="81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82"/>
      <c r="Z350" s="82"/>
      <c r="AA350" s="82"/>
      <c r="AB350" s="80"/>
      <c r="AC350" s="77"/>
      <c r="AD350" s="77"/>
      <c r="AE350" s="77"/>
      <c r="AF350" s="77"/>
      <c r="AG350" s="77"/>
      <c r="AH350" s="77"/>
      <c r="AI350" s="92"/>
      <c r="AJ350" s="77"/>
      <c r="AK350" s="77"/>
      <c r="AL350" s="77"/>
      <c r="AM350" s="77"/>
      <c r="AN350" s="77"/>
      <c r="AO350" s="77"/>
      <c r="AP350" s="76"/>
      <c r="AQ350" s="81"/>
      <c r="AR350" s="76"/>
      <c r="AS350" s="81"/>
      <c r="AT350" s="76"/>
      <c r="AU350" s="81"/>
      <c r="AV350" s="77"/>
      <c r="AW350" s="81"/>
      <c r="AX350" s="77"/>
      <c r="AY350" s="81"/>
      <c r="AZ350" s="77"/>
      <c r="BA350" s="81"/>
      <c r="BB350" s="77"/>
      <c r="BC350" s="81"/>
      <c r="BD350" s="77"/>
      <c r="BE350" s="81"/>
      <c r="BF350" s="77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77"/>
      <c r="BU350" s="77"/>
      <c r="BV350" s="77"/>
      <c r="BW350" s="77"/>
      <c r="BX350" s="77"/>
      <c r="BY350" s="77"/>
      <c r="BZ350" s="77"/>
      <c r="CA350" s="77"/>
      <c r="CB350" s="77"/>
      <c r="CC350" s="77"/>
      <c r="CD350" s="77"/>
      <c r="CE350" s="77"/>
      <c r="CF350" s="77"/>
      <c r="CG350" s="77"/>
      <c r="CH350" s="77"/>
      <c r="CI350" s="77"/>
      <c r="CJ350" s="77"/>
      <c r="CK350" s="77"/>
      <c r="CL350" s="77"/>
      <c r="CM350" s="77"/>
      <c r="CN350" s="77"/>
      <c r="CO350" s="77"/>
      <c r="CP350" s="77"/>
      <c r="CQ350" s="77"/>
      <c r="CR350" s="77"/>
      <c r="CS350" s="77"/>
      <c r="CT350" s="77"/>
      <c r="CU350" s="77"/>
      <c r="CV350" s="77"/>
      <c r="CW350" s="77"/>
    </row>
    <row r="351" spans="1:101" ht="16.5" x14ac:dyDescent="0.45">
      <c r="A351" s="76"/>
      <c r="B351" s="77"/>
      <c r="C351" s="77"/>
      <c r="D351" s="78"/>
      <c r="E351" s="80"/>
      <c r="F351" s="80"/>
      <c r="G351" s="81"/>
      <c r="H351" s="81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82"/>
      <c r="Z351" s="82"/>
      <c r="AA351" s="82"/>
      <c r="AB351" s="80"/>
      <c r="AC351" s="77"/>
      <c r="AD351" s="77"/>
      <c r="AE351" s="77"/>
      <c r="AF351" s="77"/>
      <c r="AG351" s="77"/>
      <c r="AH351" s="77"/>
      <c r="AI351" s="92"/>
      <c r="AJ351" s="77"/>
      <c r="AK351" s="77"/>
      <c r="AL351" s="77"/>
      <c r="AM351" s="77"/>
      <c r="AN351" s="77"/>
      <c r="AO351" s="77"/>
      <c r="AP351" s="76"/>
      <c r="AQ351" s="81"/>
      <c r="AR351" s="76"/>
      <c r="AS351" s="81"/>
      <c r="AT351" s="76"/>
      <c r="AU351" s="81"/>
      <c r="AV351" s="77"/>
      <c r="AW351" s="81"/>
      <c r="AX351" s="77"/>
      <c r="AY351" s="81"/>
      <c r="AZ351" s="77"/>
      <c r="BA351" s="81"/>
      <c r="BB351" s="77"/>
      <c r="BC351" s="81"/>
      <c r="BD351" s="77"/>
      <c r="BE351" s="81"/>
      <c r="BF351" s="77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77"/>
      <c r="BU351" s="77"/>
      <c r="BV351" s="77"/>
      <c r="BW351" s="77"/>
      <c r="BX351" s="77"/>
      <c r="BY351" s="77"/>
      <c r="BZ351" s="77"/>
      <c r="CA351" s="77"/>
      <c r="CB351" s="77"/>
      <c r="CC351" s="77"/>
      <c r="CD351" s="77"/>
      <c r="CE351" s="77"/>
      <c r="CF351" s="77"/>
      <c r="CG351" s="77"/>
      <c r="CH351" s="77"/>
      <c r="CI351" s="77"/>
      <c r="CJ351" s="77"/>
      <c r="CK351" s="77"/>
      <c r="CL351" s="77"/>
      <c r="CM351" s="77"/>
      <c r="CN351" s="77"/>
      <c r="CO351" s="77"/>
      <c r="CP351" s="77"/>
      <c r="CQ351" s="77"/>
      <c r="CR351" s="77"/>
      <c r="CS351" s="77"/>
      <c r="CT351" s="77"/>
      <c r="CU351" s="77"/>
      <c r="CV351" s="77"/>
      <c r="CW351" s="77"/>
    </row>
    <row r="352" spans="1:101" ht="16.5" x14ac:dyDescent="0.45">
      <c r="A352" s="76"/>
      <c r="B352" s="77"/>
      <c r="C352" s="77"/>
      <c r="D352" s="78"/>
      <c r="E352" s="80"/>
      <c r="F352" s="80"/>
      <c r="G352" s="81"/>
      <c r="H352" s="81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82"/>
      <c r="Z352" s="82"/>
      <c r="AA352" s="82"/>
      <c r="AB352" s="80"/>
      <c r="AC352" s="77"/>
      <c r="AD352" s="77"/>
      <c r="AE352" s="77"/>
      <c r="AF352" s="77"/>
      <c r="AG352" s="77"/>
      <c r="AH352" s="77"/>
      <c r="AI352" s="92"/>
      <c r="AJ352" s="77"/>
      <c r="AK352" s="77"/>
      <c r="AL352" s="77"/>
      <c r="AM352" s="77"/>
      <c r="AN352" s="77"/>
      <c r="AO352" s="77"/>
      <c r="AP352" s="76"/>
      <c r="AQ352" s="81"/>
      <c r="AR352" s="76"/>
      <c r="AS352" s="81"/>
      <c r="AT352" s="76"/>
      <c r="AU352" s="81"/>
      <c r="AV352" s="77"/>
      <c r="AW352" s="81"/>
      <c r="AX352" s="77"/>
      <c r="AY352" s="81"/>
      <c r="AZ352" s="77"/>
      <c r="BA352" s="81"/>
      <c r="BB352" s="77"/>
      <c r="BC352" s="81"/>
      <c r="BD352" s="77"/>
      <c r="BE352" s="81"/>
      <c r="BF352" s="77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77"/>
      <c r="BU352" s="77"/>
      <c r="BV352" s="77"/>
      <c r="BW352" s="77"/>
      <c r="BX352" s="77"/>
      <c r="BY352" s="77"/>
      <c r="BZ352" s="77"/>
      <c r="CA352" s="77"/>
      <c r="CB352" s="77"/>
      <c r="CC352" s="77"/>
      <c r="CD352" s="77"/>
      <c r="CE352" s="77"/>
      <c r="CF352" s="77"/>
      <c r="CG352" s="77"/>
      <c r="CH352" s="77"/>
      <c r="CI352" s="77"/>
      <c r="CJ352" s="77"/>
      <c r="CK352" s="77"/>
      <c r="CL352" s="77"/>
      <c r="CM352" s="77"/>
      <c r="CN352" s="77"/>
      <c r="CO352" s="77"/>
      <c r="CP352" s="77"/>
      <c r="CQ352" s="77"/>
      <c r="CR352" s="77"/>
      <c r="CS352" s="77"/>
      <c r="CT352" s="77"/>
      <c r="CU352" s="77"/>
      <c r="CV352" s="77"/>
      <c r="CW352" s="77"/>
    </row>
    <row r="353" spans="1:101" ht="16.5" x14ac:dyDescent="0.45">
      <c r="A353" s="76"/>
      <c r="B353" s="77"/>
      <c r="C353" s="77"/>
      <c r="D353" s="78"/>
      <c r="E353" s="80"/>
      <c r="F353" s="80"/>
      <c r="G353" s="81"/>
      <c r="H353" s="81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82"/>
      <c r="Z353" s="82"/>
      <c r="AA353" s="82"/>
      <c r="AB353" s="80"/>
      <c r="AC353" s="77"/>
      <c r="AD353" s="77"/>
      <c r="AE353" s="77"/>
      <c r="AF353" s="77"/>
      <c r="AG353" s="77"/>
      <c r="AH353" s="77"/>
      <c r="AI353" s="92"/>
      <c r="AJ353" s="77"/>
      <c r="AK353" s="77"/>
      <c r="AL353" s="77"/>
      <c r="AM353" s="77"/>
      <c r="AN353" s="77"/>
      <c r="AO353" s="77"/>
      <c r="AP353" s="76"/>
      <c r="AQ353" s="81"/>
      <c r="AR353" s="76"/>
      <c r="AS353" s="81"/>
      <c r="AT353" s="76"/>
      <c r="AU353" s="81"/>
      <c r="AV353" s="77"/>
      <c r="AW353" s="81"/>
      <c r="AX353" s="77"/>
      <c r="AY353" s="81"/>
      <c r="AZ353" s="77"/>
      <c r="BA353" s="81"/>
      <c r="BB353" s="77"/>
      <c r="BC353" s="81"/>
      <c r="BD353" s="77"/>
      <c r="BE353" s="81"/>
      <c r="BF353" s="77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77"/>
      <c r="BU353" s="77"/>
      <c r="BV353" s="77"/>
      <c r="BW353" s="77"/>
      <c r="BX353" s="77"/>
      <c r="BY353" s="77"/>
      <c r="BZ353" s="77"/>
      <c r="CA353" s="77"/>
      <c r="CB353" s="77"/>
      <c r="CC353" s="77"/>
      <c r="CD353" s="77"/>
      <c r="CE353" s="77"/>
      <c r="CF353" s="77"/>
      <c r="CG353" s="77"/>
      <c r="CH353" s="77"/>
      <c r="CI353" s="77"/>
      <c r="CJ353" s="77"/>
      <c r="CK353" s="77"/>
      <c r="CL353" s="77"/>
      <c r="CM353" s="77"/>
      <c r="CN353" s="77"/>
      <c r="CO353" s="77"/>
      <c r="CP353" s="77"/>
      <c r="CQ353" s="77"/>
      <c r="CR353" s="77"/>
      <c r="CS353" s="77"/>
      <c r="CT353" s="77"/>
      <c r="CU353" s="77"/>
      <c r="CV353" s="77"/>
      <c r="CW353" s="77"/>
    </row>
    <row r="354" spans="1:101" ht="16.5" x14ac:dyDescent="0.45">
      <c r="A354" s="76"/>
      <c r="B354" s="77"/>
      <c r="C354" s="77"/>
      <c r="D354" s="78"/>
      <c r="E354" s="80"/>
      <c r="F354" s="80"/>
      <c r="G354" s="81"/>
      <c r="H354" s="81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82"/>
      <c r="Z354" s="82"/>
      <c r="AA354" s="82"/>
      <c r="AB354" s="80"/>
      <c r="AC354" s="77"/>
      <c r="AD354" s="77"/>
      <c r="AE354" s="77"/>
      <c r="AF354" s="77"/>
      <c r="AG354" s="77"/>
      <c r="AH354" s="77"/>
      <c r="AI354" s="92"/>
      <c r="AJ354" s="77"/>
      <c r="AK354" s="77"/>
      <c r="AL354" s="77"/>
      <c r="AM354" s="77"/>
      <c r="AN354" s="77"/>
      <c r="AO354" s="77"/>
      <c r="AP354" s="76"/>
      <c r="AQ354" s="81"/>
      <c r="AR354" s="76"/>
      <c r="AS354" s="81"/>
      <c r="AT354" s="76"/>
      <c r="AU354" s="81"/>
      <c r="AV354" s="77"/>
      <c r="AW354" s="81"/>
      <c r="AX354" s="77"/>
      <c r="AY354" s="81"/>
      <c r="AZ354" s="77"/>
      <c r="BA354" s="81"/>
      <c r="BB354" s="77"/>
      <c r="BC354" s="81"/>
      <c r="BD354" s="77"/>
      <c r="BE354" s="81"/>
      <c r="BF354" s="77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77"/>
      <c r="BU354" s="77"/>
      <c r="BV354" s="77"/>
      <c r="BW354" s="77"/>
      <c r="BX354" s="77"/>
      <c r="BY354" s="77"/>
      <c r="BZ354" s="77"/>
      <c r="CA354" s="77"/>
      <c r="CB354" s="77"/>
      <c r="CC354" s="77"/>
      <c r="CD354" s="77"/>
      <c r="CE354" s="77"/>
      <c r="CF354" s="77"/>
      <c r="CG354" s="77"/>
      <c r="CH354" s="77"/>
      <c r="CI354" s="77"/>
      <c r="CJ354" s="77"/>
      <c r="CK354" s="77"/>
      <c r="CL354" s="77"/>
      <c r="CM354" s="77"/>
      <c r="CN354" s="77"/>
      <c r="CO354" s="77"/>
      <c r="CP354" s="77"/>
      <c r="CQ354" s="77"/>
      <c r="CR354" s="77"/>
      <c r="CS354" s="77"/>
      <c r="CT354" s="77"/>
      <c r="CU354" s="77"/>
      <c r="CV354" s="77"/>
      <c r="CW354" s="77"/>
    </row>
    <row r="355" spans="1:101" ht="16.5" x14ac:dyDescent="0.45">
      <c r="A355" s="76"/>
      <c r="B355" s="77"/>
      <c r="C355" s="77"/>
      <c r="D355" s="78"/>
      <c r="E355" s="80"/>
      <c r="F355" s="80"/>
      <c r="G355" s="81"/>
      <c r="H355" s="81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82"/>
      <c r="Z355" s="82"/>
      <c r="AA355" s="82"/>
      <c r="AB355" s="80"/>
      <c r="AC355" s="77"/>
      <c r="AD355" s="77"/>
      <c r="AE355" s="77"/>
      <c r="AF355" s="77"/>
      <c r="AG355" s="77"/>
      <c r="AH355" s="77"/>
      <c r="AI355" s="92"/>
      <c r="AJ355" s="77"/>
      <c r="AK355" s="77"/>
      <c r="AL355" s="77"/>
      <c r="AM355" s="77"/>
      <c r="AN355" s="77"/>
      <c r="AO355" s="77"/>
      <c r="AP355" s="76"/>
      <c r="AQ355" s="81"/>
      <c r="AR355" s="76"/>
      <c r="AS355" s="81"/>
      <c r="AT355" s="76"/>
      <c r="AU355" s="81"/>
      <c r="AV355" s="77"/>
      <c r="AW355" s="81"/>
      <c r="AX355" s="77"/>
      <c r="AY355" s="81"/>
      <c r="AZ355" s="77"/>
      <c r="BA355" s="81"/>
      <c r="BB355" s="77"/>
      <c r="BC355" s="81"/>
      <c r="BD355" s="77"/>
      <c r="BE355" s="81"/>
      <c r="BF355" s="77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77"/>
      <c r="BU355" s="77"/>
      <c r="BV355" s="77"/>
      <c r="BW355" s="77"/>
      <c r="BX355" s="77"/>
      <c r="BY355" s="77"/>
      <c r="BZ355" s="77"/>
      <c r="CA355" s="77"/>
      <c r="CB355" s="77"/>
      <c r="CC355" s="77"/>
      <c r="CD355" s="77"/>
      <c r="CE355" s="77"/>
      <c r="CF355" s="77"/>
      <c r="CG355" s="77"/>
      <c r="CH355" s="77"/>
      <c r="CI355" s="77"/>
      <c r="CJ355" s="77"/>
      <c r="CK355" s="77"/>
      <c r="CL355" s="77"/>
      <c r="CM355" s="77"/>
      <c r="CN355" s="77"/>
      <c r="CO355" s="77"/>
      <c r="CP355" s="77"/>
      <c r="CQ355" s="77"/>
      <c r="CR355" s="77"/>
      <c r="CS355" s="77"/>
      <c r="CT355" s="77"/>
      <c r="CU355" s="77"/>
      <c r="CV355" s="77"/>
      <c r="CW355" s="77"/>
    </row>
    <row r="356" spans="1:101" ht="16.5" x14ac:dyDescent="0.45">
      <c r="A356" s="76"/>
      <c r="B356" s="77"/>
      <c r="C356" s="77"/>
      <c r="D356" s="78"/>
      <c r="E356" s="80"/>
      <c r="F356" s="80"/>
      <c r="G356" s="81"/>
      <c r="H356" s="81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82"/>
      <c r="Z356" s="82"/>
      <c r="AA356" s="82"/>
      <c r="AB356" s="80"/>
      <c r="AC356" s="77"/>
      <c r="AD356" s="77"/>
      <c r="AE356" s="77"/>
      <c r="AF356" s="77"/>
      <c r="AG356" s="77"/>
      <c r="AH356" s="77"/>
      <c r="AI356" s="92"/>
      <c r="AJ356" s="77"/>
      <c r="AK356" s="77"/>
      <c r="AL356" s="77"/>
      <c r="AM356" s="77"/>
      <c r="AN356" s="77"/>
      <c r="AO356" s="77"/>
      <c r="AP356" s="76"/>
      <c r="AQ356" s="81"/>
      <c r="AR356" s="76"/>
      <c r="AS356" s="81"/>
      <c r="AT356" s="76"/>
      <c r="AU356" s="81"/>
      <c r="AV356" s="77"/>
      <c r="AW356" s="81"/>
      <c r="AX356" s="77"/>
      <c r="AY356" s="81"/>
      <c r="AZ356" s="77"/>
      <c r="BA356" s="81"/>
      <c r="BB356" s="77"/>
      <c r="BC356" s="81"/>
      <c r="BD356" s="77"/>
      <c r="BE356" s="81"/>
      <c r="BF356" s="77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77"/>
      <c r="BU356" s="77"/>
      <c r="BV356" s="77"/>
      <c r="BW356" s="77"/>
      <c r="BX356" s="77"/>
      <c r="BY356" s="77"/>
      <c r="BZ356" s="77"/>
      <c r="CA356" s="77"/>
      <c r="CB356" s="77"/>
      <c r="CC356" s="77"/>
      <c r="CD356" s="77"/>
      <c r="CE356" s="77"/>
      <c r="CF356" s="77"/>
      <c r="CG356" s="77"/>
      <c r="CH356" s="77"/>
      <c r="CI356" s="77"/>
      <c r="CJ356" s="77"/>
      <c r="CK356" s="77"/>
      <c r="CL356" s="77"/>
      <c r="CM356" s="77"/>
      <c r="CN356" s="77"/>
      <c r="CO356" s="77"/>
      <c r="CP356" s="77"/>
      <c r="CQ356" s="77"/>
      <c r="CR356" s="77"/>
      <c r="CS356" s="77"/>
      <c r="CT356" s="77"/>
      <c r="CU356" s="77"/>
      <c r="CV356" s="77"/>
      <c r="CW356" s="77"/>
    </row>
    <row r="357" spans="1:101" ht="16.5" x14ac:dyDescent="0.45">
      <c r="A357" s="76"/>
      <c r="B357" s="77"/>
      <c r="C357" s="77"/>
      <c r="D357" s="78"/>
      <c r="E357" s="80"/>
      <c r="F357" s="80"/>
      <c r="G357" s="81"/>
      <c r="H357" s="81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82"/>
      <c r="Z357" s="82"/>
      <c r="AA357" s="82"/>
      <c r="AB357" s="80"/>
      <c r="AC357" s="77"/>
      <c r="AD357" s="77"/>
      <c r="AE357" s="77"/>
      <c r="AF357" s="77"/>
      <c r="AG357" s="77"/>
      <c r="AH357" s="77"/>
      <c r="AI357" s="92"/>
      <c r="AJ357" s="77"/>
      <c r="AK357" s="77"/>
      <c r="AL357" s="77"/>
      <c r="AM357" s="77"/>
      <c r="AN357" s="77"/>
      <c r="AO357" s="77"/>
      <c r="AP357" s="76"/>
      <c r="AQ357" s="81"/>
      <c r="AR357" s="76"/>
      <c r="AS357" s="81"/>
      <c r="AT357" s="76"/>
      <c r="AU357" s="81"/>
      <c r="AV357" s="77"/>
      <c r="AW357" s="81"/>
      <c r="AX357" s="77"/>
      <c r="AY357" s="81"/>
      <c r="AZ357" s="77"/>
      <c r="BA357" s="81"/>
      <c r="BB357" s="77"/>
      <c r="BC357" s="81"/>
      <c r="BD357" s="77"/>
      <c r="BE357" s="81"/>
      <c r="BF357" s="77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77"/>
      <c r="BU357" s="77"/>
      <c r="BV357" s="77"/>
      <c r="BW357" s="77"/>
      <c r="BX357" s="77"/>
      <c r="BY357" s="77"/>
      <c r="BZ357" s="77"/>
      <c r="CA357" s="77"/>
      <c r="CB357" s="77"/>
      <c r="CC357" s="77"/>
      <c r="CD357" s="77"/>
      <c r="CE357" s="77"/>
      <c r="CF357" s="77"/>
      <c r="CG357" s="77"/>
      <c r="CH357" s="77"/>
      <c r="CI357" s="77"/>
      <c r="CJ357" s="77"/>
      <c r="CK357" s="77"/>
      <c r="CL357" s="77"/>
      <c r="CM357" s="77"/>
      <c r="CN357" s="77"/>
      <c r="CO357" s="77"/>
      <c r="CP357" s="77"/>
      <c r="CQ357" s="77"/>
      <c r="CR357" s="77"/>
      <c r="CS357" s="77"/>
      <c r="CT357" s="77"/>
      <c r="CU357" s="77"/>
      <c r="CV357" s="77"/>
      <c r="CW357" s="77"/>
    </row>
    <row r="358" spans="1:101" ht="16.5" x14ac:dyDescent="0.45">
      <c r="A358" s="76"/>
      <c r="B358" s="77"/>
      <c r="C358" s="77"/>
      <c r="D358" s="78"/>
      <c r="E358" s="80"/>
      <c r="F358" s="80"/>
      <c r="G358" s="81"/>
      <c r="H358" s="81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82"/>
      <c r="Z358" s="82"/>
      <c r="AA358" s="82"/>
      <c r="AB358" s="80"/>
      <c r="AC358" s="77"/>
      <c r="AD358" s="77"/>
      <c r="AE358" s="77"/>
      <c r="AF358" s="77"/>
      <c r="AG358" s="77"/>
      <c r="AH358" s="77"/>
      <c r="AI358" s="92"/>
      <c r="AJ358" s="77"/>
      <c r="AK358" s="77"/>
      <c r="AL358" s="77"/>
      <c r="AM358" s="77"/>
      <c r="AN358" s="77"/>
      <c r="AO358" s="77"/>
      <c r="AP358" s="76"/>
      <c r="AQ358" s="81"/>
      <c r="AR358" s="76"/>
      <c r="AS358" s="81"/>
      <c r="AT358" s="76"/>
      <c r="AU358" s="81"/>
      <c r="AV358" s="77"/>
      <c r="AW358" s="81"/>
      <c r="AX358" s="77"/>
      <c r="AY358" s="81"/>
      <c r="AZ358" s="77"/>
      <c r="BA358" s="81"/>
      <c r="BB358" s="77"/>
      <c r="BC358" s="81"/>
      <c r="BD358" s="77"/>
      <c r="BE358" s="81"/>
      <c r="BF358" s="77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77"/>
      <c r="BU358" s="77"/>
      <c r="BV358" s="77"/>
      <c r="BW358" s="77"/>
      <c r="BX358" s="77"/>
      <c r="BY358" s="77"/>
      <c r="BZ358" s="77"/>
      <c r="CA358" s="77"/>
      <c r="CB358" s="77"/>
      <c r="CC358" s="77"/>
      <c r="CD358" s="77"/>
      <c r="CE358" s="77"/>
      <c r="CF358" s="77"/>
      <c r="CG358" s="77"/>
      <c r="CH358" s="77"/>
      <c r="CI358" s="77"/>
      <c r="CJ358" s="77"/>
      <c r="CK358" s="77"/>
      <c r="CL358" s="77"/>
      <c r="CM358" s="77"/>
      <c r="CN358" s="77"/>
      <c r="CO358" s="77"/>
      <c r="CP358" s="77"/>
      <c r="CQ358" s="77"/>
      <c r="CR358" s="77"/>
      <c r="CS358" s="77"/>
      <c r="CT358" s="77"/>
      <c r="CU358" s="77"/>
      <c r="CV358" s="77"/>
      <c r="CW358" s="77"/>
    </row>
    <row r="359" spans="1:101" ht="16.5" x14ac:dyDescent="0.45">
      <c r="A359" s="76"/>
      <c r="B359" s="77"/>
      <c r="C359" s="77"/>
      <c r="D359" s="78"/>
      <c r="E359" s="80"/>
      <c r="F359" s="80"/>
      <c r="G359" s="81"/>
      <c r="H359" s="81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82"/>
      <c r="Z359" s="82"/>
      <c r="AA359" s="82"/>
      <c r="AB359" s="80"/>
      <c r="AC359" s="77"/>
      <c r="AD359" s="77"/>
      <c r="AE359" s="77"/>
      <c r="AF359" s="77"/>
      <c r="AG359" s="77"/>
      <c r="AH359" s="77"/>
      <c r="AI359" s="92"/>
      <c r="AJ359" s="77"/>
      <c r="AK359" s="77"/>
      <c r="AL359" s="77"/>
      <c r="AM359" s="77"/>
      <c r="AN359" s="77"/>
      <c r="AO359" s="77"/>
      <c r="AP359" s="76"/>
      <c r="AQ359" s="81"/>
      <c r="AR359" s="76"/>
      <c r="AS359" s="81"/>
      <c r="AT359" s="76"/>
      <c r="AU359" s="81"/>
      <c r="AV359" s="77"/>
      <c r="AW359" s="81"/>
      <c r="AX359" s="77"/>
      <c r="AY359" s="81"/>
      <c r="AZ359" s="77"/>
      <c r="BA359" s="81"/>
      <c r="BB359" s="77"/>
      <c r="BC359" s="81"/>
      <c r="BD359" s="77"/>
      <c r="BE359" s="81"/>
      <c r="BF359" s="77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77"/>
      <c r="BU359" s="77"/>
      <c r="BV359" s="77"/>
      <c r="BW359" s="77"/>
      <c r="BX359" s="77"/>
      <c r="BY359" s="77"/>
      <c r="BZ359" s="77"/>
      <c r="CA359" s="77"/>
      <c r="CB359" s="77"/>
      <c r="CC359" s="77"/>
      <c r="CD359" s="77"/>
      <c r="CE359" s="77"/>
      <c r="CF359" s="77"/>
      <c r="CG359" s="77"/>
      <c r="CH359" s="77"/>
      <c r="CI359" s="77"/>
      <c r="CJ359" s="77"/>
      <c r="CK359" s="77"/>
      <c r="CL359" s="77"/>
      <c r="CM359" s="77"/>
      <c r="CN359" s="77"/>
      <c r="CO359" s="77"/>
      <c r="CP359" s="77"/>
      <c r="CQ359" s="77"/>
      <c r="CR359" s="77"/>
      <c r="CS359" s="77"/>
      <c r="CT359" s="77"/>
      <c r="CU359" s="77"/>
      <c r="CV359" s="77"/>
      <c r="CW359" s="77"/>
    </row>
    <row r="360" spans="1:101" ht="16.5" x14ac:dyDescent="0.45">
      <c r="A360" s="76"/>
      <c r="B360" s="77"/>
      <c r="C360" s="77"/>
      <c r="D360" s="78"/>
      <c r="E360" s="80"/>
      <c r="F360" s="80"/>
      <c r="G360" s="81"/>
      <c r="H360" s="81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82"/>
      <c r="Z360" s="82"/>
      <c r="AA360" s="82"/>
      <c r="AB360" s="80"/>
      <c r="AC360" s="77"/>
      <c r="AD360" s="77"/>
      <c r="AE360" s="77"/>
      <c r="AF360" s="77"/>
      <c r="AG360" s="77"/>
      <c r="AH360" s="77"/>
      <c r="AI360" s="92"/>
      <c r="AJ360" s="77"/>
      <c r="AK360" s="77"/>
      <c r="AL360" s="77"/>
      <c r="AM360" s="77"/>
      <c r="AN360" s="77"/>
      <c r="AO360" s="77"/>
      <c r="AP360" s="76"/>
      <c r="AQ360" s="81"/>
      <c r="AR360" s="76"/>
      <c r="AS360" s="81"/>
      <c r="AT360" s="76"/>
      <c r="AU360" s="81"/>
      <c r="AV360" s="77"/>
      <c r="AW360" s="81"/>
      <c r="AX360" s="77"/>
      <c r="AY360" s="81"/>
      <c r="AZ360" s="77"/>
      <c r="BA360" s="81"/>
      <c r="BB360" s="77"/>
      <c r="BC360" s="81"/>
      <c r="BD360" s="77"/>
      <c r="BE360" s="81"/>
      <c r="BF360" s="77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77"/>
      <c r="BU360" s="77"/>
      <c r="BV360" s="77"/>
      <c r="BW360" s="77"/>
      <c r="BX360" s="77"/>
      <c r="BY360" s="77"/>
      <c r="BZ360" s="77"/>
      <c r="CA360" s="77"/>
      <c r="CB360" s="77"/>
      <c r="CC360" s="77"/>
      <c r="CD360" s="77"/>
      <c r="CE360" s="77"/>
      <c r="CF360" s="77"/>
      <c r="CG360" s="77"/>
      <c r="CH360" s="77"/>
      <c r="CI360" s="77"/>
      <c r="CJ360" s="77"/>
      <c r="CK360" s="77"/>
      <c r="CL360" s="77"/>
      <c r="CM360" s="77"/>
      <c r="CN360" s="77"/>
      <c r="CO360" s="77"/>
      <c r="CP360" s="77"/>
      <c r="CQ360" s="77"/>
      <c r="CR360" s="77"/>
      <c r="CS360" s="77"/>
      <c r="CT360" s="77"/>
      <c r="CU360" s="77"/>
      <c r="CV360" s="77"/>
      <c r="CW360" s="77"/>
    </row>
    <row r="361" spans="1:101" ht="16.5" x14ac:dyDescent="0.45">
      <c r="A361" s="76"/>
      <c r="B361" s="77"/>
      <c r="C361" s="77"/>
      <c r="D361" s="78"/>
      <c r="E361" s="80"/>
      <c r="F361" s="80"/>
      <c r="G361" s="81"/>
      <c r="H361" s="81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82"/>
      <c r="Z361" s="82"/>
      <c r="AA361" s="82"/>
      <c r="AB361" s="80"/>
      <c r="AC361" s="77"/>
      <c r="AD361" s="77"/>
      <c r="AE361" s="77"/>
      <c r="AF361" s="77"/>
      <c r="AG361" s="77"/>
      <c r="AH361" s="77"/>
      <c r="AI361" s="92"/>
      <c r="AJ361" s="77"/>
      <c r="AK361" s="77"/>
      <c r="AL361" s="77"/>
      <c r="AM361" s="77"/>
      <c r="AN361" s="77"/>
      <c r="AO361" s="77"/>
      <c r="AP361" s="76"/>
      <c r="AQ361" s="81"/>
      <c r="AR361" s="76"/>
      <c r="AS361" s="81"/>
      <c r="AT361" s="76"/>
      <c r="AU361" s="81"/>
      <c r="AV361" s="77"/>
      <c r="AW361" s="81"/>
      <c r="AX361" s="77"/>
      <c r="AY361" s="81"/>
      <c r="AZ361" s="77"/>
      <c r="BA361" s="81"/>
      <c r="BB361" s="77"/>
      <c r="BC361" s="81"/>
      <c r="BD361" s="77"/>
      <c r="BE361" s="81"/>
      <c r="BF361" s="77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77"/>
      <c r="BU361" s="77"/>
      <c r="BV361" s="77"/>
      <c r="BW361" s="77"/>
      <c r="BX361" s="77"/>
      <c r="BY361" s="77"/>
      <c r="BZ361" s="77"/>
      <c r="CA361" s="77"/>
      <c r="CB361" s="77"/>
      <c r="CC361" s="77"/>
      <c r="CD361" s="77"/>
      <c r="CE361" s="77"/>
      <c r="CF361" s="77"/>
      <c r="CG361" s="77"/>
      <c r="CH361" s="77"/>
      <c r="CI361" s="77"/>
      <c r="CJ361" s="77"/>
      <c r="CK361" s="77"/>
      <c r="CL361" s="77"/>
      <c r="CM361" s="77"/>
      <c r="CN361" s="77"/>
      <c r="CO361" s="77"/>
      <c r="CP361" s="77"/>
      <c r="CQ361" s="77"/>
      <c r="CR361" s="77"/>
      <c r="CS361" s="77"/>
      <c r="CT361" s="77"/>
      <c r="CU361" s="77"/>
      <c r="CV361" s="77"/>
      <c r="CW361" s="77"/>
    </row>
    <row r="362" spans="1:101" ht="16.5" x14ac:dyDescent="0.45">
      <c r="A362" s="76"/>
      <c r="B362" s="77"/>
      <c r="C362" s="77"/>
      <c r="D362" s="78"/>
      <c r="E362" s="80"/>
      <c r="F362" s="80"/>
      <c r="G362" s="81"/>
      <c r="H362" s="81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82"/>
      <c r="Z362" s="82"/>
      <c r="AA362" s="82"/>
      <c r="AB362" s="80"/>
      <c r="AC362" s="77"/>
      <c r="AD362" s="77"/>
      <c r="AE362" s="77"/>
      <c r="AF362" s="77"/>
      <c r="AG362" s="77"/>
      <c r="AH362" s="77"/>
      <c r="AI362" s="92"/>
      <c r="AJ362" s="77"/>
      <c r="AK362" s="77"/>
      <c r="AL362" s="77"/>
      <c r="AM362" s="77"/>
      <c r="AN362" s="77"/>
      <c r="AO362" s="77"/>
      <c r="AP362" s="76"/>
      <c r="AQ362" s="81"/>
      <c r="AR362" s="76"/>
      <c r="AS362" s="81"/>
      <c r="AT362" s="76"/>
      <c r="AU362" s="81"/>
      <c r="AV362" s="77"/>
      <c r="AW362" s="81"/>
      <c r="AX362" s="77"/>
      <c r="AY362" s="81"/>
      <c r="AZ362" s="77"/>
      <c r="BA362" s="81"/>
      <c r="BB362" s="77"/>
      <c r="BC362" s="81"/>
      <c r="BD362" s="77"/>
      <c r="BE362" s="81"/>
      <c r="BF362" s="77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77"/>
      <c r="BU362" s="77"/>
      <c r="BV362" s="77"/>
      <c r="BW362" s="77"/>
      <c r="BX362" s="77"/>
      <c r="BY362" s="77"/>
      <c r="BZ362" s="77"/>
      <c r="CA362" s="77"/>
      <c r="CB362" s="77"/>
      <c r="CC362" s="77"/>
      <c r="CD362" s="77"/>
      <c r="CE362" s="77"/>
      <c r="CF362" s="77"/>
      <c r="CG362" s="77"/>
      <c r="CH362" s="77"/>
      <c r="CI362" s="77"/>
      <c r="CJ362" s="77"/>
      <c r="CK362" s="77"/>
      <c r="CL362" s="77"/>
      <c r="CM362" s="77"/>
      <c r="CN362" s="77"/>
      <c r="CO362" s="77"/>
      <c r="CP362" s="77"/>
      <c r="CQ362" s="77"/>
      <c r="CR362" s="77"/>
      <c r="CS362" s="77"/>
      <c r="CT362" s="77"/>
      <c r="CU362" s="77"/>
      <c r="CV362" s="77"/>
      <c r="CW362" s="77"/>
    </row>
    <row r="363" spans="1:101" ht="16.5" x14ac:dyDescent="0.45">
      <c r="A363" s="76"/>
      <c r="B363" s="77"/>
      <c r="C363" s="77"/>
      <c r="D363" s="78"/>
      <c r="E363" s="80"/>
      <c r="F363" s="80"/>
      <c r="G363" s="81"/>
      <c r="H363" s="81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82"/>
      <c r="Z363" s="82"/>
      <c r="AA363" s="82"/>
      <c r="AB363" s="80"/>
      <c r="AC363" s="77"/>
      <c r="AD363" s="77"/>
      <c r="AE363" s="77"/>
      <c r="AF363" s="77"/>
      <c r="AG363" s="77"/>
      <c r="AH363" s="77"/>
      <c r="AI363" s="92"/>
      <c r="AJ363" s="77"/>
      <c r="AK363" s="77"/>
      <c r="AL363" s="77"/>
      <c r="AM363" s="77"/>
      <c r="AN363" s="77"/>
      <c r="AO363" s="77"/>
      <c r="AP363" s="76"/>
      <c r="AQ363" s="81"/>
      <c r="AR363" s="76"/>
      <c r="AS363" s="81"/>
      <c r="AT363" s="76"/>
      <c r="AU363" s="81"/>
      <c r="AV363" s="77"/>
      <c r="AW363" s="81"/>
      <c r="AX363" s="77"/>
      <c r="AY363" s="81"/>
      <c r="AZ363" s="77"/>
      <c r="BA363" s="81"/>
      <c r="BB363" s="77"/>
      <c r="BC363" s="81"/>
      <c r="BD363" s="77"/>
      <c r="BE363" s="81"/>
      <c r="BF363" s="77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77"/>
      <c r="BU363" s="77"/>
      <c r="BV363" s="77"/>
      <c r="BW363" s="77"/>
      <c r="BX363" s="77"/>
      <c r="BY363" s="77"/>
      <c r="BZ363" s="77"/>
      <c r="CA363" s="77"/>
      <c r="CB363" s="77"/>
      <c r="CC363" s="77"/>
      <c r="CD363" s="77"/>
      <c r="CE363" s="77"/>
      <c r="CF363" s="77"/>
      <c r="CG363" s="77"/>
      <c r="CH363" s="77"/>
      <c r="CI363" s="77"/>
      <c r="CJ363" s="77"/>
      <c r="CK363" s="77"/>
      <c r="CL363" s="77"/>
      <c r="CM363" s="77"/>
      <c r="CN363" s="77"/>
      <c r="CO363" s="77"/>
      <c r="CP363" s="77"/>
      <c r="CQ363" s="77"/>
      <c r="CR363" s="77"/>
      <c r="CS363" s="77"/>
      <c r="CT363" s="77"/>
      <c r="CU363" s="77"/>
      <c r="CV363" s="77"/>
      <c r="CW363" s="77"/>
    </row>
    <row r="364" spans="1:101" ht="16.5" x14ac:dyDescent="0.45">
      <c r="A364" s="76"/>
      <c r="B364" s="77"/>
      <c r="C364" s="77"/>
      <c r="D364" s="78"/>
      <c r="E364" s="80"/>
      <c r="F364" s="80"/>
      <c r="G364" s="81"/>
      <c r="H364" s="81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82"/>
      <c r="Z364" s="82"/>
      <c r="AA364" s="82"/>
      <c r="AB364" s="80"/>
      <c r="AC364" s="77"/>
      <c r="AD364" s="77"/>
      <c r="AE364" s="77"/>
      <c r="AF364" s="77"/>
      <c r="AG364" s="77"/>
      <c r="AH364" s="77"/>
      <c r="AI364" s="92"/>
      <c r="AJ364" s="77"/>
      <c r="AK364" s="77"/>
      <c r="AL364" s="77"/>
      <c r="AM364" s="77"/>
      <c r="AN364" s="77"/>
      <c r="AO364" s="77"/>
      <c r="AP364" s="76"/>
      <c r="AQ364" s="81"/>
      <c r="AR364" s="76"/>
      <c r="AS364" s="81"/>
      <c r="AT364" s="76"/>
      <c r="AU364" s="81"/>
      <c r="AV364" s="77"/>
      <c r="AW364" s="81"/>
      <c r="AX364" s="77"/>
      <c r="AY364" s="81"/>
      <c r="AZ364" s="77"/>
      <c r="BA364" s="81"/>
      <c r="BB364" s="77"/>
      <c r="BC364" s="81"/>
      <c r="BD364" s="77"/>
      <c r="BE364" s="81"/>
      <c r="BF364" s="77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77"/>
      <c r="BU364" s="77"/>
      <c r="BV364" s="77"/>
      <c r="BW364" s="77"/>
      <c r="BX364" s="77"/>
      <c r="BY364" s="77"/>
      <c r="BZ364" s="77"/>
      <c r="CA364" s="77"/>
      <c r="CB364" s="77"/>
      <c r="CC364" s="77"/>
      <c r="CD364" s="77"/>
      <c r="CE364" s="77"/>
      <c r="CF364" s="77"/>
      <c r="CG364" s="77"/>
      <c r="CH364" s="77"/>
      <c r="CI364" s="77"/>
      <c r="CJ364" s="77"/>
      <c r="CK364" s="77"/>
      <c r="CL364" s="77"/>
      <c r="CM364" s="77"/>
      <c r="CN364" s="77"/>
      <c r="CO364" s="77"/>
      <c r="CP364" s="77"/>
      <c r="CQ364" s="77"/>
      <c r="CR364" s="77"/>
      <c r="CS364" s="77"/>
      <c r="CT364" s="77"/>
      <c r="CU364" s="77"/>
      <c r="CV364" s="77"/>
      <c r="CW364" s="77"/>
    </row>
    <row r="365" spans="1:101" ht="16.5" x14ac:dyDescent="0.45">
      <c r="A365" s="76"/>
      <c r="B365" s="77"/>
      <c r="C365" s="77"/>
      <c r="D365" s="78"/>
      <c r="E365" s="80"/>
      <c r="F365" s="80"/>
      <c r="G365" s="81"/>
      <c r="H365" s="81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82"/>
      <c r="Z365" s="82"/>
      <c r="AA365" s="82"/>
      <c r="AB365" s="80"/>
      <c r="AC365" s="77"/>
      <c r="AD365" s="77"/>
      <c r="AE365" s="77"/>
      <c r="AF365" s="77"/>
      <c r="AG365" s="77"/>
      <c r="AH365" s="77"/>
      <c r="AI365" s="92"/>
      <c r="AJ365" s="77"/>
      <c r="AK365" s="77"/>
      <c r="AL365" s="77"/>
      <c r="AM365" s="77"/>
      <c r="AN365" s="77"/>
      <c r="AO365" s="77"/>
      <c r="AP365" s="76"/>
      <c r="AQ365" s="81"/>
      <c r="AR365" s="76"/>
      <c r="AS365" s="81"/>
      <c r="AT365" s="76"/>
      <c r="AU365" s="81"/>
      <c r="AV365" s="77"/>
      <c r="AW365" s="81"/>
      <c r="AX365" s="77"/>
      <c r="AY365" s="81"/>
      <c r="AZ365" s="77"/>
      <c r="BA365" s="81"/>
      <c r="BB365" s="77"/>
      <c r="BC365" s="81"/>
      <c r="BD365" s="77"/>
      <c r="BE365" s="81"/>
      <c r="BF365" s="77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77"/>
      <c r="BU365" s="77"/>
      <c r="BV365" s="77"/>
      <c r="BW365" s="77"/>
      <c r="BX365" s="77"/>
      <c r="BY365" s="77"/>
      <c r="BZ365" s="77"/>
      <c r="CA365" s="77"/>
      <c r="CB365" s="77"/>
      <c r="CC365" s="77"/>
      <c r="CD365" s="77"/>
      <c r="CE365" s="77"/>
      <c r="CF365" s="77"/>
      <c r="CG365" s="77"/>
      <c r="CH365" s="77"/>
      <c r="CI365" s="77"/>
      <c r="CJ365" s="77"/>
      <c r="CK365" s="77"/>
      <c r="CL365" s="77"/>
      <c r="CM365" s="77"/>
      <c r="CN365" s="77"/>
      <c r="CO365" s="77"/>
      <c r="CP365" s="77"/>
      <c r="CQ365" s="77"/>
      <c r="CR365" s="77"/>
      <c r="CS365" s="77"/>
      <c r="CT365" s="77"/>
      <c r="CU365" s="77"/>
      <c r="CV365" s="77"/>
      <c r="CW365" s="77"/>
    </row>
    <row r="366" spans="1:101" ht="16.5" x14ac:dyDescent="0.45">
      <c r="A366" s="76"/>
      <c r="B366" s="77"/>
      <c r="C366" s="77"/>
      <c r="D366" s="78"/>
      <c r="E366" s="80"/>
      <c r="F366" s="80"/>
      <c r="G366" s="81"/>
      <c r="H366" s="81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82"/>
      <c r="Z366" s="82"/>
      <c r="AA366" s="82"/>
      <c r="AB366" s="80"/>
      <c r="AC366" s="77"/>
      <c r="AD366" s="77"/>
      <c r="AE366" s="77"/>
      <c r="AF366" s="77"/>
      <c r="AG366" s="77"/>
      <c r="AH366" s="77"/>
      <c r="AI366" s="92"/>
      <c r="AJ366" s="77"/>
      <c r="AK366" s="77"/>
      <c r="AL366" s="77"/>
      <c r="AM366" s="77"/>
      <c r="AN366" s="77"/>
      <c r="AO366" s="77"/>
      <c r="AP366" s="76"/>
      <c r="AQ366" s="81"/>
      <c r="AR366" s="76"/>
      <c r="AS366" s="81"/>
      <c r="AT366" s="76"/>
      <c r="AU366" s="81"/>
      <c r="AV366" s="77"/>
      <c r="AW366" s="81"/>
      <c r="AX366" s="77"/>
      <c r="AY366" s="81"/>
      <c r="AZ366" s="77"/>
      <c r="BA366" s="81"/>
      <c r="BB366" s="77"/>
      <c r="BC366" s="81"/>
      <c r="BD366" s="77"/>
      <c r="BE366" s="81"/>
      <c r="BF366" s="77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77"/>
      <c r="BU366" s="77"/>
      <c r="BV366" s="77"/>
      <c r="BW366" s="77"/>
      <c r="BX366" s="77"/>
      <c r="BY366" s="77"/>
      <c r="BZ366" s="77"/>
      <c r="CA366" s="77"/>
      <c r="CB366" s="77"/>
      <c r="CC366" s="77"/>
      <c r="CD366" s="77"/>
      <c r="CE366" s="77"/>
      <c r="CF366" s="77"/>
      <c r="CG366" s="77"/>
      <c r="CH366" s="77"/>
      <c r="CI366" s="77"/>
      <c r="CJ366" s="77"/>
      <c r="CK366" s="77"/>
      <c r="CL366" s="77"/>
      <c r="CM366" s="77"/>
      <c r="CN366" s="77"/>
      <c r="CO366" s="77"/>
      <c r="CP366" s="77"/>
      <c r="CQ366" s="77"/>
      <c r="CR366" s="77"/>
      <c r="CS366" s="77"/>
      <c r="CT366" s="77"/>
      <c r="CU366" s="77"/>
      <c r="CV366" s="77"/>
      <c r="CW366" s="77"/>
    </row>
    <row r="367" spans="1:101" ht="16.5" x14ac:dyDescent="0.45">
      <c r="A367" s="76"/>
      <c r="B367" s="77"/>
      <c r="C367" s="77"/>
      <c r="D367" s="78"/>
      <c r="E367" s="80"/>
      <c r="F367" s="80"/>
      <c r="G367" s="81"/>
      <c r="H367" s="81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82"/>
      <c r="Z367" s="82"/>
      <c r="AA367" s="82"/>
      <c r="AB367" s="80"/>
      <c r="AC367" s="77"/>
      <c r="AD367" s="77"/>
      <c r="AE367" s="77"/>
      <c r="AF367" s="77"/>
      <c r="AG367" s="77"/>
      <c r="AH367" s="77"/>
      <c r="AI367" s="92"/>
      <c r="AJ367" s="77"/>
      <c r="AK367" s="77"/>
      <c r="AL367" s="77"/>
      <c r="AM367" s="77"/>
      <c r="AN367" s="77"/>
      <c r="AO367" s="77"/>
      <c r="AP367" s="76"/>
      <c r="AQ367" s="81"/>
      <c r="AR367" s="76"/>
      <c r="AS367" s="81"/>
      <c r="AT367" s="76"/>
      <c r="AU367" s="81"/>
      <c r="AV367" s="77"/>
      <c r="AW367" s="81"/>
      <c r="AX367" s="77"/>
      <c r="AY367" s="81"/>
      <c r="AZ367" s="77"/>
      <c r="BA367" s="81"/>
      <c r="BB367" s="77"/>
      <c r="BC367" s="81"/>
      <c r="BD367" s="77"/>
      <c r="BE367" s="81"/>
      <c r="BF367" s="77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77"/>
      <c r="BU367" s="77"/>
      <c r="BV367" s="77"/>
      <c r="BW367" s="77"/>
      <c r="BX367" s="77"/>
      <c r="BY367" s="77"/>
      <c r="BZ367" s="77"/>
      <c r="CA367" s="77"/>
      <c r="CB367" s="77"/>
      <c r="CC367" s="77"/>
      <c r="CD367" s="77"/>
      <c r="CE367" s="77"/>
      <c r="CF367" s="77"/>
      <c r="CG367" s="77"/>
      <c r="CH367" s="77"/>
      <c r="CI367" s="77"/>
      <c r="CJ367" s="77"/>
      <c r="CK367" s="77"/>
      <c r="CL367" s="77"/>
      <c r="CM367" s="77"/>
      <c r="CN367" s="77"/>
      <c r="CO367" s="77"/>
      <c r="CP367" s="77"/>
      <c r="CQ367" s="77"/>
      <c r="CR367" s="77"/>
      <c r="CS367" s="77"/>
      <c r="CT367" s="77"/>
      <c r="CU367" s="77"/>
      <c r="CV367" s="77"/>
      <c r="CW367" s="77"/>
    </row>
    <row r="368" spans="1:101" ht="16.5" x14ac:dyDescent="0.45">
      <c r="A368" s="76"/>
      <c r="B368" s="77"/>
      <c r="C368" s="77"/>
      <c r="D368" s="78"/>
      <c r="E368" s="80"/>
      <c r="F368" s="80"/>
      <c r="G368" s="81"/>
      <c r="H368" s="81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82"/>
      <c r="Z368" s="82"/>
      <c r="AA368" s="82"/>
      <c r="AB368" s="80"/>
      <c r="AC368" s="77"/>
      <c r="AD368" s="77"/>
      <c r="AE368" s="77"/>
      <c r="AF368" s="77"/>
      <c r="AG368" s="77"/>
      <c r="AH368" s="77"/>
      <c r="AI368" s="92"/>
      <c r="AJ368" s="77"/>
      <c r="AK368" s="77"/>
      <c r="AL368" s="77"/>
      <c r="AM368" s="77"/>
      <c r="AN368" s="77"/>
      <c r="AO368" s="77"/>
      <c r="AP368" s="76"/>
      <c r="AQ368" s="81"/>
      <c r="AR368" s="76"/>
      <c r="AS368" s="81"/>
      <c r="AT368" s="76"/>
      <c r="AU368" s="81"/>
      <c r="AV368" s="77"/>
      <c r="AW368" s="81"/>
      <c r="AX368" s="77"/>
      <c r="AY368" s="81"/>
      <c r="AZ368" s="77"/>
      <c r="BA368" s="81"/>
      <c r="BB368" s="77"/>
      <c r="BC368" s="81"/>
      <c r="BD368" s="77"/>
      <c r="BE368" s="81"/>
      <c r="BF368" s="77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77"/>
      <c r="BU368" s="77"/>
      <c r="BV368" s="77"/>
      <c r="BW368" s="77"/>
      <c r="BX368" s="77"/>
      <c r="BY368" s="77"/>
      <c r="BZ368" s="77"/>
      <c r="CA368" s="77"/>
      <c r="CB368" s="77"/>
      <c r="CC368" s="77"/>
      <c r="CD368" s="77"/>
      <c r="CE368" s="77"/>
      <c r="CF368" s="77"/>
      <c r="CG368" s="77"/>
      <c r="CH368" s="77"/>
      <c r="CI368" s="77"/>
      <c r="CJ368" s="77"/>
      <c r="CK368" s="77"/>
      <c r="CL368" s="77"/>
      <c r="CM368" s="77"/>
      <c r="CN368" s="77"/>
      <c r="CO368" s="77"/>
      <c r="CP368" s="77"/>
      <c r="CQ368" s="77"/>
      <c r="CR368" s="77"/>
      <c r="CS368" s="77"/>
      <c r="CT368" s="77"/>
      <c r="CU368" s="77"/>
      <c r="CV368" s="77"/>
      <c r="CW368" s="77"/>
    </row>
    <row r="369" spans="1:101" ht="16.5" x14ac:dyDescent="0.45">
      <c r="A369" s="76"/>
      <c r="B369" s="77"/>
      <c r="C369" s="77"/>
      <c r="D369" s="78"/>
      <c r="E369" s="80"/>
      <c r="F369" s="80"/>
      <c r="G369" s="81"/>
      <c r="H369" s="81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82"/>
      <c r="Z369" s="82"/>
      <c r="AA369" s="82"/>
      <c r="AB369" s="80"/>
      <c r="AC369" s="77"/>
      <c r="AD369" s="77"/>
      <c r="AE369" s="77"/>
      <c r="AF369" s="77"/>
      <c r="AG369" s="77"/>
      <c r="AH369" s="77"/>
      <c r="AI369" s="92"/>
      <c r="AJ369" s="77"/>
      <c r="AK369" s="77"/>
      <c r="AL369" s="77"/>
      <c r="AM369" s="77"/>
      <c r="AN369" s="77"/>
      <c r="AO369" s="77"/>
      <c r="AP369" s="76"/>
      <c r="AQ369" s="81"/>
      <c r="AR369" s="76"/>
      <c r="AS369" s="81"/>
      <c r="AT369" s="76"/>
      <c r="AU369" s="81"/>
      <c r="AV369" s="77"/>
      <c r="AW369" s="81"/>
      <c r="AX369" s="77"/>
      <c r="AY369" s="81"/>
      <c r="AZ369" s="77"/>
      <c r="BA369" s="81"/>
      <c r="BB369" s="77"/>
      <c r="BC369" s="81"/>
      <c r="BD369" s="77"/>
      <c r="BE369" s="81"/>
      <c r="BF369" s="77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77"/>
      <c r="BU369" s="77"/>
      <c r="BV369" s="77"/>
      <c r="BW369" s="77"/>
      <c r="BX369" s="77"/>
      <c r="BY369" s="77"/>
      <c r="BZ369" s="77"/>
      <c r="CA369" s="77"/>
      <c r="CB369" s="77"/>
      <c r="CC369" s="77"/>
      <c r="CD369" s="77"/>
      <c r="CE369" s="77"/>
      <c r="CF369" s="77"/>
      <c r="CG369" s="77"/>
      <c r="CH369" s="77"/>
      <c r="CI369" s="77"/>
      <c r="CJ369" s="77"/>
      <c r="CK369" s="77"/>
      <c r="CL369" s="77"/>
      <c r="CM369" s="77"/>
      <c r="CN369" s="77"/>
      <c r="CO369" s="77"/>
      <c r="CP369" s="77"/>
      <c r="CQ369" s="77"/>
      <c r="CR369" s="77"/>
      <c r="CS369" s="77"/>
      <c r="CT369" s="77"/>
      <c r="CU369" s="77"/>
      <c r="CV369" s="77"/>
      <c r="CW369" s="77"/>
    </row>
    <row r="370" spans="1:101" ht="16.5" x14ac:dyDescent="0.45">
      <c r="A370" s="76"/>
      <c r="B370" s="77"/>
      <c r="C370" s="77"/>
      <c r="D370" s="78"/>
      <c r="E370" s="80"/>
      <c r="F370" s="80"/>
      <c r="G370" s="81"/>
      <c r="H370" s="81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82"/>
      <c r="Z370" s="82"/>
      <c r="AA370" s="82"/>
      <c r="AB370" s="80"/>
      <c r="AC370" s="77"/>
      <c r="AD370" s="77"/>
      <c r="AE370" s="77"/>
      <c r="AF370" s="77"/>
      <c r="AG370" s="77"/>
      <c r="AH370" s="77"/>
      <c r="AI370" s="92"/>
      <c r="AJ370" s="77"/>
      <c r="AK370" s="77"/>
      <c r="AL370" s="77"/>
      <c r="AM370" s="77"/>
      <c r="AN370" s="77"/>
      <c r="AO370" s="77"/>
      <c r="AP370" s="76"/>
      <c r="AQ370" s="81"/>
      <c r="AR370" s="76"/>
      <c r="AS370" s="81"/>
      <c r="AT370" s="76"/>
      <c r="AU370" s="81"/>
      <c r="AV370" s="77"/>
      <c r="AW370" s="81"/>
      <c r="AX370" s="77"/>
      <c r="AY370" s="81"/>
      <c r="AZ370" s="77"/>
      <c r="BA370" s="81"/>
      <c r="BB370" s="77"/>
      <c r="BC370" s="81"/>
      <c r="BD370" s="77"/>
      <c r="BE370" s="81"/>
      <c r="BF370" s="77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77"/>
      <c r="BU370" s="77"/>
      <c r="BV370" s="77"/>
      <c r="BW370" s="77"/>
      <c r="BX370" s="77"/>
      <c r="BY370" s="77"/>
      <c r="BZ370" s="77"/>
      <c r="CA370" s="77"/>
      <c r="CB370" s="77"/>
      <c r="CC370" s="77"/>
      <c r="CD370" s="77"/>
      <c r="CE370" s="77"/>
      <c r="CF370" s="77"/>
      <c r="CG370" s="77"/>
      <c r="CH370" s="77"/>
      <c r="CI370" s="77"/>
      <c r="CJ370" s="77"/>
      <c r="CK370" s="77"/>
      <c r="CL370" s="77"/>
      <c r="CM370" s="77"/>
      <c r="CN370" s="77"/>
      <c r="CO370" s="77"/>
      <c r="CP370" s="77"/>
      <c r="CQ370" s="77"/>
      <c r="CR370" s="77"/>
      <c r="CS370" s="77"/>
      <c r="CT370" s="77"/>
      <c r="CU370" s="77"/>
      <c r="CV370" s="77"/>
      <c r="CW370" s="77"/>
    </row>
    <row r="371" spans="1:101" ht="16.5" x14ac:dyDescent="0.45">
      <c r="A371" s="76"/>
      <c r="B371" s="77"/>
      <c r="C371" s="77"/>
      <c r="D371" s="78"/>
      <c r="E371" s="80"/>
      <c r="F371" s="80"/>
      <c r="G371" s="81"/>
      <c r="H371" s="81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82"/>
      <c r="Z371" s="82"/>
      <c r="AA371" s="82"/>
      <c r="AB371" s="80"/>
      <c r="AC371" s="77"/>
      <c r="AD371" s="77"/>
      <c r="AE371" s="77"/>
      <c r="AF371" s="77"/>
      <c r="AG371" s="77"/>
      <c r="AH371" s="77"/>
      <c r="AI371" s="92"/>
      <c r="AJ371" s="77"/>
      <c r="AK371" s="77"/>
      <c r="AL371" s="77"/>
      <c r="AM371" s="77"/>
      <c r="AN371" s="77"/>
      <c r="AO371" s="77"/>
      <c r="AP371" s="76"/>
      <c r="AQ371" s="81"/>
      <c r="AR371" s="76"/>
      <c r="AS371" s="81"/>
      <c r="AT371" s="76"/>
      <c r="AU371" s="81"/>
      <c r="AV371" s="77"/>
      <c r="AW371" s="81"/>
      <c r="AX371" s="77"/>
      <c r="AY371" s="81"/>
      <c r="AZ371" s="77"/>
      <c r="BA371" s="81"/>
      <c r="BB371" s="77"/>
      <c r="BC371" s="81"/>
      <c r="BD371" s="77"/>
      <c r="BE371" s="81"/>
      <c r="BF371" s="77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77"/>
      <c r="BU371" s="77"/>
      <c r="BV371" s="77"/>
      <c r="BW371" s="77"/>
      <c r="BX371" s="77"/>
      <c r="BY371" s="77"/>
      <c r="BZ371" s="77"/>
      <c r="CA371" s="77"/>
      <c r="CB371" s="77"/>
      <c r="CC371" s="77"/>
      <c r="CD371" s="77"/>
      <c r="CE371" s="77"/>
      <c r="CF371" s="77"/>
      <c r="CG371" s="77"/>
      <c r="CH371" s="77"/>
      <c r="CI371" s="77"/>
      <c r="CJ371" s="77"/>
      <c r="CK371" s="77"/>
      <c r="CL371" s="77"/>
      <c r="CM371" s="77"/>
      <c r="CN371" s="77"/>
      <c r="CO371" s="77"/>
      <c r="CP371" s="77"/>
      <c r="CQ371" s="77"/>
      <c r="CR371" s="77"/>
      <c r="CS371" s="77"/>
      <c r="CT371" s="77"/>
      <c r="CU371" s="77"/>
      <c r="CV371" s="77"/>
      <c r="CW371" s="77"/>
    </row>
    <row r="372" spans="1:101" ht="16.5" x14ac:dyDescent="0.45">
      <c r="A372" s="76"/>
      <c r="B372" s="77"/>
      <c r="C372" s="77"/>
      <c r="D372" s="78"/>
      <c r="E372" s="80"/>
      <c r="F372" s="80"/>
      <c r="G372" s="81"/>
      <c r="H372" s="81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82"/>
      <c r="Z372" s="82"/>
      <c r="AA372" s="82"/>
      <c r="AB372" s="80"/>
      <c r="AC372" s="77"/>
      <c r="AD372" s="77"/>
      <c r="AE372" s="77"/>
      <c r="AF372" s="77"/>
      <c r="AG372" s="77"/>
      <c r="AH372" s="77"/>
      <c r="AI372" s="92"/>
      <c r="AJ372" s="77"/>
      <c r="AK372" s="77"/>
      <c r="AL372" s="77"/>
      <c r="AM372" s="77"/>
      <c r="AN372" s="77"/>
      <c r="AO372" s="77"/>
      <c r="AP372" s="76"/>
      <c r="AQ372" s="81"/>
      <c r="AR372" s="76"/>
      <c r="AS372" s="81"/>
      <c r="AT372" s="76"/>
      <c r="AU372" s="81"/>
      <c r="AV372" s="77"/>
      <c r="AW372" s="81"/>
      <c r="AX372" s="77"/>
      <c r="AY372" s="81"/>
      <c r="AZ372" s="77"/>
      <c r="BA372" s="81"/>
      <c r="BB372" s="77"/>
      <c r="BC372" s="81"/>
      <c r="BD372" s="77"/>
      <c r="BE372" s="81"/>
      <c r="BF372" s="77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77"/>
      <c r="BU372" s="77"/>
      <c r="BV372" s="77"/>
      <c r="BW372" s="77"/>
      <c r="BX372" s="77"/>
      <c r="BY372" s="77"/>
      <c r="BZ372" s="77"/>
      <c r="CA372" s="77"/>
      <c r="CB372" s="77"/>
      <c r="CC372" s="77"/>
      <c r="CD372" s="77"/>
      <c r="CE372" s="77"/>
      <c r="CF372" s="77"/>
      <c r="CG372" s="77"/>
      <c r="CH372" s="77"/>
      <c r="CI372" s="77"/>
      <c r="CJ372" s="77"/>
      <c r="CK372" s="77"/>
      <c r="CL372" s="77"/>
      <c r="CM372" s="77"/>
      <c r="CN372" s="77"/>
      <c r="CO372" s="77"/>
      <c r="CP372" s="77"/>
      <c r="CQ372" s="77"/>
      <c r="CR372" s="77"/>
      <c r="CS372" s="77"/>
      <c r="CT372" s="77"/>
      <c r="CU372" s="77"/>
      <c r="CV372" s="77"/>
      <c r="CW372" s="77"/>
    </row>
    <row r="373" spans="1:101" ht="16.5" x14ac:dyDescent="0.45">
      <c r="A373" s="76"/>
      <c r="B373" s="77"/>
      <c r="C373" s="77"/>
      <c r="D373" s="78"/>
      <c r="E373" s="80"/>
      <c r="F373" s="80"/>
      <c r="G373" s="81"/>
      <c r="H373" s="81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82"/>
      <c r="Z373" s="82"/>
      <c r="AA373" s="82"/>
      <c r="AB373" s="80"/>
      <c r="AC373" s="77"/>
      <c r="AD373" s="77"/>
      <c r="AE373" s="77"/>
      <c r="AF373" s="77"/>
      <c r="AG373" s="77"/>
      <c r="AH373" s="77"/>
      <c r="AI373" s="92"/>
      <c r="AJ373" s="77"/>
      <c r="AK373" s="77"/>
      <c r="AL373" s="77"/>
      <c r="AM373" s="77"/>
      <c r="AN373" s="77"/>
      <c r="AO373" s="77"/>
      <c r="AP373" s="76"/>
      <c r="AQ373" s="81"/>
      <c r="AR373" s="76"/>
      <c r="AS373" s="81"/>
      <c r="AT373" s="76"/>
      <c r="AU373" s="81"/>
      <c r="AV373" s="77"/>
      <c r="AW373" s="81"/>
      <c r="AX373" s="77"/>
      <c r="AY373" s="81"/>
      <c r="AZ373" s="77"/>
      <c r="BA373" s="81"/>
      <c r="BB373" s="77"/>
      <c r="BC373" s="81"/>
      <c r="BD373" s="77"/>
      <c r="BE373" s="81"/>
      <c r="BF373" s="77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77"/>
      <c r="BU373" s="77"/>
      <c r="BV373" s="77"/>
      <c r="BW373" s="77"/>
      <c r="BX373" s="77"/>
      <c r="BY373" s="77"/>
      <c r="BZ373" s="77"/>
      <c r="CA373" s="77"/>
      <c r="CB373" s="77"/>
      <c r="CC373" s="77"/>
      <c r="CD373" s="77"/>
      <c r="CE373" s="77"/>
      <c r="CF373" s="77"/>
      <c r="CG373" s="77"/>
      <c r="CH373" s="77"/>
      <c r="CI373" s="77"/>
      <c r="CJ373" s="77"/>
      <c r="CK373" s="77"/>
      <c r="CL373" s="77"/>
      <c r="CM373" s="77"/>
      <c r="CN373" s="77"/>
      <c r="CO373" s="77"/>
      <c r="CP373" s="77"/>
      <c r="CQ373" s="77"/>
      <c r="CR373" s="77"/>
      <c r="CS373" s="77"/>
      <c r="CT373" s="77"/>
      <c r="CU373" s="77"/>
      <c r="CV373" s="77"/>
      <c r="CW373" s="77"/>
    </row>
    <row r="374" spans="1:101" ht="16.5" x14ac:dyDescent="0.45">
      <c r="A374" s="76"/>
      <c r="B374" s="77"/>
      <c r="C374" s="77"/>
      <c r="D374" s="78"/>
      <c r="E374" s="80"/>
      <c r="F374" s="80"/>
      <c r="G374" s="81"/>
      <c r="H374" s="81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82"/>
      <c r="Z374" s="82"/>
      <c r="AA374" s="82"/>
      <c r="AB374" s="80"/>
      <c r="AC374" s="77"/>
      <c r="AD374" s="77"/>
      <c r="AE374" s="77"/>
      <c r="AF374" s="77"/>
      <c r="AG374" s="77"/>
      <c r="AH374" s="77"/>
      <c r="AI374" s="92"/>
      <c r="AJ374" s="77"/>
      <c r="AK374" s="77"/>
      <c r="AL374" s="77"/>
      <c r="AM374" s="77"/>
      <c r="AN374" s="77"/>
      <c r="AO374" s="77"/>
      <c r="AP374" s="76"/>
      <c r="AQ374" s="81"/>
      <c r="AR374" s="76"/>
      <c r="AS374" s="81"/>
      <c r="AT374" s="76"/>
      <c r="AU374" s="81"/>
      <c r="AV374" s="77"/>
      <c r="AW374" s="81"/>
      <c r="AX374" s="77"/>
      <c r="AY374" s="81"/>
      <c r="AZ374" s="77"/>
      <c r="BA374" s="81"/>
      <c r="BB374" s="77"/>
      <c r="BC374" s="81"/>
      <c r="BD374" s="77"/>
      <c r="BE374" s="81"/>
      <c r="BF374" s="77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77"/>
      <c r="BU374" s="77"/>
      <c r="BV374" s="77"/>
      <c r="BW374" s="77"/>
      <c r="BX374" s="77"/>
      <c r="BY374" s="77"/>
      <c r="BZ374" s="77"/>
      <c r="CA374" s="77"/>
      <c r="CB374" s="77"/>
      <c r="CC374" s="77"/>
      <c r="CD374" s="77"/>
      <c r="CE374" s="77"/>
      <c r="CF374" s="77"/>
      <c r="CG374" s="77"/>
      <c r="CH374" s="77"/>
      <c r="CI374" s="77"/>
      <c r="CJ374" s="77"/>
      <c r="CK374" s="77"/>
      <c r="CL374" s="77"/>
      <c r="CM374" s="77"/>
      <c r="CN374" s="77"/>
      <c r="CO374" s="77"/>
      <c r="CP374" s="77"/>
      <c r="CQ374" s="77"/>
      <c r="CR374" s="77"/>
      <c r="CS374" s="77"/>
      <c r="CT374" s="77"/>
      <c r="CU374" s="77"/>
      <c r="CV374" s="77"/>
      <c r="CW374" s="77"/>
    </row>
    <row r="375" spans="1:101" ht="16.5" x14ac:dyDescent="0.45">
      <c r="A375" s="76"/>
      <c r="B375" s="77"/>
      <c r="C375" s="77"/>
      <c r="D375" s="78"/>
      <c r="E375" s="80"/>
      <c r="F375" s="80"/>
      <c r="G375" s="81"/>
      <c r="H375" s="81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82"/>
      <c r="Z375" s="82"/>
      <c r="AA375" s="82"/>
      <c r="AB375" s="80"/>
      <c r="AC375" s="77"/>
      <c r="AD375" s="77"/>
      <c r="AE375" s="77"/>
      <c r="AF375" s="77"/>
      <c r="AG375" s="77"/>
      <c r="AH375" s="77"/>
      <c r="AI375" s="92"/>
      <c r="AJ375" s="77"/>
      <c r="AK375" s="77"/>
      <c r="AL375" s="77"/>
      <c r="AM375" s="77"/>
      <c r="AN375" s="77"/>
      <c r="AO375" s="77"/>
      <c r="AP375" s="76"/>
      <c r="AQ375" s="81"/>
      <c r="AR375" s="76"/>
      <c r="AS375" s="81"/>
      <c r="AT375" s="76"/>
      <c r="AU375" s="81"/>
      <c r="AV375" s="77"/>
      <c r="AW375" s="81"/>
      <c r="AX375" s="77"/>
      <c r="AY375" s="81"/>
      <c r="AZ375" s="77"/>
      <c r="BA375" s="81"/>
      <c r="BB375" s="77"/>
      <c r="BC375" s="81"/>
      <c r="BD375" s="77"/>
      <c r="BE375" s="81"/>
      <c r="BF375" s="77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77"/>
      <c r="BU375" s="77"/>
      <c r="BV375" s="77"/>
      <c r="BW375" s="77"/>
      <c r="BX375" s="77"/>
      <c r="BY375" s="77"/>
      <c r="BZ375" s="77"/>
      <c r="CA375" s="77"/>
      <c r="CB375" s="77"/>
      <c r="CC375" s="77"/>
      <c r="CD375" s="77"/>
      <c r="CE375" s="77"/>
      <c r="CF375" s="77"/>
      <c r="CG375" s="77"/>
      <c r="CH375" s="77"/>
      <c r="CI375" s="77"/>
      <c r="CJ375" s="77"/>
      <c r="CK375" s="77"/>
      <c r="CL375" s="77"/>
      <c r="CM375" s="77"/>
      <c r="CN375" s="77"/>
      <c r="CO375" s="77"/>
      <c r="CP375" s="77"/>
      <c r="CQ375" s="77"/>
      <c r="CR375" s="77"/>
      <c r="CS375" s="77"/>
      <c r="CT375" s="77"/>
      <c r="CU375" s="77"/>
      <c r="CV375" s="77"/>
      <c r="CW375" s="77"/>
    </row>
    <row r="376" spans="1:101" ht="16.5" x14ac:dyDescent="0.45">
      <c r="A376" s="76"/>
      <c r="B376" s="77"/>
      <c r="C376" s="77"/>
      <c r="D376" s="78"/>
      <c r="E376" s="80"/>
      <c r="F376" s="80"/>
      <c r="G376" s="81"/>
      <c r="H376" s="81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82"/>
      <c r="Z376" s="82"/>
      <c r="AA376" s="82"/>
      <c r="AB376" s="80"/>
      <c r="AC376" s="77"/>
      <c r="AD376" s="77"/>
      <c r="AE376" s="77"/>
      <c r="AF376" s="77"/>
      <c r="AG376" s="77"/>
      <c r="AH376" s="77"/>
      <c r="AI376" s="92"/>
      <c r="AJ376" s="77"/>
      <c r="AK376" s="77"/>
      <c r="AL376" s="77"/>
      <c r="AM376" s="77"/>
      <c r="AN376" s="77"/>
      <c r="AO376" s="77"/>
      <c r="AP376" s="76"/>
      <c r="AQ376" s="81"/>
      <c r="AR376" s="76"/>
      <c r="AS376" s="81"/>
      <c r="AT376" s="76"/>
      <c r="AU376" s="81"/>
      <c r="AV376" s="77"/>
      <c r="AW376" s="81"/>
      <c r="AX376" s="77"/>
      <c r="AY376" s="81"/>
      <c r="AZ376" s="77"/>
      <c r="BA376" s="81"/>
      <c r="BB376" s="77"/>
      <c r="BC376" s="81"/>
      <c r="BD376" s="77"/>
      <c r="BE376" s="81"/>
      <c r="BF376" s="77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77"/>
      <c r="BU376" s="77"/>
      <c r="BV376" s="77"/>
      <c r="BW376" s="77"/>
      <c r="BX376" s="77"/>
      <c r="BY376" s="77"/>
      <c r="BZ376" s="77"/>
      <c r="CA376" s="77"/>
      <c r="CB376" s="77"/>
      <c r="CC376" s="77"/>
      <c r="CD376" s="77"/>
      <c r="CE376" s="77"/>
      <c r="CF376" s="77"/>
      <c r="CG376" s="77"/>
      <c r="CH376" s="77"/>
      <c r="CI376" s="77"/>
      <c r="CJ376" s="77"/>
      <c r="CK376" s="77"/>
      <c r="CL376" s="77"/>
      <c r="CM376" s="77"/>
      <c r="CN376" s="77"/>
      <c r="CO376" s="77"/>
      <c r="CP376" s="77"/>
      <c r="CQ376" s="77"/>
      <c r="CR376" s="77"/>
      <c r="CS376" s="77"/>
      <c r="CT376" s="77"/>
      <c r="CU376" s="77"/>
      <c r="CV376" s="77"/>
      <c r="CW376" s="77"/>
    </row>
    <row r="377" spans="1:101" ht="16.5" x14ac:dyDescent="0.45">
      <c r="A377" s="76"/>
      <c r="B377" s="77"/>
      <c r="C377" s="77"/>
      <c r="D377" s="78"/>
      <c r="E377" s="80"/>
      <c r="F377" s="80"/>
      <c r="G377" s="81"/>
      <c r="H377" s="81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82"/>
      <c r="Z377" s="82"/>
      <c r="AA377" s="82"/>
      <c r="AB377" s="80"/>
      <c r="AC377" s="77"/>
      <c r="AD377" s="77"/>
      <c r="AE377" s="77"/>
      <c r="AF377" s="77"/>
      <c r="AG377" s="77"/>
      <c r="AH377" s="77"/>
      <c r="AI377" s="92"/>
      <c r="AJ377" s="77"/>
      <c r="AK377" s="77"/>
      <c r="AL377" s="77"/>
      <c r="AM377" s="77"/>
      <c r="AN377" s="77"/>
      <c r="AO377" s="77"/>
      <c r="AP377" s="76"/>
      <c r="AQ377" s="81"/>
      <c r="AR377" s="76"/>
      <c r="AS377" s="81"/>
      <c r="AT377" s="76"/>
      <c r="AU377" s="81"/>
      <c r="AV377" s="77"/>
      <c r="AW377" s="81"/>
      <c r="AX377" s="77"/>
      <c r="AY377" s="81"/>
      <c r="AZ377" s="77"/>
      <c r="BA377" s="81"/>
      <c r="BB377" s="77"/>
      <c r="BC377" s="81"/>
      <c r="BD377" s="77"/>
      <c r="BE377" s="81"/>
      <c r="BF377" s="77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77"/>
      <c r="BU377" s="77"/>
      <c r="BV377" s="77"/>
      <c r="BW377" s="77"/>
      <c r="BX377" s="77"/>
      <c r="BY377" s="77"/>
      <c r="BZ377" s="77"/>
      <c r="CA377" s="77"/>
      <c r="CB377" s="77"/>
      <c r="CC377" s="77"/>
      <c r="CD377" s="77"/>
      <c r="CE377" s="77"/>
      <c r="CF377" s="77"/>
      <c r="CG377" s="77"/>
      <c r="CH377" s="77"/>
      <c r="CI377" s="77"/>
      <c r="CJ377" s="77"/>
      <c r="CK377" s="77"/>
      <c r="CL377" s="77"/>
      <c r="CM377" s="77"/>
      <c r="CN377" s="77"/>
      <c r="CO377" s="77"/>
      <c r="CP377" s="77"/>
      <c r="CQ377" s="77"/>
      <c r="CR377" s="77"/>
      <c r="CS377" s="77"/>
      <c r="CT377" s="77"/>
      <c r="CU377" s="77"/>
      <c r="CV377" s="77"/>
      <c r="CW377" s="77"/>
    </row>
    <row r="378" spans="1:101" ht="16.5" x14ac:dyDescent="0.45">
      <c r="A378" s="76"/>
      <c r="B378" s="77"/>
      <c r="C378" s="77"/>
      <c r="D378" s="78"/>
      <c r="E378" s="80"/>
      <c r="F378" s="80"/>
      <c r="G378" s="81"/>
      <c r="H378" s="81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82"/>
      <c r="Z378" s="82"/>
      <c r="AA378" s="82"/>
      <c r="AB378" s="80"/>
      <c r="AC378" s="77"/>
      <c r="AD378" s="77"/>
      <c r="AE378" s="77"/>
      <c r="AF378" s="77"/>
      <c r="AG378" s="77"/>
      <c r="AH378" s="77"/>
      <c r="AI378" s="92"/>
      <c r="AJ378" s="77"/>
      <c r="AK378" s="77"/>
      <c r="AL378" s="77"/>
      <c r="AM378" s="77"/>
      <c r="AN378" s="77"/>
      <c r="AO378" s="77"/>
      <c r="AP378" s="76"/>
      <c r="AQ378" s="81"/>
      <c r="AR378" s="76"/>
      <c r="AS378" s="81"/>
      <c r="AT378" s="76"/>
      <c r="AU378" s="81"/>
      <c r="AV378" s="77"/>
      <c r="AW378" s="81"/>
      <c r="AX378" s="77"/>
      <c r="AY378" s="81"/>
      <c r="AZ378" s="77"/>
      <c r="BA378" s="81"/>
      <c r="BB378" s="77"/>
      <c r="BC378" s="81"/>
      <c r="BD378" s="77"/>
      <c r="BE378" s="81"/>
      <c r="BF378" s="77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77"/>
      <c r="BU378" s="77"/>
      <c r="BV378" s="77"/>
      <c r="BW378" s="77"/>
      <c r="BX378" s="77"/>
      <c r="BY378" s="77"/>
      <c r="BZ378" s="77"/>
      <c r="CA378" s="77"/>
      <c r="CB378" s="77"/>
      <c r="CC378" s="77"/>
      <c r="CD378" s="77"/>
      <c r="CE378" s="77"/>
      <c r="CF378" s="77"/>
      <c r="CG378" s="77"/>
      <c r="CH378" s="77"/>
      <c r="CI378" s="77"/>
      <c r="CJ378" s="77"/>
      <c r="CK378" s="77"/>
      <c r="CL378" s="77"/>
      <c r="CM378" s="77"/>
      <c r="CN378" s="77"/>
      <c r="CO378" s="77"/>
      <c r="CP378" s="77"/>
      <c r="CQ378" s="77"/>
      <c r="CR378" s="77"/>
      <c r="CS378" s="77"/>
      <c r="CT378" s="77"/>
      <c r="CU378" s="77"/>
      <c r="CV378" s="77"/>
      <c r="CW378" s="77"/>
    </row>
    <row r="379" spans="1:101" ht="16.5" x14ac:dyDescent="0.45">
      <c r="A379" s="76"/>
      <c r="B379" s="77"/>
      <c r="C379" s="77"/>
      <c r="D379" s="78"/>
      <c r="E379" s="80"/>
      <c r="F379" s="80"/>
      <c r="G379" s="81"/>
      <c r="H379" s="81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82"/>
      <c r="Z379" s="82"/>
      <c r="AA379" s="82"/>
      <c r="AB379" s="80"/>
      <c r="AC379" s="77"/>
      <c r="AD379" s="77"/>
      <c r="AE379" s="77"/>
      <c r="AF379" s="77"/>
      <c r="AG379" s="77"/>
      <c r="AH379" s="77"/>
      <c r="AI379" s="92"/>
      <c r="AJ379" s="77"/>
      <c r="AK379" s="77"/>
      <c r="AL379" s="77"/>
      <c r="AM379" s="77"/>
      <c r="AN379" s="77"/>
      <c r="AO379" s="77"/>
      <c r="AP379" s="76"/>
      <c r="AQ379" s="81"/>
      <c r="AR379" s="76"/>
      <c r="AS379" s="81"/>
      <c r="AT379" s="76"/>
      <c r="AU379" s="81"/>
      <c r="AV379" s="77"/>
      <c r="AW379" s="81"/>
      <c r="AX379" s="77"/>
      <c r="AY379" s="81"/>
      <c r="AZ379" s="77"/>
      <c r="BA379" s="81"/>
      <c r="BB379" s="77"/>
      <c r="BC379" s="81"/>
      <c r="BD379" s="77"/>
      <c r="BE379" s="81"/>
      <c r="BF379" s="77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77"/>
      <c r="BU379" s="77"/>
      <c r="BV379" s="77"/>
      <c r="BW379" s="77"/>
      <c r="BX379" s="77"/>
      <c r="BY379" s="77"/>
      <c r="BZ379" s="77"/>
      <c r="CA379" s="77"/>
      <c r="CB379" s="77"/>
      <c r="CC379" s="77"/>
      <c r="CD379" s="77"/>
      <c r="CE379" s="77"/>
      <c r="CF379" s="77"/>
      <c r="CG379" s="77"/>
      <c r="CH379" s="77"/>
      <c r="CI379" s="77"/>
      <c r="CJ379" s="77"/>
      <c r="CK379" s="77"/>
      <c r="CL379" s="77"/>
      <c r="CM379" s="77"/>
      <c r="CN379" s="77"/>
      <c r="CO379" s="77"/>
      <c r="CP379" s="77"/>
      <c r="CQ379" s="77"/>
      <c r="CR379" s="77"/>
      <c r="CS379" s="77"/>
      <c r="CT379" s="77"/>
      <c r="CU379" s="77"/>
      <c r="CV379" s="77"/>
      <c r="CW379" s="77"/>
    </row>
    <row r="380" spans="1:101" ht="16.5" x14ac:dyDescent="0.45">
      <c r="A380" s="76"/>
      <c r="B380" s="77"/>
      <c r="C380" s="77"/>
      <c r="D380" s="78"/>
      <c r="E380" s="80"/>
      <c r="F380" s="80"/>
      <c r="G380" s="81"/>
      <c r="H380" s="81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82"/>
      <c r="Z380" s="82"/>
      <c r="AA380" s="82"/>
      <c r="AB380" s="80"/>
      <c r="AC380" s="77"/>
      <c r="AD380" s="77"/>
      <c r="AE380" s="77"/>
      <c r="AF380" s="77"/>
      <c r="AG380" s="77"/>
      <c r="AH380" s="77"/>
      <c r="AI380" s="92"/>
      <c r="AJ380" s="77"/>
      <c r="AK380" s="77"/>
      <c r="AL380" s="77"/>
      <c r="AM380" s="77"/>
      <c r="AN380" s="77"/>
      <c r="AO380" s="77"/>
      <c r="AP380" s="76"/>
      <c r="AQ380" s="81"/>
      <c r="AR380" s="76"/>
      <c r="AS380" s="81"/>
      <c r="AT380" s="76"/>
      <c r="AU380" s="81"/>
      <c r="AV380" s="77"/>
      <c r="AW380" s="81"/>
      <c r="AX380" s="77"/>
      <c r="AY380" s="81"/>
      <c r="AZ380" s="77"/>
      <c r="BA380" s="81"/>
      <c r="BB380" s="77"/>
      <c r="BC380" s="81"/>
      <c r="BD380" s="77"/>
      <c r="BE380" s="81"/>
      <c r="BF380" s="77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77"/>
      <c r="CH380" s="77"/>
      <c r="CI380" s="77"/>
      <c r="CJ380" s="77"/>
      <c r="CK380" s="77"/>
      <c r="CL380" s="77"/>
      <c r="CM380" s="77"/>
      <c r="CN380" s="77"/>
      <c r="CO380" s="77"/>
      <c r="CP380" s="77"/>
      <c r="CQ380" s="77"/>
      <c r="CR380" s="77"/>
      <c r="CS380" s="77"/>
      <c r="CT380" s="77"/>
      <c r="CU380" s="77"/>
      <c r="CV380" s="77"/>
      <c r="CW380" s="77"/>
    </row>
    <row r="381" spans="1:101" ht="16.5" x14ac:dyDescent="0.45">
      <c r="A381" s="76"/>
      <c r="B381" s="77"/>
      <c r="C381" s="77"/>
      <c r="D381" s="78"/>
      <c r="E381" s="80"/>
      <c r="F381" s="80"/>
      <c r="G381" s="81"/>
      <c r="H381" s="81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82"/>
      <c r="Z381" s="82"/>
      <c r="AA381" s="82"/>
      <c r="AB381" s="80"/>
      <c r="AC381" s="77"/>
      <c r="AD381" s="77"/>
      <c r="AE381" s="77"/>
      <c r="AF381" s="77"/>
      <c r="AG381" s="77"/>
      <c r="AH381" s="77"/>
      <c r="AI381" s="92"/>
      <c r="AJ381" s="77"/>
      <c r="AK381" s="77"/>
      <c r="AL381" s="77"/>
      <c r="AM381" s="77"/>
      <c r="AN381" s="77"/>
      <c r="AO381" s="77"/>
      <c r="AP381" s="76"/>
      <c r="AQ381" s="81"/>
      <c r="AR381" s="76"/>
      <c r="AS381" s="81"/>
      <c r="AT381" s="76"/>
      <c r="AU381" s="81"/>
      <c r="AV381" s="77"/>
      <c r="AW381" s="81"/>
      <c r="AX381" s="77"/>
      <c r="AY381" s="81"/>
      <c r="AZ381" s="77"/>
      <c r="BA381" s="81"/>
      <c r="BB381" s="77"/>
      <c r="BC381" s="81"/>
      <c r="BD381" s="77"/>
      <c r="BE381" s="81"/>
      <c r="BF381" s="77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77"/>
      <c r="CH381" s="77"/>
      <c r="CI381" s="77"/>
      <c r="CJ381" s="77"/>
      <c r="CK381" s="77"/>
      <c r="CL381" s="77"/>
      <c r="CM381" s="77"/>
      <c r="CN381" s="77"/>
      <c r="CO381" s="77"/>
      <c r="CP381" s="77"/>
      <c r="CQ381" s="77"/>
      <c r="CR381" s="77"/>
      <c r="CS381" s="77"/>
      <c r="CT381" s="77"/>
      <c r="CU381" s="77"/>
      <c r="CV381" s="77"/>
      <c r="CW381" s="77"/>
    </row>
    <row r="382" spans="1:101" ht="16.5" x14ac:dyDescent="0.45">
      <c r="A382" s="76"/>
      <c r="B382" s="77"/>
      <c r="C382" s="77"/>
      <c r="D382" s="78"/>
      <c r="E382" s="80"/>
      <c r="F382" s="80"/>
      <c r="G382" s="81"/>
      <c r="H382" s="81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82"/>
      <c r="Z382" s="82"/>
      <c r="AA382" s="82"/>
      <c r="AB382" s="80"/>
      <c r="AC382" s="77"/>
      <c r="AD382" s="77"/>
      <c r="AE382" s="77"/>
      <c r="AF382" s="77"/>
      <c r="AG382" s="77"/>
      <c r="AH382" s="77"/>
      <c r="AI382" s="92"/>
      <c r="AJ382" s="77"/>
      <c r="AK382" s="77"/>
      <c r="AL382" s="77"/>
      <c r="AM382" s="77"/>
      <c r="AN382" s="77"/>
      <c r="AO382" s="77"/>
      <c r="AP382" s="76"/>
      <c r="AQ382" s="81"/>
      <c r="AR382" s="76"/>
      <c r="AS382" s="81"/>
      <c r="AT382" s="76"/>
      <c r="AU382" s="81"/>
      <c r="AV382" s="77"/>
      <c r="AW382" s="81"/>
      <c r="AX382" s="77"/>
      <c r="AY382" s="81"/>
      <c r="AZ382" s="77"/>
      <c r="BA382" s="81"/>
      <c r="BB382" s="77"/>
      <c r="BC382" s="81"/>
      <c r="BD382" s="77"/>
      <c r="BE382" s="81"/>
      <c r="BF382" s="77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77"/>
      <c r="BU382" s="77"/>
      <c r="BV382" s="77"/>
      <c r="BW382" s="77"/>
      <c r="BX382" s="77"/>
      <c r="BY382" s="77"/>
      <c r="BZ382" s="77"/>
      <c r="CA382" s="77"/>
      <c r="CB382" s="77"/>
      <c r="CC382" s="77"/>
      <c r="CD382" s="77"/>
      <c r="CE382" s="77"/>
      <c r="CF382" s="77"/>
      <c r="CG382" s="77"/>
      <c r="CH382" s="77"/>
      <c r="CI382" s="77"/>
      <c r="CJ382" s="77"/>
      <c r="CK382" s="77"/>
      <c r="CL382" s="77"/>
      <c r="CM382" s="77"/>
      <c r="CN382" s="77"/>
      <c r="CO382" s="77"/>
      <c r="CP382" s="77"/>
      <c r="CQ382" s="77"/>
      <c r="CR382" s="77"/>
      <c r="CS382" s="77"/>
      <c r="CT382" s="77"/>
      <c r="CU382" s="77"/>
      <c r="CV382" s="77"/>
      <c r="CW382" s="77"/>
    </row>
    <row r="383" spans="1:101" ht="16.5" x14ac:dyDescent="0.45">
      <c r="A383" s="76"/>
      <c r="B383" s="77"/>
      <c r="C383" s="77"/>
      <c r="D383" s="78"/>
      <c r="E383" s="80"/>
      <c r="F383" s="80"/>
      <c r="G383" s="81"/>
      <c r="H383" s="81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82"/>
      <c r="Z383" s="82"/>
      <c r="AA383" s="82"/>
      <c r="AB383" s="80"/>
      <c r="AC383" s="77"/>
      <c r="AD383" s="77"/>
      <c r="AE383" s="77"/>
      <c r="AF383" s="77"/>
      <c r="AG383" s="77"/>
      <c r="AH383" s="77"/>
      <c r="AI383" s="92"/>
      <c r="AJ383" s="77"/>
      <c r="AK383" s="77"/>
      <c r="AL383" s="77"/>
      <c r="AM383" s="77"/>
      <c r="AN383" s="77"/>
      <c r="AO383" s="77"/>
      <c r="AP383" s="76"/>
      <c r="AQ383" s="81"/>
      <c r="AR383" s="76"/>
      <c r="AS383" s="81"/>
      <c r="AT383" s="76"/>
      <c r="AU383" s="81"/>
      <c r="AV383" s="77"/>
      <c r="AW383" s="81"/>
      <c r="AX383" s="77"/>
      <c r="AY383" s="81"/>
      <c r="AZ383" s="77"/>
      <c r="BA383" s="81"/>
      <c r="BB383" s="77"/>
      <c r="BC383" s="81"/>
      <c r="BD383" s="77"/>
      <c r="BE383" s="81"/>
      <c r="BF383" s="77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77"/>
      <c r="BU383" s="77"/>
      <c r="BV383" s="77"/>
      <c r="BW383" s="77"/>
      <c r="BX383" s="77"/>
      <c r="BY383" s="77"/>
      <c r="BZ383" s="77"/>
      <c r="CA383" s="77"/>
      <c r="CB383" s="77"/>
      <c r="CC383" s="77"/>
      <c r="CD383" s="77"/>
      <c r="CE383" s="77"/>
      <c r="CF383" s="77"/>
      <c r="CG383" s="77"/>
      <c r="CH383" s="77"/>
      <c r="CI383" s="77"/>
      <c r="CJ383" s="77"/>
      <c r="CK383" s="77"/>
      <c r="CL383" s="77"/>
      <c r="CM383" s="77"/>
      <c r="CN383" s="77"/>
      <c r="CO383" s="77"/>
      <c r="CP383" s="77"/>
      <c r="CQ383" s="77"/>
      <c r="CR383" s="77"/>
      <c r="CS383" s="77"/>
      <c r="CT383" s="77"/>
      <c r="CU383" s="77"/>
      <c r="CV383" s="77"/>
      <c r="CW383" s="77"/>
    </row>
    <row r="384" spans="1:101" ht="16.5" x14ac:dyDescent="0.45">
      <c r="A384" s="76"/>
      <c r="B384" s="77"/>
      <c r="C384" s="77"/>
      <c r="D384" s="78"/>
      <c r="E384" s="80"/>
      <c r="F384" s="80"/>
      <c r="G384" s="81"/>
      <c r="H384" s="81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82"/>
      <c r="Z384" s="82"/>
      <c r="AA384" s="82"/>
      <c r="AB384" s="80"/>
      <c r="AC384" s="77"/>
      <c r="AD384" s="77"/>
      <c r="AE384" s="77"/>
      <c r="AF384" s="77"/>
      <c r="AG384" s="77"/>
      <c r="AH384" s="77"/>
      <c r="AI384" s="92"/>
      <c r="AJ384" s="77"/>
      <c r="AK384" s="77"/>
      <c r="AL384" s="77"/>
      <c r="AM384" s="77"/>
      <c r="AN384" s="77"/>
      <c r="AO384" s="77"/>
      <c r="AP384" s="76"/>
      <c r="AQ384" s="81"/>
      <c r="AR384" s="76"/>
      <c r="AS384" s="81"/>
      <c r="AT384" s="76"/>
      <c r="AU384" s="81"/>
      <c r="AV384" s="77"/>
      <c r="AW384" s="81"/>
      <c r="AX384" s="77"/>
      <c r="AY384" s="81"/>
      <c r="AZ384" s="77"/>
      <c r="BA384" s="81"/>
      <c r="BB384" s="77"/>
      <c r="BC384" s="81"/>
      <c r="BD384" s="77"/>
      <c r="BE384" s="81"/>
      <c r="BF384" s="77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77"/>
      <c r="BU384" s="77"/>
      <c r="BV384" s="77"/>
      <c r="BW384" s="77"/>
      <c r="BX384" s="77"/>
      <c r="BY384" s="77"/>
      <c r="BZ384" s="77"/>
      <c r="CA384" s="77"/>
      <c r="CB384" s="77"/>
      <c r="CC384" s="77"/>
      <c r="CD384" s="77"/>
      <c r="CE384" s="77"/>
      <c r="CF384" s="77"/>
      <c r="CG384" s="77"/>
      <c r="CH384" s="77"/>
      <c r="CI384" s="77"/>
      <c r="CJ384" s="77"/>
      <c r="CK384" s="77"/>
      <c r="CL384" s="77"/>
      <c r="CM384" s="77"/>
      <c r="CN384" s="77"/>
      <c r="CO384" s="77"/>
      <c r="CP384" s="77"/>
      <c r="CQ384" s="77"/>
      <c r="CR384" s="77"/>
      <c r="CS384" s="77"/>
      <c r="CT384" s="77"/>
      <c r="CU384" s="77"/>
      <c r="CV384" s="77"/>
      <c r="CW384" s="77"/>
    </row>
    <row r="385" spans="1:101" ht="16.5" x14ac:dyDescent="0.45">
      <c r="A385" s="76"/>
      <c r="B385" s="77"/>
      <c r="C385" s="77"/>
      <c r="D385" s="78"/>
      <c r="E385" s="80"/>
      <c r="F385" s="80"/>
      <c r="G385" s="81"/>
      <c r="H385" s="81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82"/>
      <c r="Z385" s="82"/>
      <c r="AA385" s="82"/>
      <c r="AB385" s="80"/>
      <c r="AC385" s="77"/>
      <c r="AD385" s="77"/>
      <c r="AE385" s="77"/>
      <c r="AF385" s="77"/>
      <c r="AG385" s="77"/>
      <c r="AH385" s="77"/>
      <c r="AI385" s="92"/>
      <c r="AJ385" s="77"/>
      <c r="AK385" s="77"/>
      <c r="AL385" s="77"/>
      <c r="AM385" s="77"/>
      <c r="AN385" s="77"/>
      <c r="AO385" s="77"/>
      <c r="AP385" s="76"/>
      <c r="AQ385" s="81"/>
      <c r="AR385" s="76"/>
      <c r="AS385" s="81"/>
      <c r="AT385" s="76"/>
      <c r="AU385" s="81"/>
      <c r="AV385" s="77"/>
      <c r="AW385" s="81"/>
      <c r="AX385" s="77"/>
      <c r="AY385" s="81"/>
      <c r="AZ385" s="77"/>
      <c r="BA385" s="81"/>
      <c r="BB385" s="77"/>
      <c r="BC385" s="81"/>
      <c r="BD385" s="77"/>
      <c r="BE385" s="81"/>
      <c r="BF385" s="77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77"/>
      <c r="BU385" s="77"/>
      <c r="BV385" s="77"/>
      <c r="BW385" s="77"/>
      <c r="BX385" s="77"/>
      <c r="BY385" s="77"/>
      <c r="BZ385" s="77"/>
      <c r="CA385" s="77"/>
      <c r="CB385" s="77"/>
      <c r="CC385" s="77"/>
      <c r="CD385" s="77"/>
      <c r="CE385" s="77"/>
      <c r="CF385" s="77"/>
      <c r="CG385" s="77"/>
      <c r="CH385" s="77"/>
      <c r="CI385" s="77"/>
      <c r="CJ385" s="77"/>
      <c r="CK385" s="77"/>
      <c r="CL385" s="77"/>
      <c r="CM385" s="77"/>
      <c r="CN385" s="77"/>
      <c r="CO385" s="77"/>
      <c r="CP385" s="77"/>
      <c r="CQ385" s="77"/>
      <c r="CR385" s="77"/>
      <c r="CS385" s="77"/>
      <c r="CT385" s="77"/>
      <c r="CU385" s="77"/>
      <c r="CV385" s="77"/>
      <c r="CW385" s="77"/>
    </row>
    <row r="386" spans="1:101" ht="16.5" x14ac:dyDescent="0.45">
      <c r="A386" s="76"/>
      <c r="B386" s="77"/>
      <c r="C386" s="77"/>
      <c r="D386" s="78"/>
      <c r="E386" s="80"/>
      <c r="F386" s="80"/>
      <c r="G386" s="81"/>
      <c r="H386" s="81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82"/>
      <c r="Z386" s="82"/>
      <c r="AA386" s="82"/>
      <c r="AB386" s="80"/>
      <c r="AC386" s="77"/>
      <c r="AD386" s="77"/>
      <c r="AE386" s="77"/>
      <c r="AF386" s="77"/>
      <c r="AG386" s="77"/>
      <c r="AH386" s="77"/>
      <c r="AI386" s="92"/>
      <c r="AJ386" s="77"/>
      <c r="AK386" s="77"/>
      <c r="AL386" s="77"/>
      <c r="AM386" s="77"/>
      <c r="AN386" s="77"/>
      <c r="AO386" s="77"/>
      <c r="AP386" s="76"/>
      <c r="AQ386" s="81"/>
      <c r="AR386" s="76"/>
      <c r="AS386" s="81"/>
      <c r="AT386" s="76"/>
      <c r="AU386" s="81"/>
      <c r="AV386" s="77"/>
      <c r="AW386" s="81"/>
      <c r="AX386" s="77"/>
      <c r="AY386" s="81"/>
      <c r="AZ386" s="77"/>
      <c r="BA386" s="81"/>
      <c r="BB386" s="77"/>
      <c r="BC386" s="81"/>
      <c r="BD386" s="77"/>
      <c r="BE386" s="81"/>
      <c r="BF386" s="77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77"/>
      <c r="BU386" s="77"/>
      <c r="BV386" s="77"/>
      <c r="BW386" s="77"/>
      <c r="BX386" s="77"/>
      <c r="BY386" s="77"/>
      <c r="BZ386" s="77"/>
      <c r="CA386" s="77"/>
      <c r="CB386" s="77"/>
      <c r="CC386" s="77"/>
      <c r="CD386" s="77"/>
      <c r="CE386" s="77"/>
      <c r="CF386" s="77"/>
      <c r="CG386" s="77"/>
      <c r="CH386" s="77"/>
      <c r="CI386" s="77"/>
      <c r="CJ386" s="77"/>
      <c r="CK386" s="77"/>
      <c r="CL386" s="77"/>
      <c r="CM386" s="77"/>
      <c r="CN386" s="77"/>
      <c r="CO386" s="77"/>
      <c r="CP386" s="77"/>
      <c r="CQ386" s="77"/>
      <c r="CR386" s="77"/>
      <c r="CS386" s="77"/>
      <c r="CT386" s="77"/>
      <c r="CU386" s="77"/>
      <c r="CV386" s="77"/>
      <c r="CW386" s="77"/>
    </row>
    <row r="387" spans="1:101" ht="16.5" x14ac:dyDescent="0.45">
      <c r="A387" s="76"/>
      <c r="B387" s="77"/>
      <c r="C387" s="77"/>
      <c r="D387" s="78"/>
      <c r="E387" s="80"/>
      <c r="F387" s="80"/>
      <c r="G387" s="81"/>
      <c r="H387" s="81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82"/>
      <c r="Z387" s="82"/>
      <c r="AA387" s="82"/>
      <c r="AB387" s="80"/>
      <c r="AC387" s="77"/>
      <c r="AD387" s="77"/>
      <c r="AE387" s="77"/>
      <c r="AF387" s="77"/>
      <c r="AG387" s="77"/>
      <c r="AH387" s="77"/>
      <c r="AI387" s="92"/>
      <c r="AJ387" s="77"/>
      <c r="AK387" s="77"/>
      <c r="AL387" s="77"/>
      <c r="AM387" s="77"/>
      <c r="AN387" s="77"/>
      <c r="AO387" s="77"/>
      <c r="AP387" s="76"/>
      <c r="AQ387" s="81"/>
      <c r="AR387" s="76"/>
      <c r="AS387" s="81"/>
      <c r="AT387" s="76"/>
      <c r="AU387" s="81"/>
      <c r="AV387" s="77"/>
      <c r="AW387" s="81"/>
      <c r="AX387" s="77"/>
      <c r="AY387" s="81"/>
      <c r="AZ387" s="77"/>
      <c r="BA387" s="81"/>
      <c r="BB387" s="77"/>
      <c r="BC387" s="81"/>
      <c r="BD387" s="77"/>
      <c r="BE387" s="81"/>
      <c r="BF387" s="77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77"/>
      <c r="BU387" s="77"/>
      <c r="BV387" s="77"/>
      <c r="BW387" s="77"/>
      <c r="BX387" s="77"/>
      <c r="BY387" s="77"/>
      <c r="BZ387" s="77"/>
      <c r="CA387" s="77"/>
      <c r="CB387" s="77"/>
      <c r="CC387" s="77"/>
      <c r="CD387" s="77"/>
      <c r="CE387" s="77"/>
      <c r="CF387" s="77"/>
      <c r="CG387" s="77"/>
      <c r="CH387" s="77"/>
      <c r="CI387" s="77"/>
      <c r="CJ387" s="77"/>
      <c r="CK387" s="77"/>
      <c r="CL387" s="77"/>
      <c r="CM387" s="77"/>
      <c r="CN387" s="77"/>
      <c r="CO387" s="77"/>
      <c r="CP387" s="77"/>
      <c r="CQ387" s="77"/>
      <c r="CR387" s="77"/>
      <c r="CS387" s="77"/>
      <c r="CT387" s="77"/>
      <c r="CU387" s="77"/>
      <c r="CV387" s="77"/>
      <c r="CW387" s="77"/>
    </row>
    <row r="388" spans="1:101" ht="16.5" x14ac:dyDescent="0.45">
      <c r="A388" s="76"/>
      <c r="B388" s="77"/>
      <c r="C388" s="77"/>
      <c r="D388" s="78"/>
      <c r="E388" s="80"/>
      <c r="F388" s="80"/>
      <c r="G388" s="81"/>
      <c r="H388" s="81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82"/>
      <c r="Z388" s="82"/>
      <c r="AA388" s="82"/>
      <c r="AB388" s="80"/>
      <c r="AC388" s="77"/>
      <c r="AD388" s="77"/>
      <c r="AE388" s="77"/>
      <c r="AF388" s="77"/>
      <c r="AG388" s="77"/>
      <c r="AH388" s="77"/>
      <c r="AI388" s="92"/>
      <c r="AJ388" s="77"/>
      <c r="AK388" s="77"/>
      <c r="AL388" s="77"/>
      <c r="AM388" s="77"/>
      <c r="AN388" s="77"/>
      <c r="AO388" s="77"/>
      <c r="AP388" s="76"/>
      <c r="AQ388" s="81"/>
      <c r="AR388" s="76"/>
      <c r="AS388" s="81"/>
      <c r="AT388" s="76"/>
      <c r="AU388" s="81"/>
      <c r="AV388" s="77"/>
      <c r="AW388" s="81"/>
      <c r="AX388" s="77"/>
      <c r="AY388" s="81"/>
      <c r="AZ388" s="77"/>
      <c r="BA388" s="81"/>
      <c r="BB388" s="77"/>
      <c r="BC388" s="81"/>
      <c r="BD388" s="77"/>
      <c r="BE388" s="81"/>
      <c r="BF388" s="77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77"/>
      <c r="BU388" s="77"/>
      <c r="BV388" s="77"/>
      <c r="BW388" s="77"/>
      <c r="BX388" s="77"/>
      <c r="BY388" s="77"/>
      <c r="BZ388" s="77"/>
      <c r="CA388" s="77"/>
      <c r="CB388" s="77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77"/>
      <c r="CN388" s="77"/>
      <c r="CO388" s="77"/>
      <c r="CP388" s="77"/>
      <c r="CQ388" s="77"/>
      <c r="CR388" s="77"/>
      <c r="CS388" s="77"/>
      <c r="CT388" s="77"/>
      <c r="CU388" s="77"/>
      <c r="CV388" s="77"/>
      <c r="CW388" s="77"/>
    </row>
    <row r="389" spans="1:101" ht="16.5" x14ac:dyDescent="0.45">
      <c r="A389" s="76"/>
      <c r="B389" s="77"/>
      <c r="C389" s="77"/>
      <c r="D389" s="78"/>
      <c r="E389" s="80"/>
      <c r="F389" s="80"/>
      <c r="G389" s="81"/>
      <c r="H389" s="81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82"/>
      <c r="Z389" s="82"/>
      <c r="AA389" s="82"/>
      <c r="AB389" s="80"/>
      <c r="AC389" s="77"/>
      <c r="AD389" s="77"/>
      <c r="AE389" s="77"/>
      <c r="AF389" s="77"/>
      <c r="AG389" s="77"/>
      <c r="AH389" s="77"/>
      <c r="AI389" s="92"/>
      <c r="AJ389" s="77"/>
      <c r="AK389" s="77"/>
      <c r="AL389" s="77"/>
      <c r="AM389" s="77"/>
      <c r="AN389" s="77"/>
      <c r="AO389" s="77"/>
      <c r="AP389" s="76"/>
      <c r="AQ389" s="81"/>
      <c r="AR389" s="76"/>
      <c r="AS389" s="81"/>
      <c r="AT389" s="76"/>
      <c r="AU389" s="81"/>
      <c r="AV389" s="77"/>
      <c r="AW389" s="81"/>
      <c r="AX389" s="77"/>
      <c r="AY389" s="81"/>
      <c r="AZ389" s="77"/>
      <c r="BA389" s="81"/>
      <c r="BB389" s="77"/>
      <c r="BC389" s="81"/>
      <c r="BD389" s="77"/>
      <c r="BE389" s="81"/>
      <c r="BF389" s="77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77"/>
      <c r="BU389" s="77"/>
      <c r="BV389" s="77"/>
      <c r="BW389" s="77"/>
      <c r="BX389" s="77"/>
      <c r="BY389" s="77"/>
      <c r="BZ389" s="77"/>
      <c r="CA389" s="77"/>
      <c r="CB389" s="77"/>
      <c r="CC389" s="77"/>
      <c r="CD389" s="77"/>
      <c r="CE389" s="77"/>
      <c r="CF389" s="77"/>
      <c r="CG389" s="77"/>
      <c r="CH389" s="77"/>
      <c r="CI389" s="77"/>
      <c r="CJ389" s="77"/>
      <c r="CK389" s="77"/>
      <c r="CL389" s="77"/>
      <c r="CM389" s="77"/>
      <c r="CN389" s="77"/>
      <c r="CO389" s="77"/>
      <c r="CP389" s="77"/>
      <c r="CQ389" s="77"/>
      <c r="CR389" s="77"/>
      <c r="CS389" s="77"/>
      <c r="CT389" s="77"/>
      <c r="CU389" s="77"/>
      <c r="CV389" s="77"/>
      <c r="CW389" s="77"/>
    </row>
    <row r="390" spans="1:101" ht="16.5" x14ac:dyDescent="0.45">
      <c r="A390" s="76"/>
      <c r="B390" s="77"/>
      <c r="C390" s="77"/>
      <c r="D390" s="78"/>
      <c r="E390" s="80"/>
      <c r="F390" s="80"/>
      <c r="G390" s="81"/>
      <c r="H390" s="81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82"/>
      <c r="Z390" s="82"/>
      <c r="AA390" s="82"/>
      <c r="AB390" s="80"/>
      <c r="AC390" s="77"/>
      <c r="AD390" s="77"/>
      <c r="AE390" s="77"/>
      <c r="AF390" s="77"/>
      <c r="AG390" s="77"/>
      <c r="AH390" s="77"/>
      <c r="AI390" s="92"/>
      <c r="AJ390" s="77"/>
      <c r="AK390" s="77"/>
      <c r="AL390" s="77"/>
      <c r="AM390" s="77"/>
      <c r="AN390" s="77"/>
      <c r="AO390" s="77"/>
      <c r="AP390" s="76"/>
      <c r="AQ390" s="81"/>
      <c r="AR390" s="76"/>
      <c r="AS390" s="81"/>
      <c r="AT390" s="76"/>
      <c r="AU390" s="81"/>
      <c r="AV390" s="77"/>
      <c r="AW390" s="81"/>
      <c r="AX390" s="77"/>
      <c r="AY390" s="81"/>
      <c r="AZ390" s="77"/>
      <c r="BA390" s="81"/>
      <c r="BB390" s="77"/>
      <c r="BC390" s="81"/>
      <c r="BD390" s="77"/>
      <c r="BE390" s="81"/>
      <c r="BF390" s="77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77"/>
      <c r="BU390" s="77"/>
      <c r="BV390" s="77"/>
      <c r="BW390" s="77"/>
      <c r="BX390" s="77"/>
      <c r="BY390" s="77"/>
      <c r="BZ390" s="77"/>
      <c r="CA390" s="77"/>
      <c r="CB390" s="77"/>
      <c r="CC390" s="77"/>
      <c r="CD390" s="77"/>
      <c r="CE390" s="77"/>
      <c r="CF390" s="77"/>
      <c r="CG390" s="77"/>
      <c r="CH390" s="77"/>
      <c r="CI390" s="77"/>
      <c r="CJ390" s="77"/>
      <c r="CK390" s="77"/>
      <c r="CL390" s="77"/>
      <c r="CM390" s="77"/>
      <c r="CN390" s="77"/>
      <c r="CO390" s="77"/>
      <c r="CP390" s="77"/>
      <c r="CQ390" s="77"/>
      <c r="CR390" s="77"/>
      <c r="CS390" s="77"/>
      <c r="CT390" s="77"/>
      <c r="CU390" s="77"/>
      <c r="CV390" s="77"/>
      <c r="CW390" s="77"/>
    </row>
    <row r="391" spans="1:101" ht="16.5" x14ac:dyDescent="0.45">
      <c r="A391" s="76"/>
      <c r="B391" s="77"/>
      <c r="C391" s="77"/>
      <c r="D391" s="78"/>
      <c r="E391" s="80"/>
      <c r="F391" s="80"/>
      <c r="G391" s="81"/>
      <c r="H391" s="81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82"/>
      <c r="Z391" s="82"/>
      <c r="AA391" s="82"/>
      <c r="AB391" s="80"/>
      <c r="AC391" s="77"/>
      <c r="AD391" s="77"/>
      <c r="AE391" s="77"/>
      <c r="AF391" s="77"/>
      <c r="AG391" s="77"/>
      <c r="AH391" s="77"/>
      <c r="AI391" s="92"/>
      <c r="AJ391" s="77"/>
      <c r="AK391" s="77"/>
      <c r="AL391" s="77"/>
      <c r="AM391" s="77"/>
      <c r="AN391" s="77"/>
      <c r="AO391" s="77"/>
      <c r="AP391" s="76"/>
      <c r="AQ391" s="81"/>
      <c r="AR391" s="76"/>
      <c r="AS391" s="81"/>
      <c r="AT391" s="76"/>
      <c r="AU391" s="81"/>
      <c r="AV391" s="77"/>
      <c r="AW391" s="81"/>
      <c r="AX391" s="77"/>
      <c r="AY391" s="81"/>
      <c r="AZ391" s="77"/>
      <c r="BA391" s="81"/>
      <c r="BB391" s="77"/>
      <c r="BC391" s="81"/>
      <c r="BD391" s="77"/>
      <c r="BE391" s="81"/>
      <c r="BF391" s="77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77"/>
      <c r="BU391" s="77"/>
      <c r="BV391" s="77"/>
      <c r="BW391" s="77"/>
      <c r="BX391" s="77"/>
      <c r="BY391" s="77"/>
      <c r="BZ391" s="77"/>
      <c r="CA391" s="77"/>
      <c r="CB391" s="77"/>
      <c r="CC391" s="77"/>
      <c r="CD391" s="77"/>
      <c r="CE391" s="77"/>
      <c r="CF391" s="77"/>
      <c r="CG391" s="77"/>
      <c r="CH391" s="77"/>
      <c r="CI391" s="77"/>
      <c r="CJ391" s="77"/>
      <c r="CK391" s="77"/>
      <c r="CL391" s="77"/>
      <c r="CM391" s="77"/>
      <c r="CN391" s="77"/>
      <c r="CO391" s="77"/>
      <c r="CP391" s="77"/>
      <c r="CQ391" s="77"/>
      <c r="CR391" s="77"/>
      <c r="CS391" s="77"/>
      <c r="CT391" s="77"/>
      <c r="CU391" s="77"/>
      <c r="CV391" s="77"/>
      <c r="CW391" s="77"/>
    </row>
    <row r="392" spans="1:101" ht="16.5" x14ac:dyDescent="0.45">
      <c r="A392" s="76"/>
      <c r="B392" s="77"/>
      <c r="C392" s="77"/>
      <c r="D392" s="78"/>
      <c r="E392" s="80"/>
      <c r="F392" s="80"/>
      <c r="G392" s="81"/>
      <c r="H392" s="81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82"/>
      <c r="Z392" s="82"/>
      <c r="AA392" s="82"/>
      <c r="AB392" s="80"/>
      <c r="AC392" s="77"/>
      <c r="AD392" s="77"/>
      <c r="AE392" s="77"/>
      <c r="AF392" s="77"/>
      <c r="AG392" s="77"/>
      <c r="AH392" s="77"/>
      <c r="AI392" s="92"/>
      <c r="AJ392" s="77"/>
      <c r="AK392" s="77"/>
      <c r="AL392" s="77"/>
      <c r="AM392" s="77"/>
      <c r="AN392" s="77"/>
      <c r="AO392" s="77"/>
      <c r="AP392" s="76"/>
      <c r="AQ392" s="81"/>
      <c r="AR392" s="76"/>
      <c r="AS392" s="81"/>
      <c r="AT392" s="76"/>
      <c r="AU392" s="81"/>
      <c r="AV392" s="77"/>
      <c r="AW392" s="81"/>
      <c r="AX392" s="77"/>
      <c r="AY392" s="81"/>
      <c r="AZ392" s="77"/>
      <c r="BA392" s="81"/>
      <c r="BB392" s="77"/>
      <c r="BC392" s="81"/>
      <c r="BD392" s="77"/>
      <c r="BE392" s="81"/>
      <c r="BF392" s="77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77"/>
      <c r="BU392" s="77"/>
      <c r="BV392" s="77"/>
      <c r="BW392" s="77"/>
      <c r="BX392" s="77"/>
      <c r="BY392" s="77"/>
      <c r="BZ392" s="77"/>
      <c r="CA392" s="77"/>
      <c r="CB392" s="77"/>
      <c r="CC392" s="77"/>
      <c r="CD392" s="77"/>
      <c r="CE392" s="77"/>
      <c r="CF392" s="77"/>
      <c r="CG392" s="77"/>
      <c r="CH392" s="77"/>
      <c r="CI392" s="77"/>
      <c r="CJ392" s="77"/>
      <c r="CK392" s="77"/>
      <c r="CL392" s="77"/>
      <c r="CM392" s="77"/>
      <c r="CN392" s="77"/>
      <c r="CO392" s="77"/>
      <c r="CP392" s="77"/>
      <c r="CQ392" s="77"/>
      <c r="CR392" s="77"/>
      <c r="CS392" s="77"/>
      <c r="CT392" s="77"/>
      <c r="CU392" s="77"/>
      <c r="CV392" s="77"/>
      <c r="CW392" s="77"/>
    </row>
    <row r="393" spans="1:101" ht="16.5" x14ac:dyDescent="0.45">
      <c r="A393" s="76"/>
      <c r="B393" s="77"/>
      <c r="C393" s="77"/>
      <c r="D393" s="78"/>
      <c r="E393" s="80"/>
      <c r="F393" s="80"/>
      <c r="G393" s="81"/>
      <c r="H393" s="81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82"/>
      <c r="Z393" s="82"/>
      <c r="AA393" s="82"/>
      <c r="AB393" s="80"/>
      <c r="AC393" s="77"/>
      <c r="AD393" s="77"/>
      <c r="AE393" s="77"/>
      <c r="AF393" s="77"/>
      <c r="AG393" s="77"/>
      <c r="AH393" s="77"/>
      <c r="AI393" s="92"/>
      <c r="AJ393" s="77"/>
      <c r="AK393" s="77"/>
      <c r="AL393" s="77"/>
      <c r="AM393" s="77"/>
      <c r="AN393" s="77"/>
      <c r="AO393" s="77"/>
      <c r="AP393" s="76"/>
      <c r="AQ393" s="81"/>
      <c r="AR393" s="76"/>
      <c r="AS393" s="81"/>
      <c r="AT393" s="76"/>
      <c r="AU393" s="81"/>
      <c r="AV393" s="77"/>
      <c r="AW393" s="81"/>
      <c r="AX393" s="77"/>
      <c r="AY393" s="81"/>
      <c r="AZ393" s="77"/>
      <c r="BA393" s="81"/>
      <c r="BB393" s="77"/>
      <c r="BC393" s="81"/>
      <c r="BD393" s="77"/>
      <c r="BE393" s="81"/>
      <c r="BF393" s="77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77"/>
      <c r="BU393" s="77"/>
      <c r="BV393" s="77"/>
      <c r="BW393" s="77"/>
      <c r="BX393" s="77"/>
      <c r="BY393" s="77"/>
      <c r="BZ393" s="77"/>
      <c r="CA393" s="77"/>
      <c r="CB393" s="77"/>
      <c r="CC393" s="77"/>
      <c r="CD393" s="77"/>
      <c r="CE393" s="77"/>
      <c r="CF393" s="77"/>
      <c r="CG393" s="77"/>
      <c r="CH393" s="77"/>
      <c r="CI393" s="77"/>
      <c r="CJ393" s="77"/>
      <c r="CK393" s="77"/>
      <c r="CL393" s="77"/>
      <c r="CM393" s="77"/>
      <c r="CN393" s="77"/>
      <c r="CO393" s="77"/>
      <c r="CP393" s="77"/>
      <c r="CQ393" s="77"/>
      <c r="CR393" s="77"/>
      <c r="CS393" s="77"/>
      <c r="CT393" s="77"/>
      <c r="CU393" s="77"/>
      <c r="CV393" s="77"/>
      <c r="CW393" s="77"/>
    </row>
    <row r="394" spans="1:101" ht="16.5" x14ac:dyDescent="0.45">
      <c r="A394" s="76"/>
      <c r="B394" s="77"/>
      <c r="C394" s="77"/>
      <c r="D394" s="78"/>
      <c r="E394" s="80"/>
      <c r="F394" s="80"/>
      <c r="G394" s="81"/>
      <c r="H394" s="81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82"/>
      <c r="Z394" s="82"/>
      <c r="AA394" s="82"/>
      <c r="AB394" s="80"/>
      <c r="AC394" s="77"/>
      <c r="AD394" s="77"/>
      <c r="AE394" s="77"/>
      <c r="AF394" s="77"/>
      <c r="AG394" s="77"/>
      <c r="AH394" s="77"/>
      <c r="AI394" s="92"/>
      <c r="AJ394" s="77"/>
      <c r="AK394" s="77"/>
      <c r="AL394" s="77"/>
      <c r="AM394" s="77"/>
      <c r="AN394" s="77"/>
      <c r="AO394" s="77"/>
      <c r="AP394" s="76"/>
      <c r="AQ394" s="81"/>
      <c r="AR394" s="76"/>
      <c r="AS394" s="81"/>
      <c r="AT394" s="76"/>
      <c r="AU394" s="81"/>
      <c r="AV394" s="77"/>
      <c r="AW394" s="81"/>
      <c r="AX394" s="77"/>
      <c r="AY394" s="81"/>
      <c r="AZ394" s="77"/>
      <c r="BA394" s="81"/>
      <c r="BB394" s="77"/>
      <c r="BC394" s="81"/>
      <c r="BD394" s="77"/>
      <c r="BE394" s="81"/>
      <c r="BF394" s="77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77"/>
      <c r="BU394" s="77"/>
      <c r="BV394" s="77"/>
      <c r="BW394" s="77"/>
      <c r="BX394" s="77"/>
      <c r="BY394" s="77"/>
      <c r="BZ394" s="77"/>
      <c r="CA394" s="77"/>
      <c r="CB394" s="77"/>
      <c r="CC394" s="77"/>
      <c r="CD394" s="77"/>
      <c r="CE394" s="77"/>
      <c r="CF394" s="77"/>
      <c r="CG394" s="77"/>
      <c r="CH394" s="77"/>
      <c r="CI394" s="77"/>
      <c r="CJ394" s="77"/>
      <c r="CK394" s="77"/>
      <c r="CL394" s="77"/>
      <c r="CM394" s="77"/>
      <c r="CN394" s="77"/>
      <c r="CO394" s="77"/>
      <c r="CP394" s="77"/>
      <c r="CQ394" s="77"/>
      <c r="CR394" s="77"/>
      <c r="CS394" s="77"/>
      <c r="CT394" s="77"/>
      <c r="CU394" s="77"/>
      <c r="CV394" s="77"/>
      <c r="CW394" s="77"/>
    </row>
    <row r="395" spans="1:101" ht="16.5" x14ac:dyDescent="0.45">
      <c r="A395" s="76"/>
      <c r="B395" s="77"/>
      <c r="C395" s="77"/>
      <c r="D395" s="78"/>
      <c r="E395" s="80"/>
      <c r="F395" s="80"/>
      <c r="G395" s="81"/>
      <c r="H395" s="81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82"/>
      <c r="Z395" s="82"/>
      <c r="AA395" s="82"/>
      <c r="AB395" s="80"/>
      <c r="AC395" s="77"/>
      <c r="AD395" s="77"/>
      <c r="AE395" s="77"/>
      <c r="AF395" s="77"/>
      <c r="AG395" s="77"/>
      <c r="AH395" s="77"/>
      <c r="AI395" s="92"/>
      <c r="AJ395" s="77"/>
      <c r="AK395" s="77"/>
      <c r="AL395" s="77"/>
      <c r="AM395" s="77"/>
      <c r="AN395" s="77"/>
      <c r="AO395" s="77"/>
      <c r="AP395" s="76"/>
      <c r="AQ395" s="81"/>
      <c r="AR395" s="76"/>
      <c r="AS395" s="81"/>
      <c r="AT395" s="76"/>
      <c r="AU395" s="81"/>
      <c r="AV395" s="77"/>
      <c r="AW395" s="81"/>
      <c r="AX395" s="77"/>
      <c r="AY395" s="81"/>
      <c r="AZ395" s="77"/>
      <c r="BA395" s="81"/>
      <c r="BB395" s="77"/>
      <c r="BC395" s="81"/>
      <c r="BD395" s="77"/>
      <c r="BE395" s="81"/>
      <c r="BF395" s="77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77"/>
      <c r="BU395" s="77"/>
      <c r="BV395" s="77"/>
      <c r="BW395" s="77"/>
      <c r="BX395" s="77"/>
      <c r="BY395" s="77"/>
      <c r="BZ395" s="77"/>
      <c r="CA395" s="77"/>
      <c r="CB395" s="77"/>
      <c r="CC395" s="77"/>
      <c r="CD395" s="77"/>
      <c r="CE395" s="77"/>
      <c r="CF395" s="77"/>
      <c r="CG395" s="77"/>
      <c r="CH395" s="77"/>
      <c r="CI395" s="77"/>
      <c r="CJ395" s="77"/>
      <c r="CK395" s="77"/>
      <c r="CL395" s="77"/>
      <c r="CM395" s="77"/>
      <c r="CN395" s="77"/>
      <c r="CO395" s="77"/>
      <c r="CP395" s="77"/>
      <c r="CQ395" s="77"/>
      <c r="CR395" s="77"/>
      <c r="CS395" s="77"/>
      <c r="CT395" s="77"/>
      <c r="CU395" s="77"/>
      <c r="CV395" s="77"/>
      <c r="CW395" s="77"/>
    </row>
    <row r="396" spans="1:101" ht="16.5" x14ac:dyDescent="0.45">
      <c r="A396" s="76"/>
      <c r="B396" s="77"/>
      <c r="C396" s="77"/>
      <c r="D396" s="78"/>
      <c r="E396" s="80"/>
      <c r="F396" s="80"/>
      <c r="G396" s="81"/>
      <c r="H396" s="81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82"/>
      <c r="Z396" s="82"/>
      <c r="AA396" s="82"/>
      <c r="AB396" s="80"/>
      <c r="AC396" s="77"/>
      <c r="AD396" s="77"/>
      <c r="AE396" s="77"/>
      <c r="AF396" s="77"/>
      <c r="AG396" s="77"/>
      <c r="AH396" s="77"/>
      <c r="AI396" s="92"/>
      <c r="AJ396" s="77"/>
      <c r="AK396" s="77"/>
      <c r="AL396" s="77"/>
      <c r="AM396" s="77"/>
      <c r="AN396" s="77"/>
      <c r="AO396" s="77"/>
      <c r="AP396" s="76"/>
      <c r="AQ396" s="81"/>
      <c r="AR396" s="76"/>
      <c r="AS396" s="81"/>
      <c r="AT396" s="76"/>
      <c r="AU396" s="81"/>
      <c r="AV396" s="77"/>
      <c r="AW396" s="81"/>
      <c r="AX396" s="77"/>
      <c r="AY396" s="81"/>
      <c r="AZ396" s="77"/>
      <c r="BA396" s="81"/>
      <c r="BB396" s="77"/>
      <c r="BC396" s="81"/>
      <c r="BD396" s="77"/>
      <c r="BE396" s="81"/>
      <c r="BF396" s="77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77"/>
      <c r="CF396" s="77"/>
      <c r="CG396" s="77"/>
      <c r="CH396" s="77"/>
      <c r="CI396" s="77"/>
      <c r="CJ396" s="77"/>
      <c r="CK396" s="77"/>
      <c r="CL396" s="77"/>
      <c r="CM396" s="77"/>
      <c r="CN396" s="77"/>
      <c r="CO396" s="77"/>
      <c r="CP396" s="77"/>
      <c r="CQ396" s="77"/>
      <c r="CR396" s="77"/>
      <c r="CS396" s="77"/>
      <c r="CT396" s="77"/>
      <c r="CU396" s="77"/>
      <c r="CV396" s="77"/>
      <c r="CW396" s="77"/>
    </row>
    <row r="397" spans="1:101" ht="16.5" x14ac:dyDescent="0.45">
      <c r="A397" s="76"/>
      <c r="B397" s="77"/>
      <c r="C397" s="77"/>
      <c r="D397" s="78"/>
      <c r="E397" s="80"/>
      <c r="F397" s="80"/>
      <c r="G397" s="81"/>
      <c r="H397" s="81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82"/>
      <c r="Z397" s="82"/>
      <c r="AA397" s="82"/>
      <c r="AB397" s="80"/>
      <c r="AC397" s="77"/>
      <c r="AD397" s="77"/>
      <c r="AE397" s="77"/>
      <c r="AF397" s="77"/>
      <c r="AG397" s="77"/>
      <c r="AH397" s="77"/>
      <c r="AI397" s="92"/>
      <c r="AJ397" s="77"/>
      <c r="AK397" s="77"/>
      <c r="AL397" s="77"/>
      <c r="AM397" s="77"/>
      <c r="AN397" s="77"/>
      <c r="AO397" s="77"/>
      <c r="AP397" s="76"/>
      <c r="AQ397" s="81"/>
      <c r="AR397" s="76"/>
      <c r="AS397" s="81"/>
      <c r="AT397" s="76"/>
      <c r="AU397" s="81"/>
      <c r="AV397" s="77"/>
      <c r="AW397" s="81"/>
      <c r="AX397" s="77"/>
      <c r="AY397" s="81"/>
      <c r="AZ397" s="77"/>
      <c r="BA397" s="81"/>
      <c r="BB397" s="77"/>
      <c r="BC397" s="81"/>
      <c r="BD397" s="77"/>
      <c r="BE397" s="81"/>
      <c r="BF397" s="77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77"/>
      <c r="CF397" s="77"/>
      <c r="CG397" s="77"/>
      <c r="CH397" s="77"/>
      <c r="CI397" s="77"/>
      <c r="CJ397" s="77"/>
      <c r="CK397" s="77"/>
      <c r="CL397" s="77"/>
      <c r="CM397" s="77"/>
      <c r="CN397" s="77"/>
      <c r="CO397" s="77"/>
      <c r="CP397" s="77"/>
      <c r="CQ397" s="77"/>
      <c r="CR397" s="77"/>
      <c r="CS397" s="77"/>
      <c r="CT397" s="77"/>
      <c r="CU397" s="77"/>
      <c r="CV397" s="77"/>
      <c r="CW397" s="77"/>
    </row>
    <row r="398" spans="1:101" ht="16.5" x14ac:dyDescent="0.45">
      <c r="A398" s="76"/>
      <c r="B398" s="77"/>
      <c r="C398" s="77"/>
      <c r="D398" s="78"/>
      <c r="E398" s="80"/>
      <c r="F398" s="80"/>
      <c r="G398" s="81"/>
      <c r="H398" s="81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82"/>
      <c r="Z398" s="82"/>
      <c r="AA398" s="82"/>
      <c r="AB398" s="80"/>
      <c r="AC398" s="77"/>
      <c r="AD398" s="77"/>
      <c r="AE398" s="77"/>
      <c r="AF398" s="77"/>
      <c r="AG398" s="77"/>
      <c r="AH398" s="77"/>
      <c r="AI398" s="92"/>
      <c r="AJ398" s="77"/>
      <c r="AK398" s="77"/>
      <c r="AL398" s="77"/>
      <c r="AM398" s="77"/>
      <c r="AN398" s="77"/>
      <c r="AO398" s="77"/>
      <c r="AP398" s="76"/>
      <c r="AQ398" s="81"/>
      <c r="AR398" s="76"/>
      <c r="AS398" s="81"/>
      <c r="AT398" s="76"/>
      <c r="AU398" s="81"/>
      <c r="AV398" s="77"/>
      <c r="AW398" s="81"/>
      <c r="AX398" s="77"/>
      <c r="AY398" s="81"/>
      <c r="AZ398" s="77"/>
      <c r="BA398" s="81"/>
      <c r="BB398" s="77"/>
      <c r="BC398" s="81"/>
      <c r="BD398" s="77"/>
      <c r="BE398" s="81"/>
      <c r="BF398" s="77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77"/>
      <c r="BU398" s="77"/>
      <c r="BV398" s="77"/>
      <c r="BW398" s="77"/>
      <c r="BX398" s="77"/>
      <c r="BY398" s="77"/>
      <c r="BZ398" s="77"/>
      <c r="CA398" s="77"/>
      <c r="CB398" s="77"/>
      <c r="CC398" s="77"/>
      <c r="CD398" s="77"/>
      <c r="CE398" s="77"/>
      <c r="CF398" s="77"/>
      <c r="CG398" s="77"/>
      <c r="CH398" s="77"/>
      <c r="CI398" s="77"/>
      <c r="CJ398" s="77"/>
      <c r="CK398" s="77"/>
      <c r="CL398" s="77"/>
      <c r="CM398" s="77"/>
      <c r="CN398" s="77"/>
      <c r="CO398" s="77"/>
      <c r="CP398" s="77"/>
      <c r="CQ398" s="77"/>
      <c r="CR398" s="77"/>
      <c r="CS398" s="77"/>
      <c r="CT398" s="77"/>
      <c r="CU398" s="77"/>
      <c r="CV398" s="77"/>
      <c r="CW398" s="77"/>
    </row>
    <row r="399" spans="1:101" ht="16.5" x14ac:dyDescent="0.45">
      <c r="A399" s="76"/>
      <c r="B399" s="77"/>
      <c r="C399" s="77"/>
      <c r="D399" s="78"/>
      <c r="E399" s="80"/>
      <c r="F399" s="80"/>
      <c r="G399" s="81"/>
      <c r="H399" s="81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82"/>
      <c r="Z399" s="82"/>
      <c r="AA399" s="82"/>
      <c r="AB399" s="80"/>
      <c r="AC399" s="77"/>
      <c r="AD399" s="77"/>
      <c r="AE399" s="77"/>
      <c r="AF399" s="77"/>
      <c r="AG399" s="77"/>
      <c r="AH399" s="77"/>
      <c r="AI399" s="92"/>
      <c r="AJ399" s="77"/>
      <c r="AK399" s="77"/>
      <c r="AL399" s="77"/>
      <c r="AM399" s="77"/>
      <c r="AN399" s="77"/>
      <c r="AO399" s="77"/>
      <c r="AP399" s="76"/>
      <c r="AQ399" s="81"/>
      <c r="AR399" s="76"/>
      <c r="AS399" s="81"/>
      <c r="AT399" s="76"/>
      <c r="AU399" s="81"/>
      <c r="AV399" s="77"/>
      <c r="AW399" s="81"/>
      <c r="AX399" s="77"/>
      <c r="AY399" s="81"/>
      <c r="AZ399" s="77"/>
      <c r="BA399" s="81"/>
      <c r="BB399" s="77"/>
      <c r="BC399" s="81"/>
      <c r="BD399" s="77"/>
      <c r="BE399" s="81"/>
      <c r="BF399" s="77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77"/>
      <c r="BU399" s="77"/>
      <c r="BV399" s="77"/>
      <c r="BW399" s="77"/>
      <c r="BX399" s="77"/>
      <c r="BY399" s="77"/>
      <c r="BZ399" s="77"/>
      <c r="CA399" s="77"/>
      <c r="CB399" s="77"/>
      <c r="CC399" s="77"/>
      <c r="CD399" s="77"/>
      <c r="CE399" s="77"/>
      <c r="CF399" s="77"/>
      <c r="CG399" s="77"/>
      <c r="CH399" s="77"/>
      <c r="CI399" s="77"/>
      <c r="CJ399" s="77"/>
      <c r="CK399" s="77"/>
      <c r="CL399" s="77"/>
      <c r="CM399" s="77"/>
      <c r="CN399" s="77"/>
      <c r="CO399" s="77"/>
      <c r="CP399" s="77"/>
      <c r="CQ399" s="77"/>
      <c r="CR399" s="77"/>
      <c r="CS399" s="77"/>
      <c r="CT399" s="77"/>
      <c r="CU399" s="77"/>
      <c r="CV399" s="77"/>
      <c r="CW399" s="77"/>
    </row>
    <row r="400" spans="1:101" ht="16.5" x14ac:dyDescent="0.45">
      <c r="A400" s="76"/>
      <c r="B400" s="77"/>
      <c r="C400" s="77"/>
      <c r="D400" s="78"/>
      <c r="E400" s="80"/>
      <c r="F400" s="80"/>
      <c r="G400" s="81"/>
      <c r="H400" s="81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82"/>
      <c r="Z400" s="82"/>
      <c r="AA400" s="82"/>
      <c r="AB400" s="80"/>
      <c r="AC400" s="77"/>
      <c r="AD400" s="77"/>
      <c r="AE400" s="77"/>
      <c r="AF400" s="77"/>
      <c r="AG400" s="77"/>
      <c r="AH400" s="77"/>
      <c r="AI400" s="92"/>
      <c r="AJ400" s="77"/>
      <c r="AK400" s="77"/>
      <c r="AL400" s="77"/>
      <c r="AM400" s="77"/>
      <c r="AN400" s="77"/>
      <c r="AO400" s="77"/>
      <c r="AP400" s="76"/>
      <c r="AQ400" s="81"/>
      <c r="AR400" s="76"/>
      <c r="AS400" s="81"/>
      <c r="AT400" s="76"/>
      <c r="AU400" s="81"/>
      <c r="AV400" s="77"/>
      <c r="AW400" s="81"/>
      <c r="AX400" s="77"/>
      <c r="AY400" s="81"/>
      <c r="AZ400" s="77"/>
      <c r="BA400" s="81"/>
      <c r="BB400" s="77"/>
      <c r="BC400" s="81"/>
      <c r="BD400" s="77"/>
      <c r="BE400" s="81"/>
      <c r="BF400" s="77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77"/>
      <c r="BU400" s="77"/>
      <c r="BV400" s="77"/>
      <c r="BW400" s="77"/>
      <c r="BX400" s="77"/>
      <c r="BY400" s="77"/>
      <c r="BZ400" s="77"/>
      <c r="CA400" s="77"/>
      <c r="CB400" s="77"/>
      <c r="CC400" s="77"/>
      <c r="CD400" s="77"/>
      <c r="CE400" s="77"/>
      <c r="CF400" s="77"/>
      <c r="CG400" s="77"/>
      <c r="CH400" s="77"/>
      <c r="CI400" s="77"/>
      <c r="CJ400" s="77"/>
      <c r="CK400" s="77"/>
      <c r="CL400" s="77"/>
      <c r="CM400" s="77"/>
      <c r="CN400" s="77"/>
      <c r="CO400" s="77"/>
      <c r="CP400" s="77"/>
      <c r="CQ400" s="77"/>
      <c r="CR400" s="77"/>
      <c r="CS400" s="77"/>
      <c r="CT400" s="77"/>
      <c r="CU400" s="77"/>
      <c r="CV400" s="77"/>
      <c r="CW400" s="77"/>
    </row>
    <row r="401" spans="1:101" ht="16.5" x14ac:dyDescent="0.45">
      <c r="A401" s="76"/>
      <c r="B401" s="77"/>
      <c r="C401" s="77"/>
      <c r="D401" s="78"/>
      <c r="E401" s="80"/>
      <c r="F401" s="80"/>
      <c r="G401" s="81"/>
      <c r="H401" s="81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82"/>
      <c r="Z401" s="82"/>
      <c r="AA401" s="82"/>
      <c r="AB401" s="80"/>
      <c r="AC401" s="77"/>
      <c r="AD401" s="77"/>
      <c r="AE401" s="77"/>
      <c r="AF401" s="77"/>
      <c r="AG401" s="77"/>
      <c r="AH401" s="77"/>
      <c r="AI401" s="92"/>
      <c r="AJ401" s="77"/>
      <c r="AK401" s="77"/>
      <c r="AL401" s="77"/>
      <c r="AM401" s="77"/>
      <c r="AN401" s="77"/>
      <c r="AO401" s="77"/>
      <c r="AP401" s="76"/>
      <c r="AQ401" s="81"/>
      <c r="AR401" s="76"/>
      <c r="AS401" s="81"/>
      <c r="AT401" s="76"/>
      <c r="AU401" s="81"/>
      <c r="AV401" s="77"/>
      <c r="AW401" s="81"/>
      <c r="AX401" s="77"/>
      <c r="AY401" s="81"/>
      <c r="AZ401" s="77"/>
      <c r="BA401" s="81"/>
      <c r="BB401" s="77"/>
      <c r="BC401" s="81"/>
      <c r="BD401" s="77"/>
      <c r="BE401" s="81"/>
      <c r="BF401" s="77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77"/>
      <c r="BU401" s="77"/>
      <c r="BV401" s="77"/>
      <c r="BW401" s="77"/>
      <c r="BX401" s="77"/>
      <c r="BY401" s="77"/>
      <c r="BZ401" s="77"/>
      <c r="CA401" s="77"/>
      <c r="CB401" s="77"/>
      <c r="CC401" s="77"/>
      <c r="CD401" s="77"/>
      <c r="CE401" s="77"/>
      <c r="CF401" s="77"/>
      <c r="CG401" s="77"/>
      <c r="CH401" s="77"/>
      <c r="CI401" s="77"/>
      <c r="CJ401" s="77"/>
      <c r="CK401" s="77"/>
      <c r="CL401" s="77"/>
      <c r="CM401" s="77"/>
      <c r="CN401" s="77"/>
      <c r="CO401" s="77"/>
      <c r="CP401" s="77"/>
      <c r="CQ401" s="77"/>
      <c r="CR401" s="77"/>
      <c r="CS401" s="77"/>
      <c r="CT401" s="77"/>
      <c r="CU401" s="77"/>
      <c r="CV401" s="77"/>
      <c r="CW401" s="77"/>
    </row>
    <row r="402" spans="1:101" ht="16.5" x14ac:dyDescent="0.45">
      <c r="A402" s="76"/>
      <c r="B402" s="77"/>
      <c r="C402" s="77"/>
      <c r="D402" s="78"/>
      <c r="E402" s="80"/>
      <c r="F402" s="80"/>
      <c r="G402" s="81"/>
      <c r="H402" s="81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82"/>
      <c r="Z402" s="82"/>
      <c r="AA402" s="82"/>
      <c r="AB402" s="80"/>
      <c r="AC402" s="77"/>
      <c r="AD402" s="77"/>
      <c r="AE402" s="77"/>
      <c r="AF402" s="77"/>
      <c r="AG402" s="77"/>
      <c r="AH402" s="77"/>
      <c r="AI402" s="92"/>
      <c r="AJ402" s="77"/>
      <c r="AK402" s="77"/>
      <c r="AL402" s="77"/>
      <c r="AM402" s="77"/>
      <c r="AN402" s="77"/>
      <c r="AO402" s="77"/>
      <c r="AP402" s="76"/>
      <c r="AQ402" s="81"/>
      <c r="AR402" s="76"/>
      <c r="AS402" s="81"/>
      <c r="AT402" s="76"/>
      <c r="AU402" s="81"/>
      <c r="AV402" s="77"/>
      <c r="AW402" s="81"/>
      <c r="AX402" s="77"/>
      <c r="AY402" s="81"/>
      <c r="AZ402" s="77"/>
      <c r="BA402" s="81"/>
      <c r="BB402" s="77"/>
      <c r="BC402" s="81"/>
      <c r="BD402" s="77"/>
      <c r="BE402" s="81"/>
      <c r="BF402" s="77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77"/>
      <c r="CF402" s="77"/>
      <c r="CG402" s="77"/>
      <c r="CH402" s="77"/>
      <c r="CI402" s="77"/>
      <c r="CJ402" s="77"/>
      <c r="CK402" s="77"/>
      <c r="CL402" s="77"/>
      <c r="CM402" s="77"/>
      <c r="CN402" s="77"/>
      <c r="CO402" s="77"/>
      <c r="CP402" s="77"/>
      <c r="CQ402" s="77"/>
      <c r="CR402" s="77"/>
      <c r="CS402" s="77"/>
      <c r="CT402" s="77"/>
      <c r="CU402" s="77"/>
      <c r="CV402" s="77"/>
      <c r="CW402" s="77"/>
    </row>
    <row r="403" spans="1:101" ht="16.5" x14ac:dyDescent="0.45">
      <c r="A403" s="76"/>
      <c r="B403" s="77"/>
      <c r="C403" s="77"/>
      <c r="D403" s="78"/>
      <c r="E403" s="80"/>
      <c r="F403" s="80"/>
      <c r="G403" s="81"/>
      <c r="H403" s="81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82"/>
      <c r="Z403" s="82"/>
      <c r="AA403" s="82"/>
      <c r="AB403" s="80"/>
      <c r="AC403" s="77"/>
      <c r="AD403" s="77"/>
      <c r="AE403" s="77"/>
      <c r="AF403" s="77"/>
      <c r="AG403" s="77"/>
      <c r="AH403" s="77"/>
      <c r="AI403" s="92"/>
      <c r="AJ403" s="77"/>
      <c r="AK403" s="77"/>
      <c r="AL403" s="77"/>
      <c r="AM403" s="77"/>
      <c r="AN403" s="77"/>
      <c r="AO403" s="77"/>
      <c r="AP403" s="76"/>
      <c r="AQ403" s="81"/>
      <c r="AR403" s="76"/>
      <c r="AS403" s="81"/>
      <c r="AT403" s="76"/>
      <c r="AU403" s="81"/>
      <c r="AV403" s="77"/>
      <c r="AW403" s="81"/>
      <c r="AX403" s="77"/>
      <c r="AY403" s="81"/>
      <c r="AZ403" s="77"/>
      <c r="BA403" s="81"/>
      <c r="BB403" s="77"/>
      <c r="BC403" s="81"/>
      <c r="BD403" s="77"/>
      <c r="BE403" s="81"/>
      <c r="BF403" s="77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77"/>
      <c r="BU403" s="77"/>
      <c r="BV403" s="77"/>
      <c r="BW403" s="77"/>
      <c r="BX403" s="77"/>
      <c r="BY403" s="77"/>
      <c r="BZ403" s="77"/>
      <c r="CA403" s="77"/>
      <c r="CB403" s="77"/>
      <c r="CC403" s="77"/>
      <c r="CD403" s="77"/>
      <c r="CE403" s="77"/>
      <c r="CF403" s="77"/>
      <c r="CG403" s="77"/>
      <c r="CH403" s="77"/>
      <c r="CI403" s="77"/>
      <c r="CJ403" s="77"/>
      <c r="CK403" s="77"/>
      <c r="CL403" s="77"/>
      <c r="CM403" s="77"/>
      <c r="CN403" s="77"/>
      <c r="CO403" s="77"/>
      <c r="CP403" s="77"/>
      <c r="CQ403" s="77"/>
      <c r="CR403" s="77"/>
      <c r="CS403" s="77"/>
      <c r="CT403" s="77"/>
      <c r="CU403" s="77"/>
      <c r="CV403" s="77"/>
      <c r="CW403" s="77"/>
    </row>
    <row r="404" spans="1:101" ht="16.5" x14ac:dyDescent="0.45">
      <c r="A404" s="76"/>
      <c r="B404" s="77"/>
      <c r="C404" s="77"/>
      <c r="D404" s="78"/>
      <c r="E404" s="80"/>
      <c r="F404" s="80"/>
      <c r="G404" s="81"/>
      <c r="H404" s="81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82"/>
      <c r="Z404" s="82"/>
      <c r="AA404" s="82"/>
      <c r="AB404" s="80"/>
      <c r="AC404" s="77"/>
      <c r="AD404" s="77"/>
      <c r="AE404" s="77"/>
      <c r="AF404" s="77"/>
      <c r="AG404" s="77"/>
      <c r="AH404" s="77"/>
      <c r="AI404" s="92"/>
      <c r="AJ404" s="77"/>
      <c r="AK404" s="77"/>
      <c r="AL404" s="77"/>
      <c r="AM404" s="77"/>
      <c r="AN404" s="77"/>
      <c r="AO404" s="77"/>
      <c r="AP404" s="76"/>
      <c r="AQ404" s="81"/>
      <c r="AR404" s="76"/>
      <c r="AS404" s="81"/>
      <c r="AT404" s="76"/>
      <c r="AU404" s="81"/>
      <c r="AV404" s="77"/>
      <c r="AW404" s="81"/>
      <c r="AX404" s="77"/>
      <c r="AY404" s="81"/>
      <c r="AZ404" s="77"/>
      <c r="BA404" s="81"/>
      <c r="BB404" s="77"/>
      <c r="BC404" s="81"/>
      <c r="BD404" s="77"/>
      <c r="BE404" s="81"/>
      <c r="BF404" s="77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77"/>
      <c r="BU404" s="77"/>
      <c r="BV404" s="77"/>
      <c r="BW404" s="77"/>
      <c r="BX404" s="77"/>
      <c r="BY404" s="77"/>
      <c r="BZ404" s="77"/>
      <c r="CA404" s="77"/>
      <c r="CB404" s="77"/>
      <c r="CC404" s="77"/>
      <c r="CD404" s="77"/>
      <c r="CE404" s="77"/>
      <c r="CF404" s="77"/>
      <c r="CG404" s="77"/>
      <c r="CH404" s="77"/>
      <c r="CI404" s="77"/>
      <c r="CJ404" s="77"/>
      <c r="CK404" s="77"/>
      <c r="CL404" s="77"/>
      <c r="CM404" s="77"/>
      <c r="CN404" s="77"/>
      <c r="CO404" s="77"/>
      <c r="CP404" s="77"/>
      <c r="CQ404" s="77"/>
      <c r="CR404" s="77"/>
      <c r="CS404" s="77"/>
      <c r="CT404" s="77"/>
      <c r="CU404" s="77"/>
      <c r="CV404" s="77"/>
      <c r="CW404" s="77"/>
    </row>
    <row r="405" spans="1:101" ht="16.5" x14ac:dyDescent="0.45">
      <c r="A405" s="76"/>
      <c r="B405" s="77"/>
      <c r="C405" s="77"/>
      <c r="D405" s="78"/>
      <c r="E405" s="80"/>
      <c r="F405" s="80"/>
      <c r="G405" s="81"/>
      <c r="H405" s="81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82"/>
      <c r="Z405" s="82"/>
      <c r="AA405" s="82"/>
      <c r="AB405" s="80"/>
      <c r="AC405" s="77"/>
      <c r="AD405" s="77"/>
      <c r="AE405" s="77"/>
      <c r="AF405" s="77"/>
      <c r="AG405" s="77"/>
      <c r="AH405" s="77"/>
      <c r="AI405" s="92"/>
      <c r="AJ405" s="77"/>
      <c r="AK405" s="77"/>
      <c r="AL405" s="77"/>
      <c r="AM405" s="77"/>
      <c r="AN405" s="77"/>
      <c r="AO405" s="77"/>
      <c r="AP405" s="76"/>
      <c r="AQ405" s="81"/>
      <c r="AR405" s="76"/>
      <c r="AS405" s="81"/>
      <c r="AT405" s="76"/>
      <c r="AU405" s="81"/>
      <c r="AV405" s="77"/>
      <c r="AW405" s="81"/>
      <c r="AX405" s="77"/>
      <c r="AY405" s="81"/>
      <c r="AZ405" s="77"/>
      <c r="BA405" s="81"/>
      <c r="BB405" s="77"/>
      <c r="BC405" s="81"/>
      <c r="BD405" s="77"/>
      <c r="BE405" s="81"/>
      <c r="BF405" s="77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77"/>
      <c r="BU405" s="77"/>
      <c r="BV405" s="77"/>
      <c r="BW405" s="77"/>
      <c r="BX405" s="77"/>
      <c r="BY405" s="77"/>
      <c r="BZ405" s="77"/>
      <c r="CA405" s="77"/>
      <c r="CB405" s="77"/>
      <c r="CC405" s="77"/>
      <c r="CD405" s="77"/>
      <c r="CE405" s="77"/>
      <c r="CF405" s="77"/>
      <c r="CG405" s="77"/>
      <c r="CH405" s="77"/>
      <c r="CI405" s="77"/>
      <c r="CJ405" s="77"/>
      <c r="CK405" s="77"/>
      <c r="CL405" s="77"/>
      <c r="CM405" s="77"/>
      <c r="CN405" s="77"/>
      <c r="CO405" s="77"/>
      <c r="CP405" s="77"/>
      <c r="CQ405" s="77"/>
      <c r="CR405" s="77"/>
      <c r="CS405" s="77"/>
      <c r="CT405" s="77"/>
      <c r="CU405" s="77"/>
      <c r="CV405" s="77"/>
      <c r="CW405" s="77"/>
    </row>
    <row r="406" spans="1:101" ht="16.5" x14ac:dyDescent="0.45">
      <c r="A406" s="76"/>
      <c r="B406" s="77"/>
      <c r="C406" s="77"/>
      <c r="D406" s="78"/>
      <c r="E406" s="80"/>
      <c r="F406" s="80"/>
      <c r="G406" s="81"/>
      <c r="H406" s="81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82"/>
      <c r="Z406" s="82"/>
      <c r="AA406" s="82"/>
      <c r="AB406" s="80"/>
      <c r="AC406" s="77"/>
      <c r="AD406" s="77"/>
      <c r="AE406" s="77"/>
      <c r="AF406" s="77"/>
      <c r="AG406" s="77"/>
      <c r="AH406" s="77"/>
      <c r="AI406" s="92"/>
      <c r="AJ406" s="77"/>
      <c r="AK406" s="77"/>
      <c r="AL406" s="77"/>
      <c r="AM406" s="77"/>
      <c r="AN406" s="77"/>
      <c r="AO406" s="77"/>
      <c r="AP406" s="76"/>
      <c r="AQ406" s="81"/>
      <c r="AR406" s="76"/>
      <c r="AS406" s="81"/>
      <c r="AT406" s="76"/>
      <c r="AU406" s="81"/>
      <c r="AV406" s="77"/>
      <c r="AW406" s="81"/>
      <c r="AX406" s="77"/>
      <c r="AY406" s="81"/>
      <c r="AZ406" s="77"/>
      <c r="BA406" s="81"/>
      <c r="BB406" s="77"/>
      <c r="BC406" s="81"/>
      <c r="BD406" s="77"/>
      <c r="BE406" s="81"/>
      <c r="BF406" s="77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77"/>
      <c r="BU406" s="77"/>
      <c r="BV406" s="77"/>
      <c r="BW406" s="77"/>
      <c r="BX406" s="77"/>
      <c r="BY406" s="77"/>
      <c r="BZ406" s="77"/>
      <c r="CA406" s="77"/>
      <c r="CB406" s="77"/>
      <c r="CC406" s="77"/>
      <c r="CD406" s="77"/>
      <c r="CE406" s="77"/>
      <c r="CF406" s="77"/>
      <c r="CG406" s="77"/>
      <c r="CH406" s="77"/>
      <c r="CI406" s="77"/>
      <c r="CJ406" s="77"/>
      <c r="CK406" s="77"/>
      <c r="CL406" s="77"/>
      <c r="CM406" s="77"/>
      <c r="CN406" s="77"/>
      <c r="CO406" s="77"/>
      <c r="CP406" s="77"/>
      <c r="CQ406" s="77"/>
      <c r="CR406" s="77"/>
      <c r="CS406" s="77"/>
      <c r="CT406" s="77"/>
      <c r="CU406" s="77"/>
      <c r="CV406" s="77"/>
      <c r="CW406" s="77"/>
    </row>
    <row r="407" spans="1:101" ht="16.5" x14ac:dyDescent="0.45">
      <c r="A407" s="76"/>
      <c r="B407" s="77"/>
      <c r="C407" s="77"/>
      <c r="D407" s="78"/>
      <c r="E407" s="80"/>
      <c r="F407" s="80"/>
      <c r="G407" s="81"/>
      <c r="H407" s="81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82"/>
      <c r="Z407" s="82"/>
      <c r="AA407" s="82"/>
      <c r="AB407" s="80"/>
      <c r="AC407" s="77"/>
      <c r="AD407" s="77"/>
      <c r="AE407" s="77"/>
      <c r="AF407" s="77"/>
      <c r="AG407" s="77"/>
      <c r="AH407" s="77"/>
      <c r="AI407" s="92"/>
      <c r="AJ407" s="77"/>
      <c r="AK407" s="77"/>
      <c r="AL407" s="77"/>
      <c r="AM407" s="77"/>
      <c r="AN407" s="77"/>
      <c r="AO407" s="77"/>
      <c r="AP407" s="76"/>
      <c r="AQ407" s="81"/>
      <c r="AR407" s="76"/>
      <c r="AS407" s="81"/>
      <c r="AT407" s="76"/>
      <c r="AU407" s="81"/>
      <c r="AV407" s="77"/>
      <c r="AW407" s="81"/>
      <c r="AX407" s="77"/>
      <c r="AY407" s="81"/>
      <c r="AZ407" s="77"/>
      <c r="BA407" s="81"/>
      <c r="BB407" s="77"/>
      <c r="BC407" s="81"/>
      <c r="BD407" s="77"/>
      <c r="BE407" s="81"/>
      <c r="BF407" s="77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77"/>
      <c r="BU407" s="77"/>
      <c r="BV407" s="77"/>
      <c r="BW407" s="77"/>
      <c r="BX407" s="77"/>
      <c r="BY407" s="77"/>
      <c r="BZ407" s="77"/>
      <c r="CA407" s="77"/>
      <c r="CB407" s="77"/>
      <c r="CC407" s="77"/>
      <c r="CD407" s="77"/>
      <c r="CE407" s="77"/>
      <c r="CF407" s="77"/>
      <c r="CG407" s="77"/>
      <c r="CH407" s="77"/>
      <c r="CI407" s="77"/>
      <c r="CJ407" s="77"/>
      <c r="CK407" s="77"/>
      <c r="CL407" s="77"/>
      <c r="CM407" s="77"/>
      <c r="CN407" s="77"/>
      <c r="CO407" s="77"/>
      <c r="CP407" s="77"/>
      <c r="CQ407" s="77"/>
      <c r="CR407" s="77"/>
      <c r="CS407" s="77"/>
      <c r="CT407" s="77"/>
      <c r="CU407" s="77"/>
      <c r="CV407" s="77"/>
      <c r="CW407" s="77"/>
    </row>
    <row r="408" spans="1:101" ht="16.5" x14ac:dyDescent="0.45">
      <c r="A408" s="76"/>
      <c r="B408" s="77"/>
      <c r="C408" s="77"/>
      <c r="D408" s="78"/>
      <c r="E408" s="80"/>
      <c r="F408" s="80"/>
      <c r="G408" s="81"/>
      <c r="H408" s="81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82"/>
      <c r="Z408" s="82"/>
      <c r="AA408" s="82"/>
      <c r="AB408" s="80"/>
      <c r="AC408" s="77"/>
      <c r="AD408" s="77"/>
      <c r="AE408" s="77"/>
      <c r="AF408" s="77"/>
      <c r="AG408" s="77"/>
      <c r="AH408" s="77"/>
      <c r="AI408" s="92"/>
      <c r="AJ408" s="77"/>
      <c r="AK408" s="77"/>
      <c r="AL408" s="77"/>
      <c r="AM408" s="77"/>
      <c r="AN408" s="77"/>
      <c r="AO408" s="77"/>
      <c r="AP408" s="76"/>
      <c r="AQ408" s="81"/>
      <c r="AR408" s="76"/>
      <c r="AS408" s="81"/>
      <c r="AT408" s="76"/>
      <c r="AU408" s="81"/>
      <c r="AV408" s="77"/>
      <c r="AW408" s="81"/>
      <c r="AX408" s="77"/>
      <c r="AY408" s="81"/>
      <c r="AZ408" s="77"/>
      <c r="BA408" s="81"/>
      <c r="BB408" s="77"/>
      <c r="BC408" s="81"/>
      <c r="BD408" s="77"/>
      <c r="BE408" s="81"/>
      <c r="BF408" s="77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77"/>
      <c r="BU408" s="77"/>
      <c r="BV408" s="77"/>
      <c r="BW408" s="77"/>
      <c r="BX408" s="77"/>
      <c r="BY408" s="77"/>
      <c r="BZ408" s="77"/>
      <c r="CA408" s="77"/>
      <c r="CB408" s="77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77"/>
      <c r="CN408" s="77"/>
      <c r="CO408" s="77"/>
      <c r="CP408" s="77"/>
      <c r="CQ408" s="77"/>
      <c r="CR408" s="77"/>
      <c r="CS408" s="77"/>
      <c r="CT408" s="77"/>
      <c r="CU408" s="77"/>
      <c r="CV408" s="77"/>
      <c r="CW408" s="77"/>
    </row>
    <row r="409" spans="1:101" ht="16.5" x14ac:dyDescent="0.45">
      <c r="A409" s="76"/>
      <c r="B409" s="77"/>
      <c r="C409" s="77"/>
      <c r="D409" s="78"/>
      <c r="E409" s="80"/>
      <c r="F409" s="80"/>
      <c r="G409" s="81"/>
      <c r="H409" s="81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82"/>
      <c r="Z409" s="82"/>
      <c r="AA409" s="82"/>
      <c r="AB409" s="80"/>
      <c r="AC409" s="77"/>
      <c r="AD409" s="77"/>
      <c r="AE409" s="77"/>
      <c r="AF409" s="77"/>
      <c r="AG409" s="77"/>
      <c r="AH409" s="77"/>
      <c r="AI409" s="92"/>
      <c r="AJ409" s="77"/>
      <c r="AK409" s="77"/>
      <c r="AL409" s="77"/>
      <c r="AM409" s="77"/>
      <c r="AN409" s="77"/>
      <c r="AO409" s="77"/>
      <c r="AP409" s="76"/>
      <c r="AQ409" s="81"/>
      <c r="AR409" s="76"/>
      <c r="AS409" s="81"/>
      <c r="AT409" s="76"/>
      <c r="AU409" s="81"/>
      <c r="AV409" s="77"/>
      <c r="AW409" s="81"/>
      <c r="AX409" s="77"/>
      <c r="AY409" s="81"/>
      <c r="AZ409" s="77"/>
      <c r="BA409" s="81"/>
      <c r="BB409" s="77"/>
      <c r="BC409" s="81"/>
      <c r="BD409" s="77"/>
      <c r="BE409" s="81"/>
      <c r="BF409" s="77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77"/>
      <c r="BU409" s="77"/>
      <c r="BV409" s="77"/>
      <c r="BW409" s="77"/>
      <c r="BX409" s="77"/>
      <c r="BY409" s="77"/>
      <c r="BZ409" s="77"/>
      <c r="CA409" s="77"/>
      <c r="CB409" s="77"/>
      <c r="CC409" s="77"/>
      <c r="CD409" s="77"/>
      <c r="CE409" s="77"/>
      <c r="CF409" s="77"/>
      <c r="CG409" s="77"/>
      <c r="CH409" s="77"/>
      <c r="CI409" s="77"/>
      <c r="CJ409" s="77"/>
      <c r="CK409" s="77"/>
      <c r="CL409" s="77"/>
      <c r="CM409" s="77"/>
      <c r="CN409" s="77"/>
      <c r="CO409" s="77"/>
      <c r="CP409" s="77"/>
      <c r="CQ409" s="77"/>
      <c r="CR409" s="77"/>
      <c r="CS409" s="77"/>
      <c r="CT409" s="77"/>
      <c r="CU409" s="77"/>
      <c r="CV409" s="77"/>
      <c r="CW409" s="77"/>
    </row>
    <row r="410" spans="1:101" ht="16.5" x14ac:dyDescent="0.45">
      <c r="A410" s="76"/>
      <c r="B410" s="77"/>
      <c r="C410" s="77"/>
      <c r="D410" s="78"/>
      <c r="E410" s="80"/>
      <c r="F410" s="80"/>
      <c r="G410" s="81"/>
      <c r="H410" s="81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82"/>
      <c r="Z410" s="82"/>
      <c r="AA410" s="82"/>
      <c r="AB410" s="80"/>
      <c r="AC410" s="77"/>
      <c r="AD410" s="77"/>
      <c r="AE410" s="77"/>
      <c r="AF410" s="77"/>
      <c r="AG410" s="77"/>
      <c r="AH410" s="77"/>
      <c r="AI410" s="92"/>
      <c r="AJ410" s="77"/>
      <c r="AK410" s="77"/>
      <c r="AL410" s="77"/>
      <c r="AM410" s="77"/>
      <c r="AN410" s="77"/>
      <c r="AO410" s="77"/>
      <c r="AP410" s="76"/>
      <c r="AQ410" s="81"/>
      <c r="AR410" s="76"/>
      <c r="AS410" s="81"/>
      <c r="AT410" s="76"/>
      <c r="AU410" s="81"/>
      <c r="AV410" s="77"/>
      <c r="AW410" s="81"/>
      <c r="AX410" s="77"/>
      <c r="AY410" s="81"/>
      <c r="AZ410" s="77"/>
      <c r="BA410" s="81"/>
      <c r="BB410" s="77"/>
      <c r="BC410" s="81"/>
      <c r="BD410" s="77"/>
      <c r="BE410" s="81"/>
      <c r="BF410" s="77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77"/>
      <c r="BU410" s="77"/>
      <c r="BV410" s="77"/>
      <c r="BW410" s="77"/>
      <c r="BX410" s="77"/>
      <c r="BY410" s="77"/>
      <c r="BZ410" s="77"/>
      <c r="CA410" s="77"/>
      <c r="CB410" s="77"/>
      <c r="CC410" s="77"/>
      <c r="CD410" s="77"/>
      <c r="CE410" s="77"/>
      <c r="CF410" s="77"/>
      <c r="CG410" s="77"/>
      <c r="CH410" s="77"/>
      <c r="CI410" s="77"/>
      <c r="CJ410" s="77"/>
      <c r="CK410" s="77"/>
      <c r="CL410" s="77"/>
      <c r="CM410" s="77"/>
      <c r="CN410" s="77"/>
      <c r="CO410" s="77"/>
      <c r="CP410" s="77"/>
      <c r="CQ410" s="77"/>
      <c r="CR410" s="77"/>
      <c r="CS410" s="77"/>
      <c r="CT410" s="77"/>
      <c r="CU410" s="77"/>
      <c r="CV410" s="77"/>
      <c r="CW410" s="77"/>
    </row>
    <row r="411" spans="1:101" ht="16.5" x14ac:dyDescent="0.45">
      <c r="A411" s="76"/>
      <c r="B411" s="77"/>
      <c r="C411" s="77"/>
      <c r="D411" s="78"/>
      <c r="E411" s="80"/>
      <c r="F411" s="80"/>
      <c r="G411" s="81"/>
      <c r="H411" s="81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82"/>
      <c r="Z411" s="82"/>
      <c r="AA411" s="82"/>
      <c r="AB411" s="80"/>
      <c r="AC411" s="77"/>
      <c r="AD411" s="77"/>
      <c r="AE411" s="77"/>
      <c r="AF411" s="77"/>
      <c r="AG411" s="77"/>
      <c r="AH411" s="77"/>
      <c r="AI411" s="92"/>
      <c r="AJ411" s="77"/>
      <c r="AK411" s="77"/>
      <c r="AL411" s="77"/>
      <c r="AM411" s="77"/>
      <c r="AN411" s="77"/>
      <c r="AO411" s="77"/>
      <c r="AP411" s="76"/>
      <c r="AQ411" s="81"/>
      <c r="AR411" s="76"/>
      <c r="AS411" s="81"/>
      <c r="AT411" s="76"/>
      <c r="AU411" s="81"/>
      <c r="AV411" s="77"/>
      <c r="AW411" s="81"/>
      <c r="AX411" s="77"/>
      <c r="AY411" s="81"/>
      <c r="AZ411" s="77"/>
      <c r="BA411" s="81"/>
      <c r="BB411" s="77"/>
      <c r="BC411" s="81"/>
      <c r="BD411" s="77"/>
      <c r="BE411" s="81"/>
      <c r="BF411" s="77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77"/>
      <c r="BU411" s="77"/>
      <c r="BV411" s="77"/>
      <c r="BW411" s="77"/>
      <c r="BX411" s="77"/>
      <c r="BY411" s="77"/>
      <c r="BZ411" s="77"/>
      <c r="CA411" s="77"/>
      <c r="CB411" s="77"/>
      <c r="CC411" s="77"/>
      <c r="CD411" s="77"/>
      <c r="CE411" s="77"/>
      <c r="CF411" s="77"/>
      <c r="CG411" s="77"/>
      <c r="CH411" s="77"/>
      <c r="CI411" s="77"/>
      <c r="CJ411" s="77"/>
      <c r="CK411" s="77"/>
      <c r="CL411" s="77"/>
      <c r="CM411" s="77"/>
      <c r="CN411" s="77"/>
      <c r="CO411" s="77"/>
      <c r="CP411" s="77"/>
      <c r="CQ411" s="77"/>
      <c r="CR411" s="77"/>
      <c r="CS411" s="77"/>
      <c r="CT411" s="77"/>
      <c r="CU411" s="77"/>
      <c r="CV411" s="77"/>
      <c r="CW411" s="77"/>
    </row>
    <row r="412" spans="1:101" ht="16.5" x14ac:dyDescent="0.45">
      <c r="A412" s="76"/>
      <c r="B412" s="77"/>
      <c r="C412" s="77"/>
      <c r="D412" s="78"/>
      <c r="E412" s="80"/>
      <c r="F412" s="80"/>
      <c r="G412" s="81"/>
      <c r="H412" s="81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82"/>
      <c r="Z412" s="82"/>
      <c r="AA412" s="82"/>
      <c r="AB412" s="80"/>
      <c r="AC412" s="77"/>
      <c r="AD412" s="77"/>
      <c r="AE412" s="77"/>
      <c r="AF412" s="77"/>
      <c r="AG412" s="77"/>
      <c r="AH412" s="77"/>
      <c r="AI412" s="92"/>
      <c r="AJ412" s="77"/>
      <c r="AK412" s="77"/>
      <c r="AL412" s="77"/>
      <c r="AM412" s="77"/>
      <c r="AN412" s="77"/>
      <c r="AO412" s="77"/>
      <c r="AP412" s="76"/>
      <c r="AQ412" s="81"/>
      <c r="AR412" s="76"/>
      <c r="AS412" s="81"/>
      <c r="AT412" s="76"/>
      <c r="AU412" s="81"/>
      <c r="AV412" s="77"/>
      <c r="AW412" s="81"/>
      <c r="AX412" s="77"/>
      <c r="AY412" s="81"/>
      <c r="AZ412" s="77"/>
      <c r="BA412" s="81"/>
      <c r="BB412" s="77"/>
      <c r="BC412" s="81"/>
      <c r="BD412" s="77"/>
      <c r="BE412" s="81"/>
      <c r="BF412" s="77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77"/>
      <c r="BU412" s="77"/>
      <c r="BV412" s="77"/>
      <c r="BW412" s="77"/>
      <c r="BX412" s="77"/>
      <c r="BY412" s="77"/>
      <c r="BZ412" s="77"/>
      <c r="CA412" s="77"/>
      <c r="CB412" s="77"/>
      <c r="CC412" s="77"/>
      <c r="CD412" s="77"/>
      <c r="CE412" s="77"/>
      <c r="CF412" s="77"/>
      <c r="CG412" s="77"/>
      <c r="CH412" s="77"/>
      <c r="CI412" s="77"/>
      <c r="CJ412" s="77"/>
      <c r="CK412" s="77"/>
      <c r="CL412" s="77"/>
      <c r="CM412" s="77"/>
      <c r="CN412" s="77"/>
      <c r="CO412" s="77"/>
      <c r="CP412" s="77"/>
      <c r="CQ412" s="77"/>
      <c r="CR412" s="77"/>
      <c r="CS412" s="77"/>
      <c r="CT412" s="77"/>
      <c r="CU412" s="77"/>
      <c r="CV412" s="77"/>
      <c r="CW412" s="77"/>
    </row>
    <row r="413" spans="1:101" ht="16.5" x14ac:dyDescent="0.45">
      <c r="A413" s="76"/>
      <c r="B413" s="77"/>
      <c r="C413" s="77"/>
      <c r="D413" s="78"/>
      <c r="E413" s="80"/>
      <c r="F413" s="80"/>
      <c r="G413" s="81"/>
      <c r="H413" s="81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82"/>
      <c r="Z413" s="82"/>
      <c r="AA413" s="82"/>
      <c r="AB413" s="80"/>
      <c r="AC413" s="77"/>
      <c r="AD413" s="77"/>
      <c r="AE413" s="77"/>
      <c r="AF413" s="77"/>
      <c r="AG413" s="77"/>
      <c r="AH413" s="77"/>
      <c r="AI413" s="92"/>
      <c r="AJ413" s="77"/>
      <c r="AK413" s="77"/>
      <c r="AL413" s="77"/>
      <c r="AM413" s="77"/>
      <c r="AN413" s="77"/>
      <c r="AO413" s="77"/>
      <c r="AP413" s="76"/>
      <c r="AQ413" s="81"/>
      <c r="AR413" s="76"/>
      <c r="AS413" s="81"/>
      <c r="AT413" s="76"/>
      <c r="AU413" s="81"/>
      <c r="AV413" s="77"/>
      <c r="AW413" s="81"/>
      <c r="AX413" s="77"/>
      <c r="AY413" s="81"/>
      <c r="AZ413" s="77"/>
      <c r="BA413" s="81"/>
      <c r="BB413" s="77"/>
      <c r="BC413" s="81"/>
      <c r="BD413" s="77"/>
      <c r="BE413" s="81"/>
      <c r="BF413" s="77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77"/>
      <c r="BU413" s="77"/>
      <c r="BV413" s="77"/>
      <c r="BW413" s="77"/>
      <c r="BX413" s="77"/>
      <c r="BY413" s="77"/>
      <c r="BZ413" s="77"/>
      <c r="CA413" s="77"/>
      <c r="CB413" s="77"/>
      <c r="CC413" s="77"/>
      <c r="CD413" s="77"/>
      <c r="CE413" s="77"/>
      <c r="CF413" s="77"/>
      <c r="CG413" s="77"/>
      <c r="CH413" s="77"/>
      <c r="CI413" s="77"/>
      <c r="CJ413" s="77"/>
      <c r="CK413" s="77"/>
      <c r="CL413" s="77"/>
      <c r="CM413" s="77"/>
      <c r="CN413" s="77"/>
      <c r="CO413" s="77"/>
      <c r="CP413" s="77"/>
      <c r="CQ413" s="77"/>
      <c r="CR413" s="77"/>
      <c r="CS413" s="77"/>
      <c r="CT413" s="77"/>
      <c r="CU413" s="77"/>
      <c r="CV413" s="77"/>
      <c r="CW413" s="77"/>
    </row>
    <row r="414" spans="1:101" ht="16.5" x14ac:dyDescent="0.45">
      <c r="A414" s="76"/>
      <c r="B414" s="77"/>
      <c r="C414" s="77"/>
      <c r="D414" s="78"/>
      <c r="E414" s="80"/>
      <c r="F414" s="80"/>
      <c r="G414" s="81"/>
      <c r="H414" s="81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82"/>
      <c r="Z414" s="82"/>
      <c r="AA414" s="82"/>
      <c r="AB414" s="80"/>
      <c r="AC414" s="77"/>
      <c r="AD414" s="77"/>
      <c r="AE414" s="77"/>
      <c r="AF414" s="77"/>
      <c r="AG414" s="77"/>
      <c r="AH414" s="77"/>
      <c r="AI414" s="92"/>
      <c r="AJ414" s="77"/>
      <c r="AK414" s="77"/>
      <c r="AL414" s="77"/>
      <c r="AM414" s="77"/>
      <c r="AN414" s="77"/>
      <c r="AO414" s="77"/>
      <c r="AP414" s="76"/>
      <c r="AQ414" s="81"/>
      <c r="AR414" s="76"/>
      <c r="AS414" s="81"/>
      <c r="AT414" s="76"/>
      <c r="AU414" s="81"/>
      <c r="AV414" s="77"/>
      <c r="AW414" s="81"/>
      <c r="AX414" s="77"/>
      <c r="AY414" s="81"/>
      <c r="AZ414" s="77"/>
      <c r="BA414" s="81"/>
      <c r="BB414" s="77"/>
      <c r="BC414" s="81"/>
      <c r="BD414" s="77"/>
      <c r="BE414" s="81"/>
      <c r="BF414" s="77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77"/>
      <c r="BU414" s="77"/>
      <c r="BV414" s="77"/>
      <c r="BW414" s="77"/>
      <c r="BX414" s="77"/>
      <c r="BY414" s="77"/>
      <c r="BZ414" s="77"/>
      <c r="CA414" s="77"/>
      <c r="CB414" s="77"/>
      <c r="CC414" s="77"/>
      <c r="CD414" s="77"/>
      <c r="CE414" s="77"/>
      <c r="CF414" s="77"/>
      <c r="CG414" s="77"/>
      <c r="CH414" s="77"/>
      <c r="CI414" s="77"/>
      <c r="CJ414" s="77"/>
      <c r="CK414" s="77"/>
      <c r="CL414" s="77"/>
      <c r="CM414" s="77"/>
      <c r="CN414" s="77"/>
      <c r="CO414" s="77"/>
      <c r="CP414" s="77"/>
      <c r="CQ414" s="77"/>
      <c r="CR414" s="77"/>
      <c r="CS414" s="77"/>
      <c r="CT414" s="77"/>
      <c r="CU414" s="77"/>
      <c r="CV414" s="77"/>
      <c r="CW414" s="77"/>
    </row>
    <row r="415" spans="1:101" ht="16.5" x14ac:dyDescent="0.45">
      <c r="A415" s="76"/>
      <c r="B415" s="77"/>
      <c r="C415" s="77"/>
      <c r="D415" s="78"/>
      <c r="E415" s="80"/>
      <c r="F415" s="80"/>
      <c r="G415" s="81"/>
      <c r="H415" s="81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82"/>
      <c r="Z415" s="82"/>
      <c r="AA415" s="82"/>
      <c r="AB415" s="80"/>
      <c r="AC415" s="77"/>
      <c r="AD415" s="77"/>
      <c r="AE415" s="77"/>
      <c r="AF415" s="77"/>
      <c r="AG415" s="77"/>
      <c r="AH415" s="77"/>
      <c r="AI415" s="92"/>
      <c r="AJ415" s="77"/>
      <c r="AK415" s="77"/>
      <c r="AL415" s="77"/>
      <c r="AM415" s="77"/>
      <c r="AN415" s="77"/>
      <c r="AO415" s="77"/>
      <c r="AP415" s="76"/>
      <c r="AQ415" s="81"/>
      <c r="AR415" s="76"/>
      <c r="AS415" s="81"/>
      <c r="AT415" s="76"/>
      <c r="AU415" s="81"/>
      <c r="AV415" s="77"/>
      <c r="AW415" s="81"/>
      <c r="AX415" s="77"/>
      <c r="AY415" s="81"/>
      <c r="AZ415" s="77"/>
      <c r="BA415" s="81"/>
      <c r="BB415" s="77"/>
      <c r="BC415" s="81"/>
      <c r="BD415" s="77"/>
      <c r="BE415" s="81"/>
      <c r="BF415" s="77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77"/>
      <c r="BU415" s="77"/>
      <c r="BV415" s="77"/>
      <c r="BW415" s="77"/>
      <c r="BX415" s="77"/>
      <c r="BY415" s="77"/>
      <c r="BZ415" s="77"/>
      <c r="CA415" s="77"/>
      <c r="CB415" s="77"/>
      <c r="CC415" s="77"/>
      <c r="CD415" s="77"/>
      <c r="CE415" s="77"/>
      <c r="CF415" s="77"/>
      <c r="CG415" s="77"/>
      <c r="CH415" s="77"/>
      <c r="CI415" s="77"/>
      <c r="CJ415" s="77"/>
      <c r="CK415" s="77"/>
      <c r="CL415" s="77"/>
      <c r="CM415" s="77"/>
      <c r="CN415" s="77"/>
      <c r="CO415" s="77"/>
      <c r="CP415" s="77"/>
      <c r="CQ415" s="77"/>
      <c r="CR415" s="77"/>
      <c r="CS415" s="77"/>
      <c r="CT415" s="77"/>
      <c r="CU415" s="77"/>
      <c r="CV415" s="77"/>
      <c r="CW415" s="77"/>
    </row>
    <row r="416" spans="1:101" ht="16.5" x14ac:dyDescent="0.45">
      <c r="A416" s="76"/>
      <c r="B416" s="77"/>
      <c r="C416" s="77"/>
      <c r="D416" s="78"/>
      <c r="E416" s="80"/>
      <c r="F416" s="80"/>
      <c r="G416" s="81"/>
      <c r="H416" s="81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82"/>
      <c r="Z416" s="82"/>
      <c r="AA416" s="82"/>
      <c r="AB416" s="80"/>
      <c r="AC416" s="77"/>
      <c r="AD416" s="77"/>
      <c r="AE416" s="77"/>
      <c r="AF416" s="77"/>
      <c r="AG416" s="77"/>
      <c r="AH416" s="77"/>
      <c r="AI416" s="92"/>
      <c r="AJ416" s="77"/>
      <c r="AK416" s="77"/>
      <c r="AL416" s="77"/>
      <c r="AM416" s="77"/>
      <c r="AN416" s="77"/>
      <c r="AO416" s="77"/>
      <c r="AP416" s="76"/>
      <c r="AQ416" s="81"/>
      <c r="AR416" s="76"/>
      <c r="AS416" s="81"/>
      <c r="AT416" s="76"/>
      <c r="AU416" s="81"/>
      <c r="AV416" s="77"/>
      <c r="AW416" s="81"/>
      <c r="AX416" s="77"/>
      <c r="AY416" s="81"/>
      <c r="AZ416" s="77"/>
      <c r="BA416" s="81"/>
      <c r="BB416" s="77"/>
      <c r="BC416" s="81"/>
      <c r="BD416" s="77"/>
      <c r="BE416" s="81"/>
      <c r="BF416" s="77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77"/>
      <c r="BU416" s="77"/>
      <c r="BV416" s="77"/>
      <c r="BW416" s="77"/>
      <c r="BX416" s="77"/>
      <c r="BY416" s="77"/>
      <c r="BZ416" s="77"/>
      <c r="CA416" s="77"/>
      <c r="CB416" s="77"/>
      <c r="CC416" s="77"/>
      <c r="CD416" s="77"/>
      <c r="CE416" s="77"/>
      <c r="CF416" s="77"/>
      <c r="CG416" s="77"/>
      <c r="CH416" s="77"/>
      <c r="CI416" s="77"/>
      <c r="CJ416" s="77"/>
      <c r="CK416" s="77"/>
      <c r="CL416" s="77"/>
      <c r="CM416" s="77"/>
      <c r="CN416" s="77"/>
      <c r="CO416" s="77"/>
      <c r="CP416" s="77"/>
      <c r="CQ416" s="77"/>
      <c r="CR416" s="77"/>
      <c r="CS416" s="77"/>
      <c r="CT416" s="77"/>
      <c r="CU416" s="77"/>
      <c r="CV416" s="77"/>
      <c r="CW416" s="77"/>
    </row>
    <row r="417" spans="1:101" ht="16.5" x14ac:dyDescent="0.45">
      <c r="A417" s="76"/>
      <c r="B417" s="77"/>
      <c r="C417" s="77"/>
      <c r="D417" s="78"/>
      <c r="E417" s="80"/>
      <c r="F417" s="80"/>
      <c r="G417" s="81"/>
      <c r="H417" s="81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82"/>
      <c r="Z417" s="82"/>
      <c r="AA417" s="82"/>
      <c r="AB417" s="80"/>
      <c r="AC417" s="77"/>
      <c r="AD417" s="77"/>
      <c r="AE417" s="77"/>
      <c r="AF417" s="77"/>
      <c r="AG417" s="77"/>
      <c r="AH417" s="77"/>
      <c r="AI417" s="92"/>
      <c r="AJ417" s="77"/>
      <c r="AK417" s="77"/>
      <c r="AL417" s="77"/>
      <c r="AM417" s="77"/>
      <c r="AN417" s="77"/>
      <c r="AO417" s="77"/>
      <c r="AP417" s="76"/>
      <c r="AQ417" s="81"/>
      <c r="AR417" s="76"/>
      <c r="AS417" s="81"/>
      <c r="AT417" s="76"/>
      <c r="AU417" s="81"/>
      <c r="AV417" s="77"/>
      <c r="AW417" s="81"/>
      <c r="AX417" s="77"/>
      <c r="AY417" s="81"/>
      <c r="AZ417" s="77"/>
      <c r="BA417" s="81"/>
      <c r="BB417" s="77"/>
      <c r="BC417" s="81"/>
      <c r="BD417" s="77"/>
      <c r="BE417" s="81"/>
      <c r="BF417" s="77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77"/>
      <c r="BU417" s="77"/>
      <c r="BV417" s="77"/>
      <c r="BW417" s="77"/>
      <c r="BX417" s="77"/>
      <c r="BY417" s="77"/>
      <c r="BZ417" s="77"/>
      <c r="CA417" s="77"/>
      <c r="CB417" s="77"/>
      <c r="CC417" s="77"/>
      <c r="CD417" s="77"/>
      <c r="CE417" s="77"/>
      <c r="CF417" s="77"/>
      <c r="CG417" s="77"/>
      <c r="CH417" s="77"/>
      <c r="CI417" s="77"/>
      <c r="CJ417" s="77"/>
      <c r="CK417" s="77"/>
      <c r="CL417" s="77"/>
      <c r="CM417" s="77"/>
      <c r="CN417" s="77"/>
      <c r="CO417" s="77"/>
      <c r="CP417" s="77"/>
      <c r="CQ417" s="77"/>
      <c r="CR417" s="77"/>
      <c r="CS417" s="77"/>
      <c r="CT417" s="77"/>
      <c r="CU417" s="77"/>
      <c r="CV417" s="77"/>
      <c r="CW417" s="77"/>
    </row>
    <row r="418" spans="1:101" ht="16.5" x14ac:dyDescent="0.45">
      <c r="A418" s="76"/>
      <c r="B418" s="77"/>
      <c r="C418" s="77"/>
      <c r="D418" s="78"/>
      <c r="E418" s="80"/>
      <c r="F418" s="80"/>
      <c r="G418" s="81"/>
      <c r="H418" s="81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82"/>
      <c r="Z418" s="82"/>
      <c r="AA418" s="82"/>
      <c r="AB418" s="80"/>
      <c r="AC418" s="77"/>
      <c r="AD418" s="77"/>
      <c r="AE418" s="77"/>
      <c r="AF418" s="77"/>
      <c r="AG418" s="77"/>
      <c r="AH418" s="77"/>
      <c r="AI418" s="92"/>
      <c r="AJ418" s="77"/>
      <c r="AK418" s="77"/>
      <c r="AL418" s="77"/>
      <c r="AM418" s="77"/>
      <c r="AN418" s="77"/>
      <c r="AO418" s="77"/>
      <c r="AP418" s="76"/>
      <c r="AQ418" s="81"/>
      <c r="AR418" s="76"/>
      <c r="AS418" s="81"/>
      <c r="AT418" s="76"/>
      <c r="AU418" s="81"/>
      <c r="AV418" s="77"/>
      <c r="AW418" s="81"/>
      <c r="AX418" s="77"/>
      <c r="AY418" s="81"/>
      <c r="AZ418" s="77"/>
      <c r="BA418" s="81"/>
      <c r="BB418" s="77"/>
      <c r="BC418" s="81"/>
      <c r="BD418" s="77"/>
      <c r="BE418" s="81"/>
      <c r="BF418" s="77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77"/>
      <c r="BU418" s="77"/>
      <c r="BV418" s="77"/>
      <c r="BW418" s="77"/>
      <c r="BX418" s="77"/>
      <c r="BY418" s="77"/>
      <c r="BZ418" s="77"/>
      <c r="CA418" s="77"/>
      <c r="CB418" s="77"/>
      <c r="CC418" s="77"/>
      <c r="CD418" s="77"/>
      <c r="CE418" s="77"/>
      <c r="CF418" s="77"/>
      <c r="CG418" s="77"/>
      <c r="CH418" s="77"/>
      <c r="CI418" s="77"/>
      <c r="CJ418" s="77"/>
      <c r="CK418" s="77"/>
      <c r="CL418" s="77"/>
      <c r="CM418" s="77"/>
      <c r="CN418" s="77"/>
      <c r="CO418" s="77"/>
      <c r="CP418" s="77"/>
      <c r="CQ418" s="77"/>
      <c r="CR418" s="77"/>
      <c r="CS418" s="77"/>
      <c r="CT418" s="77"/>
      <c r="CU418" s="77"/>
      <c r="CV418" s="77"/>
      <c r="CW418" s="77"/>
    </row>
    <row r="419" spans="1:101" ht="16.5" x14ac:dyDescent="0.45">
      <c r="A419" s="76"/>
      <c r="B419" s="77"/>
      <c r="C419" s="77"/>
      <c r="D419" s="78"/>
      <c r="E419" s="80"/>
      <c r="F419" s="80"/>
      <c r="G419" s="81"/>
      <c r="H419" s="81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82"/>
      <c r="Z419" s="82"/>
      <c r="AA419" s="82"/>
      <c r="AB419" s="80"/>
      <c r="AC419" s="77"/>
      <c r="AD419" s="77"/>
      <c r="AE419" s="77"/>
      <c r="AF419" s="77"/>
      <c r="AG419" s="77"/>
      <c r="AH419" s="77"/>
      <c r="AI419" s="92"/>
      <c r="AJ419" s="77"/>
      <c r="AK419" s="77"/>
      <c r="AL419" s="77"/>
      <c r="AM419" s="77"/>
      <c r="AN419" s="77"/>
      <c r="AO419" s="77"/>
      <c r="AP419" s="76"/>
      <c r="AQ419" s="81"/>
      <c r="AR419" s="76"/>
      <c r="AS419" s="81"/>
      <c r="AT419" s="76"/>
      <c r="AU419" s="81"/>
      <c r="AV419" s="77"/>
      <c r="AW419" s="81"/>
      <c r="AX419" s="77"/>
      <c r="AY419" s="81"/>
      <c r="AZ419" s="77"/>
      <c r="BA419" s="81"/>
      <c r="BB419" s="77"/>
      <c r="BC419" s="81"/>
      <c r="BD419" s="77"/>
      <c r="BE419" s="81"/>
      <c r="BF419" s="77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77"/>
      <c r="BU419" s="77"/>
      <c r="BV419" s="77"/>
      <c r="BW419" s="77"/>
      <c r="BX419" s="77"/>
      <c r="BY419" s="77"/>
      <c r="BZ419" s="77"/>
      <c r="CA419" s="77"/>
      <c r="CB419" s="77"/>
      <c r="CC419" s="77"/>
      <c r="CD419" s="77"/>
      <c r="CE419" s="77"/>
      <c r="CF419" s="77"/>
      <c r="CG419" s="77"/>
      <c r="CH419" s="77"/>
      <c r="CI419" s="77"/>
      <c r="CJ419" s="77"/>
      <c r="CK419" s="77"/>
      <c r="CL419" s="77"/>
      <c r="CM419" s="77"/>
      <c r="CN419" s="77"/>
      <c r="CO419" s="77"/>
      <c r="CP419" s="77"/>
      <c r="CQ419" s="77"/>
      <c r="CR419" s="77"/>
      <c r="CS419" s="77"/>
      <c r="CT419" s="77"/>
      <c r="CU419" s="77"/>
      <c r="CV419" s="77"/>
      <c r="CW419" s="77"/>
    </row>
    <row r="420" spans="1:101" ht="16.5" x14ac:dyDescent="0.45">
      <c r="A420" s="76"/>
      <c r="B420" s="77"/>
      <c r="C420" s="77"/>
      <c r="D420" s="78"/>
      <c r="E420" s="80"/>
      <c r="F420" s="80"/>
      <c r="G420" s="81"/>
      <c r="H420" s="81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82"/>
      <c r="Z420" s="82"/>
      <c r="AA420" s="82"/>
      <c r="AB420" s="80"/>
      <c r="AC420" s="77"/>
      <c r="AD420" s="77"/>
      <c r="AE420" s="77"/>
      <c r="AF420" s="77"/>
      <c r="AG420" s="77"/>
      <c r="AH420" s="77"/>
      <c r="AI420" s="92"/>
      <c r="AJ420" s="77"/>
      <c r="AK420" s="77"/>
      <c r="AL420" s="77"/>
      <c r="AM420" s="77"/>
      <c r="AN420" s="77"/>
      <c r="AO420" s="77"/>
      <c r="AP420" s="76"/>
      <c r="AQ420" s="81"/>
      <c r="AR420" s="76"/>
      <c r="AS420" s="81"/>
      <c r="AT420" s="76"/>
      <c r="AU420" s="81"/>
      <c r="AV420" s="77"/>
      <c r="AW420" s="81"/>
      <c r="AX420" s="77"/>
      <c r="AY420" s="81"/>
      <c r="AZ420" s="77"/>
      <c r="BA420" s="81"/>
      <c r="BB420" s="77"/>
      <c r="BC420" s="81"/>
      <c r="BD420" s="77"/>
      <c r="BE420" s="81"/>
      <c r="BF420" s="77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77"/>
      <c r="BU420" s="77"/>
      <c r="BV420" s="77"/>
      <c r="BW420" s="77"/>
      <c r="BX420" s="77"/>
      <c r="BY420" s="77"/>
      <c r="BZ420" s="77"/>
      <c r="CA420" s="77"/>
      <c r="CB420" s="77"/>
      <c r="CC420" s="77"/>
      <c r="CD420" s="77"/>
      <c r="CE420" s="77"/>
      <c r="CF420" s="77"/>
      <c r="CG420" s="77"/>
      <c r="CH420" s="77"/>
      <c r="CI420" s="77"/>
      <c r="CJ420" s="77"/>
      <c r="CK420" s="77"/>
      <c r="CL420" s="77"/>
      <c r="CM420" s="77"/>
      <c r="CN420" s="77"/>
      <c r="CO420" s="77"/>
      <c r="CP420" s="77"/>
      <c r="CQ420" s="77"/>
      <c r="CR420" s="77"/>
      <c r="CS420" s="77"/>
      <c r="CT420" s="77"/>
      <c r="CU420" s="77"/>
      <c r="CV420" s="77"/>
      <c r="CW420" s="77"/>
    </row>
    <row r="421" spans="1:101" ht="16.5" x14ac:dyDescent="0.45">
      <c r="A421" s="76"/>
      <c r="B421" s="77"/>
      <c r="C421" s="77"/>
      <c r="D421" s="78"/>
      <c r="E421" s="80"/>
      <c r="F421" s="80"/>
      <c r="G421" s="81"/>
      <c r="H421" s="81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82"/>
      <c r="Z421" s="82"/>
      <c r="AA421" s="82"/>
      <c r="AB421" s="80"/>
      <c r="AC421" s="77"/>
      <c r="AD421" s="77"/>
      <c r="AE421" s="77"/>
      <c r="AF421" s="77"/>
      <c r="AG421" s="77"/>
      <c r="AH421" s="77"/>
      <c r="AI421" s="92"/>
      <c r="AJ421" s="77"/>
      <c r="AK421" s="77"/>
      <c r="AL421" s="77"/>
      <c r="AM421" s="77"/>
      <c r="AN421" s="77"/>
      <c r="AO421" s="77"/>
      <c r="AP421" s="76"/>
      <c r="AQ421" s="81"/>
      <c r="AR421" s="76"/>
      <c r="AS421" s="81"/>
      <c r="AT421" s="76"/>
      <c r="AU421" s="81"/>
      <c r="AV421" s="77"/>
      <c r="AW421" s="81"/>
      <c r="AX421" s="77"/>
      <c r="AY421" s="81"/>
      <c r="AZ421" s="77"/>
      <c r="BA421" s="81"/>
      <c r="BB421" s="77"/>
      <c r="BC421" s="81"/>
      <c r="BD421" s="77"/>
      <c r="BE421" s="81"/>
      <c r="BF421" s="77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77"/>
      <c r="BU421" s="77"/>
      <c r="BV421" s="77"/>
      <c r="BW421" s="77"/>
      <c r="BX421" s="77"/>
      <c r="BY421" s="77"/>
      <c r="BZ421" s="77"/>
      <c r="CA421" s="77"/>
      <c r="CB421" s="77"/>
      <c r="CC421" s="77"/>
      <c r="CD421" s="77"/>
      <c r="CE421" s="77"/>
      <c r="CF421" s="77"/>
      <c r="CG421" s="77"/>
      <c r="CH421" s="77"/>
      <c r="CI421" s="77"/>
      <c r="CJ421" s="77"/>
      <c r="CK421" s="77"/>
      <c r="CL421" s="77"/>
      <c r="CM421" s="77"/>
      <c r="CN421" s="77"/>
      <c r="CO421" s="77"/>
      <c r="CP421" s="77"/>
      <c r="CQ421" s="77"/>
      <c r="CR421" s="77"/>
      <c r="CS421" s="77"/>
      <c r="CT421" s="77"/>
      <c r="CU421" s="77"/>
      <c r="CV421" s="77"/>
      <c r="CW421" s="77"/>
    </row>
    <row r="422" spans="1:101" ht="16.5" x14ac:dyDescent="0.45">
      <c r="A422" s="76"/>
      <c r="B422" s="77"/>
      <c r="C422" s="77"/>
      <c r="D422" s="78"/>
      <c r="E422" s="80"/>
      <c r="F422" s="80"/>
      <c r="G422" s="81"/>
      <c r="H422" s="81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82"/>
      <c r="Z422" s="82"/>
      <c r="AA422" s="82"/>
      <c r="AB422" s="80"/>
      <c r="AC422" s="77"/>
      <c r="AD422" s="77"/>
      <c r="AE422" s="77"/>
      <c r="AF422" s="77"/>
      <c r="AG422" s="77"/>
      <c r="AH422" s="77"/>
      <c r="AI422" s="92"/>
      <c r="AJ422" s="77"/>
      <c r="AK422" s="77"/>
      <c r="AL422" s="77"/>
      <c r="AM422" s="77"/>
      <c r="AN422" s="77"/>
      <c r="AO422" s="77"/>
      <c r="AP422" s="76"/>
      <c r="AQ422" s="81"/>
      <c r="AR422" s="76"/>
      <c r="AS422" s="81"/>
      <c r="AT422" s="76"/>
      <c r="AU422" s="81"/>
      <c r="AV422" s="77"/>
      <c r="AW422" s="81"/>
      <c r="AX422" s="77"/>
      <c r="AY422" s="81"/>
      <c r="AZ422" s="77"/>
      <c r="BA422" s="81"/>
      <c r="BB422" s="77"/>
      <c r="BC422" s="81"/>
      <c r="BD422" s="77"/>
      <c r="BE422" s="81"/>
      <c r="BF422" s="77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77"/>
      <c r="BU422" s="77"/>
      <c r="BV422" s="77"/>
      <c r="BW422" s="77"/>
      <c r="BX422" s="77"/>
      <c r="BY422" s="77"/>
      <c r="BZ422" s="77"/>
      <c r="CA422" s="77"/>
      <c r="CB422" s="77"/>
      <c r="CC422" s="77"/>
      <c r="CD422" s="77"/>
      <c r="CE422" s="77"/>
      <c r="CF422" s="77"/>
      <c r="CG422" s="77"/>
      <c r="CH422" s="77"/>
      <c r="CI422" s="77"/>
      <c r="CJ422" s="77"/>
      <c r="CK422" s="77"/>
      <c r="CL422" s="77"/>
      <c r="CM422" s="77"/>
      <c r="CN422" s="77"/>
      <c r="CO422" s="77"/>
      <c r="CP422" s="77"/>
      <c r="CQ422" s="77"/>
      <c r="CR422" s="77"/>
      <c r="CS422" s="77"/>
      <c r="CT422" s="77"/>
      <c r="CU422" s="77"/>
      <c r="CV422" s="77"/>
      <c r="CW422" s="77"/>
    </row>
    <row r="423" spans="1:101" ht="16.5" x14ac:dyDescent="0.45">
      <c r="A423" s="76"/>
      <c r="B423" s="77"/>
      <c r="C423" s="77"/>
      <c r="D423" s="78"/>
      <c r="E423" s="80"/>
      <c r="F423" s="80"/>
      <c r="G423" s="81"/>
      <c r="H423" s="81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82"/>
      <c r="Z423" s="82"/>
      <c r="AA423" s="82"/>
      <c r="AB423" s="80"/>
      <c r="AC423" s="77"/>
      <c r="AD423" s="77"/>
      <c r="AE423" s="77"/>
      <c r="AF423" s="77"/>
      <c r="AG423" s="77"/>
      <c r="AH423" s="77"/>
      <c r="AI423" s="92"/>
      <c r="AJ423" s="77"/>
      <c r="AK423" s="77"/>
      <c r="AL423" s="77"/>
      <c r="AM423" s="77"/>
      <c r="AN423" s="77"/>
      <c r="AO423" s="77"/>
      <c r="AP423" s="76"/>
      <c r="AQ423" s="81"/>
      <c r="AR423" s="76"/>
      <c r="AS423" s="81"/>
      <c r="AT423" s="76"/>
      <c r="AU423" s="81"/>
      <c r="AV423" s="77"/>
      <c r="AW423" s="81"/>
      <c r="AX423" s="77"/>
      <c r="AY423" s="81"/>
      <c r="AZ423" s="77"/>
      <c r="BA423" s="81"/>
      <c r="BB423" s="77"/>
      <c r="BC423" s="81"/>
      <c r="BD423" s="77"/>
      <c r="BE423" s="81"/>
      <c r="BF423" s="77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77"/>
      <c r="BU423" s="77"/>
      <c r="BV423" s="77"/>
      <c r="BW423" s="77"/>
      <c r="BX423" s="77"/>
      <c r="BY423" s="77"/>
      <c r="BZ423" s="77"/>
      <c r="CA423" s="77"/>
      <c r="CB423" s="77"/>
      <c r="CC423" s="77"/>
      <c r="CD423" s="77"/>
      <c r="CE423" s="77"/>
      <c r="CF423" s="77"/>
      <c r="CG423" s="77"/>
      <c r="CH423" s="77"/>
      <c r="CI423" s="77"/>
      <c r="CJ423" s="77"/>
      <c r="CK423" s="77"/>
      <c r="CL423" s="77"/>
      <c r="CM423" s="77"/>
      <c r="CN423" s="77"/>
      <c r="CO423" s="77"/>
      <c r="CP423" s="77"/>
      <c r="CQ423" s="77"/>
      <c r="CR423" s="77"/>
      <c r="CS423" s="77"/>
      <c r="CT423" s="77"/>
      <c r="CU423" s="77"/>
      <c r="CV423" s="77"/>
      <c r="CW423" s="77"/>
    </row>
    <row r="424" spans="1:101" ht="16.5" x14ac:dyDescent="0.45">
      <c r="A424" s="76"/>
      <c r="B424" s="77"/>
      <c r="C424" s="77"/>
      <c r="D424" s="78"/>
      <c r="E424" s="80"/>
      <c r="F424" s="80"/>
      <c r="G424" s="81"/>
      <c r="H424" s="81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82"/>
      <c r="Z424" s="82"/>
      <c r="AA424" s="82"/>
      <c r="AB424" s="80"/>
      <c r="AC424" s="77"/>
      <c r="AD424" s="77"/>
      <c r="AE424" s="77"/>
      <c r="AF424" s="77"/>
      <c r="AG424" s="77"/>
      <c r="AH424" s="77"/>
      <c r="AI424" s="92"/>
      <c r="AJ424" s="77"/>
      <c r="AK424" s="77"/>
      <c r="AL424" s="77"/>
      <c r="AM424" s="77"/>
      <c r="AN424" s="77"/>
      <c r="AO424" s="77"/>
      <c r="AP424" s="76"/>
      <c r="AQ424" s="81"/>
      <c r="AR424" s="76"/>
      <c r="AS424" s="81"/>
      <c r="AT424" s="76"/>
      <c r="AU424" s="81"/>
      <c r="AV424" s="77"/>
      <c r="AW424" s="81"/>
      <c r="AX424" s="77"/>
      <c r="AY424" s="81"/>
      <c r="AZ424" s="77"/>
      <c r="BA424" s="81"/>
      <c r="BB424" s="77"/>
      <c r="BC424" s="81"/>
      <c r="BD424" s="77"/>
      <c r="BE424" s="81"/>
      <c r="BF424" s="77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77"/>
      <c r="BU424" s="77"/>
      <c r="BV424" s="77"/>
      <c r="BW424" s="77"/>
      <c r="BX424" s="77"/>
      <c r="BY424" s="77"/>
      <c r="BZ424" s="77"/>
      <c r="CA424" s="77"/>
      <c r="CB424" s="77"/>
      <c r="CC424" s="77"/>
      <c r="CD424" s="77"/>
      <c r="CE424" s="77"/>
      <c r="CF424" s="77"/>
      <c r="CG424" s="77"/>
      <c r="CH424" s="77"/>
      <c r="CI424" s="77"/>
      <c r="CJ424" s="77"/>
      <c r="CK424" s="77"/>
      <c r="CL424" s="77"/>
      <c r="CM424" s="77"/>
      <c r="CN424" s="77"/>
      <c r="CO424" s="77"/>
      <c r="CP424" s="77"/>
      <c r="CQ424" s="77"/>
      <c r="CR424" s="77"/>
      <c r="CS424" s="77"/>
      <c r="CT424" s="77"/>
      <c r="CU424" s="77"/>
      <c r="CV424" s="77"/>
      <c r="CW424" s="77"/>
    </row>
    <row r="425" spans="1:101" ht="16.5" x14ac:dyDescent="0.45">
      <c r="A425" s="76"/>
      <c r="B425" s="77"/>
      <c r="C425" s="77"/>
      <c r="D425" s="78"/>
      <c r="E425" s="80"/>
      <c r="F425" s="80"/>
      <c r="G425" s="81"/>
      <c r="H425" s="81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82"/>
      <c r="Z425" s="82"/>
      <c r="AA425" s="82"/>
      <c r="AB425" s="80"/>
      <c r="AC425" s="77"/>
      <c r="AD425" s="77"/>
      <c r="AE425" s="77"/>
      <c r="AF425" s="77"/>
      <c r="AG425" s="77"/>
      <c r="AH425" s="77"/>
      <c r="AI425" s="92"/>
      <c r="AJ425" s="77"/>
      <c r="AK425" s="77"/>
      <c r="AL425" s="77"/>
      <c r="AM425" s="77"/>
      <c r="AN425" s="77"/>
      <c r="AO425" s="77"/>
      <c r="AP425" s="76"/>
      <c r="AQ425" s="81"/>
      <c r="AR425" s="76"/>
      <c r="AS425" s="81"/>
      <c r="AT425" s="76"/>
      <c r="AU425" s="81"/>
      <c r="AV425" s="77"/>
      <c r="AW425" s="81"/>
      <c r="AX425" s="77"/>
      <c r="AY425" s="81"/>
      <c r="AZ425" s="77"/>
      <c r="BA425" s="81"/>
      <c r="BB425" s="77"/>
      <c r="BC425" s="81"/>
      <c r="BD425" s="77"/>
      <c r="BE425" s="81"/>
      <c r="BF425" s="77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77"/>
      <c r="BU425" s="77"/>
      <c r="BV425" s="77"/>
      <c r="BW425" s="77"/>
      <c r="BX425" s="77"/>
      <c r="BY425" s="77"/>
      <c r="BZ425" s="77"/>
      <c r="CA425" s="77"/>
      <c r="CB425" s="77"/>
      <c r="CC425" s="77"/>
      <c r="CD425" s="77"/>
      <c r="CE425" s="77"/>
      <c r="CF425" s="77"/>
      <c r="CG425" s="77"/>
      <c r="CH425" s="77"/>
      <c r="CI425" s="77"/>
      <c r="CJ425" s="77"/>
      <c r="CK425" s="77"/>
      <c r="CL425" s="77"/>
      <c r="CM425" s="77"/>
      <c r="CN425" s="77"/>
      <c r="CO425" s="77"/>
      <c r="CP425" s="77"/>
      <c r="CQ425" s="77"/>
      <c r="CR425" s="77"/>
      <c r="CS425" s="77"/>
      <c r="CT425" s="77"/>
      <c r="CU425" s="77"/>
      <c r="CV425" s="77"/>
      <c r="CW425" s="77"/>
    </row>
    <row r="426" spans="1:101" ht="16.5" x14ac:dyDescent="0.45">
      <c r="A426" s="76"/>
      <c r="B426" s="77"/>
      <c r="C426" s="77"/>
      <c r="D426" s="78"/>
      <c r="E426" s="80"/>
      <c r="F426" s="80"/>
      <c r="G426" s="81"/>
      <c r="H426" s="81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82"/>
      <c r="Z426" s="82"/>
      <c r="AA426" s="82"/>
      <c r="AB426" s="80"/>
      <c r="AC426" s="77"/>
      <c r="AD426" s="77"/>
      <c r="AE426" s="77"/>
      <c r="AF426" s="77"/>
      <c r="AG426" s="77"/>
      <c r="AH426" s="77"/>
      <c r="AI426" s="92"/>
      <c r="AJ426" s="77"/>
      <c r="AK426" s="77"/>
      <c r="AL426" s="77"/>
      <c r="AM426" s="77"/>
      <c r="AN426" s="77"/>
      <c r="AO426" s="77"/>
      <c r="AP426" s="76"/>
      <c r="AQ426" s="81"/>
      <c r="AR426" s="76"/>
      <c r="AS426" s="81"/>
      <c r="AT426" s="76"/>
      <c r="AU426" s="81"/>
      <c r="AV426" s="77"/>
      <c r="AW426" s="81"/>
      <c r="AX426" s="77"/>
      <c r="AY426" s="81"/>
      <c r="AZ426" s="77"/>
      <c r="BA426" s="81"/>
      <c r="BB426" s="77"/>
      <c r="BC426" s="81"/>
      <c r="BD426" s="77"/>
      <c r="BE426" s="81"/>
      <c r="BF426" s="77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77"/>
      <c r="BU426" s="77"/>
      <c r="BV426" s="77"/>
      <c r="BW426" s="77"/>
      <c r="BX426" s="77"/>
      <c r="BY426" s="77"/>
      <c r="BZ426" s="77"/>
      <c r="CA426" s="77"/>
      <c r="CB426" s="77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77"/>
      <c r="CN426" s="77"/>
      <c r="CO426" s="77"/>
      <c r="CP426" s="77"/>
      <c r="CQ426" s="77"/>
      <c r="CR426" s="77"/>
      <c r="CS426" s="77"/>
      <c r="CT426" s="77"/>
      <c r="CU426" s="77"/>
      <c r="CV426" s="77"/>
      <c r="CW426" s="77"/>
    </row>
    <row r="427" spans="1:101" ht="16.5" x14ac:dyDescent="0.45">
      <c r="A427" s="76"/>
      <c r="B427" s="77"/>
      <c r="C427" s="77"/>
      <c r="D427" s="78"/>
      <c r="E427" s="80"/>
      <c r="F427" s="80"/>
      <c r="G427" s="81"/>
      <c r="H427" s="81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82"/>
      <c r="Z427" s="82"/>
      <c r="AA427" s="82"/>
      <c r="AB427" s="80"/>
      <c r="AC427" s="77"/>
      <c r="AD427" s="77"/>
      <c r="AE427" s="77"/>
      <c r="AF427" s="77"/>
      <c r="AG427" s="77"/>
      <c r="AH427" s="77"/>
      <c r="AI427" s="92"/>
      <c r="AJ427" s="77"/>
      <c r="AK427" s="77"/>
      <c r="AL427" s="77"/>
      <c r="AM427" s="77"/>
      <c r="AN427" s="77"/>
      <c r="AO427" s="77"/>
      <c r="AP427" s="76"/>
      <c r="AQ427" s="81"/>
      <c r="AR427" s="76"/>
      <c r="AS427" s="81"/>
      <c r="AT427" s="76"/>
      <c r="AU427" s="81"/>
      <c r="AV427" s="77"/>
      <c r="AW427" s="81"/>
      <c r="AX427" s="77"/>
      <c r="AY427" s="81"/>
      <c r="AZ427" s="77"/>
      <c r="BA427" s="81"/>
      <c r="BB427" s="77"/>
      <c r="BC427" s="81"/>
      <c r="BD427" s="77"/>
      <c r="BE427" s="81"/>
      <c r="BF427" s="77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77"/>
      <c r="BU427" s="77"/>
      <c r="BV427" s="77"/>
      <c r="BW427" s="77"/>
      <c r="BX427" s="77"/>
      <c r="BY427" s="77"/>
      <c r="BZ427" s="77"/>
      <c r="CA427" s="77"/>
      <c r="CB427" s="77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77"/>
      <c r="CN427" s="77"/>
      <c r="CO427" s="77"/>
      <c r="CP427" s="77"/>
      <c r="CQ427" s="77"/>
      <c r="CR427" s="77"/>
      <c r="CS427" s="77"/>
      <c r="CT427" s="77"/>
      <c r="CU427" s="77"/>
      <c r="CV427" s="77"/>
      <c r="CW427" s="77"/>
    </row>
    <row r="428" spans="1:101" ht="16.5" x14ac:dyDescent="0.45">
      <c r="A428" s="76"/>
      <c r="B428" s="77"/>
      <c r="C428" s="77"/>
      <c r="D428" s="78"/>
      <c r="E428" s="80"/>
      <c r="F428" s="80"/>
      <c r="G428" s="81"/>
      <c r="H428" s="81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82"/>
      <c r="Z428" s="82"/>
      <c r="AA428" s="82"/>
      <c r="AB428" s="80"/>
      <c r="AC428" s="77"/>
      <c r="AD428" s="77"/>
      <c r="AE428" s="77"/>
      <c r="AF428" s="77"/>
      <c r="AG428" s="77"/>
      <c r="AH428" s="77"/>
      <c r="AI428" s="92"/>
      <c r="AJ428" s="77"/>
      <c r="AK428" s="77"/>
      <c r="AL428" s="77"/>
      <c r="AM428" s="77"/>
      <c r="AN428" s="77"/>
      <c r="AO428" s="77"/>
      <c r="AP428" s="76"/>
      <c r="AQ428" s="81"/>
      <c r="AR428" s="76"/>
      <c r="AS428" s="81"/>
      <c r="AT428" s="76"/>
      <c r="AU428" s="81"/>
      <c r="AV428" s="77"/>
      <c r="AW428" s="81"/>
      <c r="AX428" s="77"/>
      <c r="AY428" s="81"/>
      <c r="AZ428" s="77"/>
      <c r="BA428" s="81"/>
      <c r="BB428" s="77"/>
      <c r="BC428" s="81"/>
      <c r="BD428" s="77"/>
      <c r="BE428" s="81"/>
      <c r="BF428" s="77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77"/>
      <c r="BU428" s="77"/>
      <c r="BV428" s="77"/>
      <c r="BW428" s="77"/>
      <c r="BX428" s="77"/>
      <c r="BY428" s="77"/>
      <c r="BZ428" s="77"/>
      <c r="CA428" s="77"/>
      <c r="CB428" s="77"/>
      <c r="CC428" s="77"/>
      <c r="CD428" s="77"/>
      <c r="CE428" s="77"/>
      <c r="CF428" s="77"/>
      <c r="CG428" s="77"/>
      <c r="CH428" s="77"/>
      <c r="CI428" s="77"/>
      <c r="CJ428" s="77"/>
      <c r="CK428" s="77"/>
      <c r="CL428" s="77"/>
      <c r="CM428" s="77"/>
      <c r="CN428" s="77"/>
      <c r="CO428" s="77"/>
      <c r="CP428" s="77"/>
      <c r="CQ428" s="77"/>
      <c r="CR428" s="77"/>
      <c r="CS428" s="77"/>
      <c r="CT428" s="77"/>
      <c r="CU428" s="77"/>
      <c r="CV428" s="77"/>
      <c r="CW428" s="77"/>
    </row>
    <row r="429" spans="1:101" ht="16.5" x14ac:dyDescent="0.45">
      <c r="A429" s="76"/>
      <c r="B429" s="77"/>
      <c r="C429" s="77"/>
      <c r="D429" s="78"/>
      <c r="E429" s="80"/>
      <c r="F429" s="80"/>
      <c r="G429" s="81"/>
      <c r="H429" s="81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82"/>
      <c r="Z429" s="82"/>
      <c r="AA429" s="82"/>
      <c r="AB429" s="80"/>
      <c r="AC429" s="77"/>
      <c r="AD429" s="77"/>
      <c r="AE429" s="77"/>
      <c r="AF429" s="77"/>
      <c r="AG429" s="77"/>
      <c r="AH429" s="77"/>
      <c r="AI429" s="92"/>
      <c r="AJ429" s="77"/>
      <c r="AK429" s="77"/>
      <c r="AL429" s="77"/>
      <c r="AM429" s="77"/>
      <c r="AN429" s="77"/>
      <c r="AO429" s="77"/>
      <c r="AP429" s="76"/>
      <c r="AQ429" s="81"/>
      <c r="AR429" s="76"/>
      <c r="AS429" s="81"/>
      <c r="AT429" s="76"/>
      <c r="AU429" s="81"/>
      <c r="AV429" s="77"/>
      <c r="AW429" s="81"/>
      <c r="AX429" s="77"/>
      <c r="AY429" s="81"/>
      <c r="AZ429" s="77"/>
      <c r="BA429" s="81"/>
      <c r="BB429" s="77"/>
      <c r="BC429" s="81"/>
      <c r="BD429" s="77"/>
      <c r="BE429" s="81"/>
      <c r="BF429" s="77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77"/>
      <c r="BU429" s="77"/>
      <c r="BV429" s="77"/>
      <c r="BW429" s="77"/>
      <c r="BX429" s="77"/>
      <c r="BY429" s="77"/>
      <c r="BZ429" s="77"/>
      <c r="CA429" s="77"/>
      <c r="CB429" s="77"/>
      <c r="CC429" s="77"/>
      <c r="CD429" s="77"/>
      <c r="CE429" s="77"/>
      <c r="CF429" s="77"/>
      <c r="CG429" s="77"/>
      <c r="CH429" s="77"/>
      <c r="CI429" s="77"/>
      <c r="CJ429" s="77"/>
      <c r="CK429" s="77"/>
      <c r="CL429" s="77"/>
      <c r="CM429" s="77"/>
      <c r="CN429" s="77"/>
      <c r="CO429" s="77"/>
      <c r="CP429" s="77"/>
      <c r="CQ429" s="77"/>
      <c r="CR429" s="77"/>
      <c r="CS429" s="77"/>
      <c r="CT429" s="77"/>
      <c r="CU429" s="77"/>
      <c r="CV429" s="77"/>
      <c r="CW429" s="77"/>
    </row>
    <row r="430" spans="1:101" ht="16.5" x14ac:dyDescent="0.45">
      <c r="A430" s="76"/>
      <c r="B430" s="77"/>
      <c r="C430" s="77"/>
      <c r="D430" s="78"/>
      <c r="E430" s="80"/>
      <c r="F430" s="80"/>
      <c r="G430" s="81"/>
      <c r="H430" s="81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82"/>
      <c r="Z430" s="82"/>
      <c r="AA430" s="82"/>
      <c r="AB430" s="80"/>
      <c r="AC430" s="77"/>
      <c r="AD430" s="77"/>
      <c r="AE430" s="77"/>
      <c r="AF430" s="77"/>
      <c r="AG430" s="77"/>
      <c r="AH430" s="77"/>
      <c r="AI430" s="92"/>
      <c r="AJ430" s="77"/>
      <c r="AK430" s="77"/>
      <c r="AL430" s="77"/>
      <c r="AM430" s="77"/>
      <c r="AN430" s="77"/>
      <c r="AO430" s="77"/>
      <c r="AP430" s="76"/>
      <c r="AQ430" s="81"/>
      <c r="AR430" s="76"/>
      <c r="AS430" s="81"/>
      <c r="AT430" s="76"/>
      <c r="AU430" s="81"/>
      <c r="AV430" s="77"/>
      <c r="AW430" s="81"/>
      <c r="AX430" s="77"/>
      <c r="AY430" s="81"/>
      <c r="AZ430" s="77"/>
      <c r="BA430" s="81"/>
      <c r="BB430" s="77"/>
      <c r="BC430" s="81"/>
      <c r="BD430" s="77"/>
      <c r="BE430" s="81"/>
      <c r="BF430" s="77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77"/>
      <c r="BU430" s="77"/>
      <c r="BV430" s="77"/>
      <c r="BW430" s="77"/>
      <c r="BX430" s="77"/>
      <c r="BY430" s="77"/>
      <c r="BZ430" s="77"/>
      <c r="CA430" s="77"/>
      <c r="CB430" s="77"/>
      <c r="CC430" s="77"/>
      <c r="CD430" s="77"/>
      <c r="CE430" s="77"/>
      <c r="CF430" s="77"/>
      <c r="CG430" s="77"/>
      <c r="CH430" s="77"/>
      <c r="CI430" s="77"/>
      <c r="CJ430" s="77"/>
      <c r="CK430" s="77"/>
      <c r="CL430" s="77"/>
      <c r="CM430" s="77"/>
      <c r="CN430" s="77"/>
      <c r="CO430" s="77"/>
      <c r="CP430" s="77"/>
      <c r="CQ430" s="77"/>
      <c r="CR430" s="77"/>
      <c r="CS430" s="77"/>
      <c r="CT430" s="77"/>
      <c r="CU430" s="77"/>
      <c r="CV430" s="77"/>
      <c r="CW430" s="77"/>
    </row>
    <row r="431" spans="1:101" ht="16.5" x14ac:dyDescent="0.45">
      <c r="A431" s="76"/>
      <c r="B431" s="77"/>
      <c r="C431" s="77"/>
      <c r="D431" s="78"/>
      <c r="E431" s="80"/>
      <c r="F431" s="80"/>
      <c r="G431" s="81"/>
      <c r="H431" s="81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82"/>
      <c r="Z431" s="82"/>
      <c r="AA431" s="82"/>
      <c r="AB431" s="80"/>
      <c r="AC431" s="77"/>
      <c r="AD431" s="77"/>
      <c r="AE431" s="77"/>
      <c r="AF431" s="77"/>
      <c r="AG431" s="77"/>
      <c r="AH431" s="77"/>
      <c r="AI431" s="92"/>
      <c r="AJ431" s="77"/>
      <c r="AK431" s="77"/>
      <c r="AL431" s="77"/>
      <c r="AM431" s="77"/>
      <c r="AN431" s="77"/>
      <c r="AO431" s="77"/>
      <c r="AP431" s="76"/>
      <c r="AQ431" s="81"/>
      <c r="AR431" s="76"/>
      <c r="AS431" s="81"/>
      <c r="AT431" s="76"/>
      <c r="AU431" s="81"/>
      <c r="AV431" s="77"/>
      <c r="AW431" s="81"/>
      <c r="AX431" s="77"/>
      <c r="AY431" s="81"/>
      <c r="AZ431" s="77"/>
      <c r="BA431" s="81"/>
      <c r="BB431" s="77"/>
      <c r="BC431" s="81"/>
      <c r="BD431" s="77"/>
      <c r="BE431" s="81"/>
      <c r="BF431" s="77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77"/>
      <c r="BU431" s="77"/>
      <c r="BV431" s="77"/>
      <c r="BW431" s="77"/>
      <c r="BX431" s="77"/>
      <c r="BY431" s="77"/>
      <c r="BZ431" s="77"/>
      <c r="CA431" s="77"/>
      <c r="CB431" s="77"/>
      <c r="CC431" s="77"/>
      <c r="CD431" s="77"/>
      <c r="CE431" s="77"/>
      <c r="CF431" s="77"/>
      <c r="CG431" s="77"/>
      <c r="CH431" s="77"/>
      <c r="CI431" s="77"/>
      <c r="CJ431" s="77"/>
      <c r="CK431" s="77"/>
      <c r="CL431" s="77"/>
      <c r="CM431" s="77"/>
      <c r="CN431" s="77"/>
      <c r="CO431" s="77"/>
      <c r="CP431" s="77"/>
      <c r="CQ431" s="77"/>
      <c r="CR431" s="77"/>
      <c r="CS431" s="77"/>
      <c r="CT431" s="77"/>
      <c r="CU431" s="77"/>
      <c r="CV431" s="77"/>
      <c r="CW431" s="77"/>
    </row>
    <row r="432" spans="1:101" ht="16.5" x14ac:dyDescent="0.45">
      <c r="A432" s="76"/>
      <c r="B432" s="77"/>
      <c r="C432" s="77"/>
      <c r="D432" s="78"/>
      <c r="E432" s="80"/>
      <c r="F432" s="80"/>
      <c r="G432" s="81"/>
      <c r="H432" s="81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82"/>
      <c r="Z432" s="82"/>
      <c r="AA432" s="82"/>
      <c r="AB432" s="80"/>
      <c r="AC432" s="77"/>
      <c r="AD432" s="77"/>
      <c r="AE432" s="77"/>
      <c r="AF432" s="77"/>
      <c r="AG432" s="77"/>
      <c r="AH432" s="77"/>
      <c r="AI432" s="92"/>
      <c r="AJ432" s="77"/>
      <c r="AK432" s="77"/>
      <c r="AL432" s="77"/>
      <c r="AM432" s="77"/>
      <c r="AN432" s="77"/>
      <c r="AO432" s="77"/>
      <c r="AP432" s="76"/>
      <c r="AQ432" s="81"/>
      <c r="AR432" s="76"/>
      <c r="AS432" s="81"/>
      <c r="AT432" s="76"/>
      <c r="AU432" s="81"/>
      <c r="AV432" s="77"/>
      <c r="AW432" s="81"/>
      <c r="AX432" s="77"/>
      <c r="AY432" s="81"/>
      <c r="AZ432" s="77"/>
      <c r="BA432" s="81"/>
      <c r="BB432" s="77"/>
      <c r="BC432" s="81"/>
      <c r="BD432" s="77"/>
      <c r="BE432" s="81"/>
      <c r="BF432" s="77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77"/>
      <c r="BU432" s="77"/>
      <c r="BV432" s="77"/>
      <c r="BW432" s="77"/>
      <c r="BX432" s="77"/>
      <c r="BY432" s="77"/>
      <c r="BZ432" s="77"/>
      <c r="CA432" s="77"/>
      <c r="CB432" s="77"/>
      <c r="CC432" s="77"/>
      <c r="CD432" s="77"/>
      <c r="CE432" s="77"/>
      <c r="CF432" s="77"/>
      <c r="CG432" s="77"/>
      <c r="CH432" s="77"/>
      <c r="CI432" s="77"/>
      <c r="CJ432" s="77"/>
      <c r="CK432" s="77"/>
      <c r="CL432" s="77"/>
      <c r="CM432" s="77"/>
      <c r="CN432" s="77"/>
      <c r="CO432" s="77"/>
      <c r="CP432" s="77"/>
      <c r="CQ432" s="77"/>
      <c r="CR432" s="77"/>
      <c r="CS432" s="77"/>
      <c r="CT432" s="77"/>
      <c r="CU432" s="77"/>
      <c r="CV432" s="77"/>
      <c r="CW432" s="77"/>
    </row>
    <row r="433" spans="1:101" ht="16.5" x14ac:dyDescent="0.45">
      <c r="A433" s="76"/>
      <c r="B433" s="77"/>
      <c r="C433" s="77"/>
      <c r="D433" s="78"/>
      <c r="E433" s="80"/>
      <c r="F433" s="80"/>
      <c r="G433" s="81"/>
      <c r="H433" s="81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82"/>
      <c r="Z433" s="82"/>
      <c r="AA433" s="82"/>
      <c r="AB433" s="80"/>
      <c r="AC433" s="77"/>
      <c r="AD433" s="77"/>
      <c r="AE433" s="77"/>
      <c r="AF433" s="77"/>
      <c r="AG433" s="77"/>
      <c r="AH433" s="77"/>
      <c r="AI433" s="92"/>
      <c r="AJ433" s="77"/>
      <c r="AK433" s="77"/>
      <c r="AL433" s="77"/>
      <c r="AM433" s="77"/>
      <c r="AN433" s="77"/>
      <c r="AO433" s="77"/>
      <c r="AP433" s="76"/>
      <c r="AQ433" s="81"/>
      <c r="AR433" s="76"/>
      <c r="AS433" s="81"/>
      <c r="AT433" s="76"/>
      <c r="AU433" s="81"/>
      <c r="AV433" s="77"/>
      <c r="AW433" s="81"/>
      <c r="AX433" s="77"/>
      <c r="AY433" s="81"/>
      <c r="AZ433" s="77"/>
      <c r="BA433" s="81"/>
      <c r="BB433" s="77"/>
      <c r="BC433" s="81"/>
      <c r="BD433" s="77"/>
      <c r="BE433" s="81"/>
      <c r="BF433" s="77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77"/>
      <c r="BU433" s="77"/>
      <c r="BV433" s="77"/>
      <c r="BW433" s="77"/>
      <c r="BX433" s="77"/>
      <c r="BY433" s="77"/>
      <c r="BZ433" s="77"/>
      <c r="CA433" s="77"/>
      <c r="CB433" s="77"/>
      <c r="CC433" s="77"/>
      <c r="CD433" s="77"/>
      <c r="CE433" s="77"/>
      <c r="CF433" s="77"/>
      <c r="CG433" s="77"/>
      <c r="CH433" s="77"/>
      <c r="CI433" s="77"/>
      <c r="CJ433" s="77"/>
      <c r="CK433" s="77"/>
      <c r="CL433" s="77"/>
      <c r="CM433" s="77"/>
      <c r="CN433" s="77"/>
      <c r="CO433" s="77"/>
      <c r="CP433" s="77"/>
      <c r="CQ433" s="77"/>
      <c r="CR433" s="77"/>
      <c r="CS433" s="77"/>
      <c r="CT433" s="77"/>
      <c r="CU433" s="77"/>
      <c r="CV433" s="77"/>
      <c r="CW433" s="77"/>
    </row>
    <row r="434" spans="1:101" ht="16.5" x14ac:dyDescent="0.45">
      <c r="A434" s="76"/>
      <c r="B434" s="77"/>
      <c r="C434" s="77"/>
      <c r="D434" s="78"/>
      <c r="E434" s="80"/>
      <c r="F434" s="80"/>
      <c r="G434" s="81"/>
      <c r="H434" s="81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82"/>
      <c r="Z434" s="82"/>
      <c r="AA434" s="82"/>
      <c r="AB434" s="80"/>
      <c r="AC434" s="77"/>
      <c r="AD434" s="77"/>
      <c r="AE434" s="77"/>
      <c r="AF434" s="77"/>
      <c r="AG434" s="77"/>
      <c r="AH434" s="77"/>
      <c r="AI434" s="92"/>
      <c r="AJ434" s="77"/>
      <c r="AK434" s="77"/>
      <c r="AL434" s="77"/>
      <c r="AM434" s="77"/>
      <c r="AN434" s="77"/>
      <c r="AO434" s="77"/>
      <c r="AP434" s="76"/>
      <c r="AQ434" s="81"/>
      <c r="AR434" s="76"/>
      <c r="AS434" s="81"/>
      <c r="AT434" s="76"/>
      <c r="AU434" s="81"/>
      <c r="AV434" s="77"/>
      <c r="AW434" s="81"/>
      <c r="AX434" s="77"/>
      <c r="AY434" s="81"/>
      <c r="AZ434" s="77"/>
      <c r="BA434" s="81"/>
      <c r="BB434" s="77"/>
      <c r="BC434" s="81"/>
      <c r="BD434" s="77"/>
      <c r="BE434" s="81"/>
      <c r="BF434" s="77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77"/>
      <c r="BU434" s="77"/>
      <c r="BV434" s="77"/>
      <c r="BW434" s="77"/>
      <c r="BX434" s="77"/>
      <c r="BY434" s="77"/>
      <c r="BZ434" s="77"/>
      <c r="CA434" s="77"/>
      <c r="CB434" s="77"/>
      <c r="CC434" s="77"/>
      <c r="CD434" s="77"/>
      <c r="CE434" s="77"/>
      <c r="CF434" s="77"/>
      <c r="CG434" s="77"/>
      <c r="CH434" s="77"/>
      <c r="CI434" s="77"/>
      <c r="CJ434" s="77"/>
      <c r="CK434" s="77"/>
      <c r="CL434" s="77"/>
      <c r="CM434" s="77"/>
      <c r="CN434" s="77"/>
      <c r="CO434" s="77"/>
      <c r="CP434" s="77"/>
      <c r="CQ434" s="77"/>
      <c r="CR434" s="77"/>
      <c r="CS434" s="77"/>
      <c r="CT434" s="77"/>
      <c r="CU434" s="77"/>
      <c r="CV434" s="77"/>
      <c r="CW434" s="77"/>
    </row>
    <row r="435" spans="1:101" ht="16.5" x14ac:dyDescent="0.45">
      <c r="A435" s="76"/>
      <c r="B435" s="77"/>
      <c r="C435" s="77"/>
      <c r="D435" s="78"/>
      <c r="E435" s="80"/>
      <c r="F435" s="80"/>
      <c r="G435" s="81"/>
      <c r="H435" s="81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82"/>
      <c r="Z435" s="82"/>
      <c r="AA435" s="82"/>
      <c r="AB435" s="80"/>
      <c r="AC435" s="77"/>
      <c r="AD435" s="77"/>
      <c r="AE435" s="77"/>
      <c r="AF435" s="77"/>
      <c r="AG435" s="77"/>
      <c r="AH435" s="77"/>
      <c r="AI435" s="92"/>
      <c r="AJ435" s="77"/>
      <c r="AK435" s="77"/>
      <c r="AL435" s="77"/>
      <c r="AM435" s="77"/>
      <c r="AN435" s="77"/>
      <c r="AO435" s="77"/>
      <c r="AP435" s="76"/>
      <c r="AQ435" s="81"/>
      <c r="AR435" s="76"/>
      <c r="AS435" s="81"/>
      <c r="AT435" s="76"/>
      <c r="AU435" s="81"/>
      <c r="AV435" s="77"/>
      <c r="AW435" s="81"/>
      <c r="AX435" s="77"/>
      <c r="AY435" s="81"/>
      <c r="AZ435" s="77"/>
      <c r="BA435" s="81"/>
      <c r="BB435" s="77"/>
      <c r="BC435" s="81"/>
      <c r="BD435" s="77"/>
      <c r="BE435" s="81"/>
      <c r="BF435" s="77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77"/>
      <c r="BU435" s="77"/>
      <c r="BV435" s="77"/>
      <c r="BW435" s="77"/>
      <c r="BX435" s="77"/>
      <c r="BY435" s="77"/>
      <c r="BZ435" s="77"/>
      <c r="CA435" s="77"/>
      <c r="CB435" s="77"/>
      <c r="CC435" s="77"/>
      <c r="CD435" s="77"/>
      <c r="CE435" s="77"/>
      <c r="CF435" s="77"/>
      <c r="CG435" s="77"/>
      <c r="CH435" s="77"/>
      <c r="CI435" s="77"/>
      <c r="CJ435" s="77"/>
      <c r="CK435" s="77"/>
      <c r="CL435" s="77"/>
      <c r="CM435" s="77"/>
      <c r="CN435" s="77"/>
      <c r="CO435" s="77"/>
      <c r="CP435" s="77"/>
      <c r="CQ435" s="77"/>
      <c r="CR435" s="77"/>
      <c r="CS435" s="77"/>
      <c r="CT435" s="77"/>
      <c r="CU435" s="77"/>
      <c r="CV435" s="77"/>
      <c r="CW435" s="77"/>
    </row>
    <row r="436" spans="1:101" ht="16.5" x14ac:dyDescent="0.45">
      <c r="A436" s="76"/>
      <c r="B436" s="77"/>
      <c r="C436" s="77"/>
      <c r="D436" s="78"/>
      <c r="E436" s="80"/>
      <c r="F436" s="80"/>
      <c r="G436" s="81"/>
      <c r="H436" s="81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82"/>
      <c r="Z436" s="82"/>
      <c r="AA436" s="82"/>
      <c r="AB436" s="80"/>
      <c r="AC436" s="77"/>
      <c r="AD436" s="77"/>
      <c r="AE436" s="77"/>
      <c r="AF436" s="77"/>
      <c r="AG436" s="77"/>
      <c r="AH436" s="77"/>
      <c r="AI436" s="92"/>
      <c r="AJ436" s="77"/>
      <c r="AK436" s="77"/>
      <c r="AL436" s="77"/>
      <c r="AM436" s="77"/>
      <c r="AN436" s="77"/>
      <c r="AO436" s="77"/>
      <c r="AP436" s="76"/>
      <c r="AQ436" s="81"/>
      <c r="AR436" s="76"/>
      <c r="AS436" s="81"/>
      <c r="AT436" s="76"/>
      <c r="AU436" s="81"/>
      <c r="AV436" s="77"/>
      <c r="AW436" s="81"/>
      <c r="AX436" s="77"/>
      <c r="AY436" s="81"/>
      <c r="AZ436" s="77"/>
      <c r="BA436" s="81"/>
      <c r="BB436" s="77"/>
      <c r="BC436" s="81"/>
      <c r="BD436" s="77"/>
      <c r="BE436" s="81"/>
      <c r="BF436" s="77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77"/>
      <c r="BU436" s="77"/>
      <c r="BV436" s="77"/>
      <c r="BW436" s="77"/>
      <c r="BX436" s="77"/>
      <c r="BY436" s="77"/>
      <c r="BZ436" s="77"/>
      <c r="CA436" s="77"/>
      <c r="CB436" s="77"/>
      <c r="CC436" s="77"/>
      <c r="CD436" s="77"/>
      <c r="CE436" s="77"/>
      <c r="CF436" s="77"/>
      <c r="CG436" s="77"/>
      <c r="CH436" s="77"/>
      <c r="CI436" s="77"/>
      <c r="CJ436" s="77"/>
      <c r="CK436" s="77"/>
      <c r="CL436" s="77"/>
      <c r="CM436" s="77"/>
      <c r="CN436" s="77"/>
      <c r="CO436" s="77"/>
      <c r="CP436" s="77"/>
      <c r="CQ436" s="77"/>
      <c r="CR436" s="77"/>
      <c r="CS436" s="77"/>
      <c r="CT436" s="77"/>
      <c r="CU436" s="77"/>
      <c r="CV436" s="77"/>
      <c r="CW436" s="77"/>
    </row>
    <row r="437" spans="1:101" ht="16.5" x14ac:dyDescent="0.45">
      <c r="A437" s="76"/>
      <c r="B437" s="77"/>
      <c r="C437" s="77"/>
      <c r="D437" s="78"/>
      <c r="E437" s="80"/>
      <c r="F437" s="80"/>
      <c r="G437" s="81"/>
      <c r="H437" s="81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82"/>
      <c r="Z437" s="82"/>
      <c r="AA437" s="82"/>
      <c r="AB437" s="80"/>
      <c r="AC437" s="77"/>
      <c r="AD437" s="77"/>
      <c r="AE437" s="77"/>
      <c r="AF437" s="77"/>
      <c r="AG437" s="77"/>
      <c r="AH437" s="77"/>
      <c r="AI437" s="92"/>
      <c r="AJ437" s="77"/>
      <c r="AK437" s="77"/>
      <c r="AL437" s="77"/>
      <c r="AM437" s="77"/>
      <c r="AN437" s="77"/>
      <c r="AO437" s="77"/>
      <c r="AP437" s="76"/>
      <c r="AQ437" s="81"/>
      <c r="AR437" s="76"/>
      <c r="AS437" s="81"/>
      <c r="AT437" s="76"/>
      <c r="AU437" s="81"/>
      <c r="AV437" s="77"/>
      <c r="AW437" s="81"/>
      <c r="AX437" s="77"/>
      <c r="AY437" s="81"/>
      <c r="AZ437" s="77"/>
      <c r="BA437" s="81"/>
      <c r="BB437" s="77"/>
      <c r="BC437" s="81"/>
      <c r="BD437" s="77"/>
      <c r="BE437" s="81"/>
      <c r="BF437" s="77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77"/>
      <c r="BU437" s="77"/>
      <c r="BV437" s="77"/>
      <c r="BW437" s="77"/>
      <c r="BX437" s="77"/>
      <c r="BY437" s="77"/>
      <c r="BZ437" s="77"/>
      <c r="CA437" s="77"/>
      <c r="CB437" s="77"/>
      <c r="CC437" s="77"/>
      <c r="CD437" s="77"/>
      <c r="CE437" s="77"/>
      <c r="CF437" s="77"/>
      <c r="CG437" s="77"/>
      <c r="CH437" s="77"/>
      <c r="CI437" s="77"/>
      <c r="CJ437" s="77"/>
      <c r="CK437" s="77"/>
      <c r="CL437" s="77"/>
      <c r="CM437" s="77"/>
      <c r="CN437" s="77"/>
      <c r="CO437" s="77"/>
      <c r="CP437" s="77"/>
      <c r="CQ437" s="77"/>
      <c r="CR437" s="77"/>
      <c r="CS437" s="77"/>
      <c r="CT437" s="77"/>
      <c r="CU437" s="77"/>
      <c r="CV437" s="77"/>
      <c r="CW437" s="77"/>
    </row>
    <row r="438" spans="1:101" ht="16.5" x14ac:dyDescent="0.45">
      <c r="A438" s="76"/>
      <c r="B438" s="77"/>
      <c r="C438" s="77"/>
      <c r="D438" s="78"/>
      <c r="E438" s="80"/>
      <c r="F438" s="80"/>
      <c r="G438" s="81"/>
      <c r="H438" s="81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82"/>
      <c r="Z438" s="82"/>
      <c r="AA438" s="82"/>
      <c r="AB438" s="80"/>
      <c r="AC438" s="77"/>
      <c r="AD438" s="77"/>
      <c r="AE438" s="77"/>
      <c r="AF438" s="77"/>
      <c r="AG438" s="77"/>
      <c r="AH438" s="77"/>
      <c r="AI438" s="92"/>
      <c r="AJ438" s="77"/>
      <c r="AK438" s="77"/>
      <c r="AL438" s="77"/>
      <c r="AM438" s="77"/>
      <c r="AN438" s="77"/>
      <c r="AO438" s="77"/>
      <c r="AP438" s="76"/>
      <c r="AQ438" s="81"/>
      <c r="AR438" s="76"/>
      <c r="AS438" s="81"/>
      <c r="AT438" s="76"/>
      <c r="AU438" s="81"/>
      <c r="AV438" s="77"/>
      <c r="AW438" s="81"/>
      <c r="AX438" s="77"/>
      <c r="AY438" s="81"/>
      <c r="AZ438" s="77"/>
      <c r="BA438" s="81"/>
      <c r="BB438" s="77"/>
      <c r="BC438" s="81"/>
      <c r="BD438" s="77"/>
      <c r="BE438" s="81"/>
      <c r="BF438" s="77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77"/>
      <c r="BU438" s="77"/>
      <c r="BV438" s="77"/>
      <c r="BW438" s="77"/>
      <c r="BX438" s="77"/>
      <c r="BY438" s="77"/>
      <c r="BZ438" s="77"/>
      <c r="CA438" s="77"/>
      <c r="CB438" s="77"/>
      <c r="CC438" s="77"/>
      <c r="CD438" s="77"/>
      <c r="CE438" s="77"/>
      <c r="CF438" s="77"/>
      <c r="CG438" s="77"/>
      <c r="CH438" s="77"/>
      <c r="CI438" s="77"/>
      <c r="CJ438" s="77"/>
      <c r="CK438" s="77"/>
      <c r="CL438" s="77"/>
      <c r="CM438" s="77"/>
      <c r="CN438" s="77"/>
      <c r="CO438" s="77"/>
      <c r="CP438" s="77"/>
      <c r="CQ438" s="77"/>
      <c r="CR438" s="77"/>
      <c r="CS438" s="77"/>
      <c r="CT438" s="77"/>
      <c r="CU438" s="77"/>
      <c r="CV438" s="77"/>
      <c r="CW438" s="77"/>
    </row>
    <row r="439" spans="1:101" ht="16.5" x14ac:dyDescent="0.45">
      <c r="A439" s="76"/>
      <c r="B439" s="77"/>
      <c r="C439" s="77"/>
      <c r="D439" s="78"/>
      <c r="E439" s="80"/>
      <c r="F439" s="80"/>
      <c r="G439" s="81"/>
      <c r="H439" s="81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82"/>
      <c r="Z439" s="82"/>
      <c r="AA439" s="82"/>
      <c r="AB439" s="80"/>
      <c r="AC439" s="77"/>
      <c r="AD439" s="77"/>
      <c r="AE439" s="77"/>
      <c r="AF439" s="77"/>
      <c r="AG439" s="77"/>
      <c r="AH439" s="77"/>
      <c r="AI439" s="92"/>
      <c r="AJ439" s="77"/>
      <c r="AK439" s="77"/>
      <c r="AL439" s="77"/>
      <c r="AM439" s="77"/>
      <c r="AN439" s="77"/>
      <c r="AO439" s="77"/>
      <c r="AP439" s="76"/>
      <c r="AQ439" s="81"/>
      <c r="AR439" s="76"/>
      <c r="AS439" s="81"/>
      <c r="AT439" s="76"/>
      <c r="AU439" s="81"/>
      <c r="AV439" s="77"/>
      <c r="AW439" s="81"/>
      <c r="AX439" s="77"/>
      <c r="AY439" s="81"/>
      <c r="AZ439" s="77"/>
      <c r="BA439" s="81"/>
      <c r="BB439" s="77"/>
      <c r="BC439" s="81"/>
      <c r="BD439" s="77"/>
      <c r="BE439" s="81"/>
      <c r="BF439" s="77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77"/>
      <c r="BU439" s="77"/>
      <c r="BV439" s="77"/>
      <c r="BW439" s="77"/>
      <c r="BX439" s="77"/>
      <c r="BY439" s="77"/>
      <c r="BZ439" s="77"/>
      <c r="CA439" s="77"/>
      <c r="CB439" s="77"/>
      <c r="CC439" s="77"/>
      <c r="CD439" s="77"/>
      <c r="CE439" s="77"/>
      <c r="CF439" s="77"/>
      <c r="CG439" s="77"/>
      <c r="CH439" s="77"/>
      <c r="CI439" s="77"/>
      <c r="CJ439" s="77"/>
      <c r="CK439" s="77"/>
      <c r="CL439" s="77"/>
      <c r="CM439" s="77"/>
      <c r="CN439" s="77"/>
      <c r="CO439" s="77"/>
      <c r="CP439" s="77"/>
      <c r="CQ439" s="77"/>
      <c r="CR439" s="77"/>
      <c r="CS439" s="77"/>
      <c r="CT439" s="77"/>
      <c r="CU439" s="77"/>
      <c r="CV439" s="77"/>
      <c r="CW439" s="77"/>
    </row>
    <row r="440" spans="1:101" ht="16.5" x14ac:dyDescent="0.45">
      <c r="A440" s="76"/>
      <c r="B440" s="77"/>
      <c r="C440" s="77"/>
      <c r="D440" s="78"/>
      <c r="E440" s="80"/>
      <c r="F440" s="80"/>
      <c r="G440" s="81"/>
      <c r="H440" s="81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82"/>
      <c r="Z440" s="82"/>
      <c r="AA440" s="82"/>
      <c r="AB440" s="80"/>
      <c r="AC440" s="77"/>
      <c r="AD440" s="77"/>
      <c r="AE440" s="77"/>
      <c r="AF440" s="77"/>
      <c r="AG440" s="77"/>
      <c r="AH440" s="77"/>
      <c r="AI440" s="92"/>
      <c r="AJ440" s="77"/>
      <c r="AK440" s="77"/>
      <c r="AL440" s="77"/>
      <c r="AM440" s="77"/>
      <c r="AN440" s="77"/>
      <c r="AO440" s="77"/>
      <c r="AP440" s="76"/>
      <c r="AQ440" s="81"/>
      <c r="AR440" s="76"/>
      <c r="AS440" s="81"/>
      <c r="AT440" s="76"/>
      <c r="AU440" s="81"/>
      <c r="AV440" s="77"/>
      <c r="AW440" s="81"/>
      <c r="AX440" s="77"/>
      <c r="AY440" s="81"/>
      <c r="AZ440" s="77"/>
      <c r="BA440" s="81"/>
      <c r="BB440" s="77"/>
      <c r="BC440" s="81"/>
      <c r="BD440" s="77"/>
      <c r="BE440" s="81"/>
      <c r="BF440" s="77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77"/>
      <c r="BU440" s="77"/>
      <c r="BV440" s="77"/>
      <c r="BW440" s="77"/>
      <c r="BX440" s="77"/>
      <c r="BY440" s="77"/>
      <c r="BZ440" s="77"/>
      <c r="CA440" s="77"/>
      <c r="CB440" s="77"/>
      <c r="CC440" s="77"/>
      <c r="CD440" s="77"/>
      <c r="CE440" s="77"/>
      <c r="CF440" s="77"/>
      <c r="CG440" s="77"/>
      <c r="CH440" s="77"/>
      <c r="CI440" s="77"/>
      <c r="CJ440" s="77"/>
      <c r="CK440" s="77"/>
      <c r="CL440" s="77"/>
      <c r="CM440" s="77"/>
      <c r="CN440" s="77"/>
      <c r="CO440" s="77"/>
      <c r="CP440" s="77"/>
      <c r="CQ440" s="77"/>
      <c r="CR440" s="77"/>
      <c r="CS440" s="77"/>
      <c r="CT440" s="77"/>
      <c r="CU440" s="77"/>
      <c r="CV440" s="77"/>
      <c r="CW440" s="77"/>
    </row>
    <row r="441" spans="1:101" ht="16.5" x14ac:dyDescent="0.45">
      <c r="A441" s="76"/>
      <c r="B441" s="77"/>
      <c r="C441" s="77"/>
      <c r="D441" s="78"/>
      <c r="E441" s="80"/>
      <c r="F441" s="80"/>
      <c r="G441" s="81"/>
      <c r="H441" s="81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82"/>
      <c r="Z441" s="82"/>
      <c r="AA441" s="82"/>
      <c r="AB441" s="80"/>
      <c r="AC441" s="77"/>
      <c r="AD441" s="77"/>
      <c r="AE441" s="77"/>
      <c r="AF441" s="77"/>
      <c r="AG441" s="77"/>
      <c r="AH441" s="77"/>
      <c r="AI441" s="92"/>
      <c r="AJ441" s="77"/>
      <c r="AK441" s="77"/>
      <c r="AL441" s="77"/>
      <c r="AM441" s="77"/>
      <c r="AN441" s="77"/>
      <c r="AO441" s="77"/>
      <c r="AP441" s="76"/>
      <c r="AQ441" s="81"/>
      <c r="AR441" s="76"/>
      <c r="AS441" s="81"/>
      <c r="AT441" s="76"/>
      <c r="AU441" s="81"/>
      <c r="AV441" s="77"/>
      <c r="AW441" s="81"/>
      <c r="AX441" s="77"/>
      <c r="AY441" s="81"/>
      <c r="AZ441" s="77"/>
      <c r="BA441" s="81"/>
      <c r="BB441" s="77"/>
      <c r="BC441" s="81"/>
      <c r="BD441" s="77"/>
      <c r="BE441" s="81"/>
      <c r="BF441" s="77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77"/>
      <c r="BU441" s="77"/>
      <c r="BV441" s="77"/>
      <c r="BW441" s="77"/>
      <c r="BX441" s="77"/>
      <c r="BY441" s="77"/>
      <c r="BZ441" s="77"/>
      <c r="CA441" s="77"/>
      <c r="CB441" s="77"/>
      <c r="CC441" s="77"/>
      <c r="CD441" s="77"/>
      <c r="CE441" s="77"/>
      <c r="CF441" s="77"/>
      <c r="CG441" s="77"/>
      <c r="CH441" s="77"/>
      <c r="CI441" s="77"/>
      <c r="CJ441" s="77"/>
      <c r="CK441" s="77"/>
      <c r="CL441" s="77"/>
      <c r="CM441" s="77"/>
      <c r="CN441" s="77"/>
      <c r="CO441" s="77"/>
      <c r="CP441" s="77"/>
      <c r="CQ441" s="77"/>
      <c r="CR441" s="77"/>
      <c r="CS441" s="77"/>
      <c r="CT441" s="77"/>
      <c r="CU441" s="77"/>
      <c r="CV441" s="77"/>
      <c r="CW441" s="77"/>
    </row>
    <row r="442" spans="1:101" ht="16.5" x14ac:dyDescent="0.45">
      <c r="A442" s="76"/>
      <c r="B442" s="77"/>
      <c r="C442" s="77"/>
      <c r="D442" s="78"/>
      <c r="E442" s="80"/>
      <c r="F442" s="80"/>
      <c r="G442" s="81"/>
      <c r="H442" s="81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82"/>
      <c r="Z442" s="82"/>
      <c r="AA442" s="82"/>
      <c r="AB442" s="80"/>
      <c r="AC442" s="77"/>
      <c r="AD442" s="77"/>
      <c r="AE442" s="77"/>
      <c r="AF442" s="77"/>
      <c r="AG442" s="77"/>
      <c r="AH442" s="77"/>
      <c r="AI442" s="92"/>
      <c r="AJ442" s="77"/>
      <c r="AK442" s="77"/>
      <c r="AL442" s="77"/>
      <c r="AM442" s="77"/>
      <c r="AN442" s="77"/>
      <c r="AO442" s="77"/>
      <c r="AP442" s="76"/>
      <c r="AQ442" s="81"/>
      <c r="AR442" s="76"/>
      <c r="AS442" s="81"/>
      <c r="AT442" s="76"/>
      <c r="AU442" s="81"/>
      <c r="AV442" s="77"/>
      <c r="AW442" s="81"/>
      <c r="AX442" s="77"/>
      <c r="AY442" s="81"/>
      <c r="AZ442" s="77"/>
      <c r="BA442" s="81"/>
      <c r="BB442" s="77"/>
      <c r="BC442" s="81"/>
      <c r="BD442" s="77"/>
      <c r="BE442" s="81"/>
      <c r="BF442" s="77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77"/>
      <c r="BU442" s="77"/>
      <c r="BV442" s="77"/>
      <c r="BW442" s="77"/>
      <c r="BX442" s="77"/>
      <c r="BY442" s="77"/>
      <c r="BZ442" s="77"/>
      <c r="CA442" s="77"/>
      <c r="CB442" s="77"/>
      <c r="CC442" s="77"/>
      <c r="CD442" s="77"/>
      <c r="CE442" s="77"/>
      <c r="CF442" s="77"/>
      <c r="CG442" s="77"/>
      <c r="CH442" s="77"/>
      <c r="CI442" s="77"/>
      <c r="CJ442" s="77"/>
      <c r="CK442" s="77"/>
      <c r="CL442" s="77"/>
      <c r="CM442" s="77"/>
      <c r="CN442" s="77"/>
      <c r="CO442" s="77"/>
      <c r="CP442" s="77"/>
      <c r="CQ442" s="77"/>
      <c r="CR442" s="77"/>
      <c r="CS442" s="77"/>
      <c r="CT442" s="77"/>
      <c r="CU442" s="77"/>
      <c r="CV442" s="77"/>
      <c r="CW442" s="77"/>
    </row>
    <row r="443" spans="1:101" ht="16.5" x14ac:dyDescent="0.45">
      <c r="A443" s="76"/>
      <c r="B443" s="77"/>
      <c r="C443" s="77"/>
      <c r="D443" s="78"/>
      <c r="E443" s="80"/>
      <c r="F443" s="80"/>
      <c r="G443" s="81"/>
      <c r="H443" s="81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82"/>
      <c r="Z443" s="82"/>
      <c r="AA443" s="82"/>
      <c r="AB443" s="80"/>
      <c r="AC443" s="77"/>
      <c r="AD443" s="77"/>
      <c r="AE443" s="77"/>
      <c r="AF443" s="77"/>
      <c r="AG443" s="77"/>
      <c r="AH443" s="77"/>
      <c r="AI443" s="92"/>
      <c r="AJ443" s="77"/>
      <c r="AK443" s="77"/>
      <c r="AL443" s="77"/>
      <c r="AM443" s="77"/>
      <c r="AN443" s="77"/>
      <c r="AO443" s="77"/>
      <c r="AP443" s="76"/>
      <c r="AQ443" s="81"/>
      <c r="AR443" s="76"/>
      <c r="AS443" s="81"/>
      <c r="AT443" s="76"/>
      <c r="AU443" s="81"/>
      <c r="AV443" s="77"/>
      <c r="AW443" s="81"/>
      <c r="AX443" s="77"/>
      <c r="AY443" s="81"/>
      <c r="AZ443" s="77"/>
      <c r="BA443" s="81"/>
      <c r="BB443" s="77"/>
      <c r="BC443" s="81"/>
      <c r="BD443" s="77"/>
      <c r="BE443" s="81"/>
      <c r="BF443" s="77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77"/>
      <c r="BU443" s="77"/>
      <c r="BV443" s="77"/>
      <c r="BW443" s="77"/>
      <c r="BX443" s="77"/>
      <c r="BY443" s="77"/>
      <c r="BZ443" s="77"/>
      <c r="CA443" s="77"/>
      <c r="CB443" s="77"/>
      <c r="CC443" s="77"/>
      <c r="CD443" s="77"/>
      <c r="CE443" s="77"/>
      <c r="CF443" s="77"/>
      <c r="CG443" s="77"/>
      <c r="CH443" s="77"/>
      <c r="CI443" s="77"/>
      <c r="CJ443" s="77"/>
      <c r="CK443" s="77"/>
      <c r="CL443" s="77"/>
      <c r="CM443" s="77"/>
      <c r="CN443" s="77"/>
      <c r="CO443" s="77"/>
      <c r="CP443" s="77"/>
      <c r="CQ443" s="77"/>
      <c r="CR443" s="77"/>
      <c r="CS443" s="77"/>
      <c r="CT443" s="77"/>
      <c r="CU443" s="77"/>
      <c r="CV443" s="77"/>
      <c r="CW443" s="77"/>
    </row>
    <row r="444" spans="1:101" ht="16.5" x14ac:dyDescent="0.45">
      <c r="A444" s="76"/>
      <c r="B444" s="77"/>
      <c r="C444" s="77"/>
      <c r="D444" s="78"/>
      <c r="E444" s="80"/>
      <c r="F444" s="80"/>
      <c r="G444" s="81"/>
      <c r="H444" s="81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82"/>
      <c r="Z444" s="82"/>
      <c r="AA444" s="82"/>
      <c r="AB444" s="80"/>
      <c r="AC444" s="77"/>
      <c r="AD444" s="77"/>
      <c r="AE444" s="77"/>
      <c r="AF444" s="77"/>
      <c r="AG444" s="77"/>
      <c r="AH444" s="77"/>
      <c r="AI444" s="92"/>
      <c r="AJ444" s="77"/>
      <c r="AK444" s="77"/>
      <c r="AL444" s="77"/>
      <c r="AM444" s="77"/>
      <c r="AN444" s="77"/>
      <c r="AO444" s="77"/>
      <c r="AP444" s="76"/>
      <c r="AQ444" s="81"/>
      <c r="AR444" s="76"/>
      <c r="AS444" s="81"/>
      <c r="AT444" s="76"/>
      <c r="AU444" s="81"/>
      <c r="AV444" s="77"/>
      <c r="AW444" s="81"/>
      <c r="AX444" s="77"/>
      <c r="AY444" s="81"/>
      <c r="AZ444" s="77"/>
      <c r="BA444" s="81"/>
      <c r="BB444" s="77"/>
      <c r="BC444" s="81"/>
      <c r="BD444" s="77"/>
      <c r="BE444" s="81"/>
      <c r="BF444" s="77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77"/>
      <c r="BU444" s="77"/>
      <c r="BV444" s="77"/>
      <c r="BW444" s="77"/>
      <c r="BX444" s="77"/>
      <c r="BY444" s="77"/>
      <c r="BZ444" s="77"/>
      <c r="CA444" s="77"/>
      <c r="CB444" s="77"/>
      <c r="CC444" s="77"/>
      <c r="CD444" s="77"/>
      <c r="CE444" s="77"/>
      <c r="CF444" s="77"/>
      <c r="CG444" s="77"/>
      <c r="CH444" s="77"/>
      <c r="CI444" s="77"/>
      <c r="CJ444" s="77"/>
      <c r="CK444" s="77"/>
      <c r="CL444" s="77"/>
      <c r="CM444" s="77"/>
      <c r="CN444" s="77"/>
      <c r="CO444" s="77"/>
      <c r="CP444" s="77"/>
      <c r="CQ444" s="77"/>
      <c r="CR444" s="77"/>
      <c r="CS444" s="77"/>
      <c r="CT444" s="77"/>
      <c r="CU444" s="77"/>
      <c r="CV444" s="77"/>
      <c r="CW444" s="77"/>
    </row>
    <row r="445" spans="1:101" ht="16.5" x14ac:dyDescent="0.45">
      <c r="A445" s="76"/>
      <c r="B445" s="77"/>
      <c r="C445" s="77"/>
      <c r="D445" s="78"/>
      <c r="E445" s="80"/>
      <c r="F445" s="80"/>
      <c r="G445" s="81"/>
      <c r="H445" s="81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82"/>
      <c r="Z445" s="82"/>
      <c r="AA445" s="82"/>
      <c r="AB445" s="80"/>
      <c r="AC445" s="77"/>
      <c r="AD445" s="77"/>
      <c r="AE445" s="77"/>
      <c r="AF445" s="77"/>
      <c r="AG445" s="77"/>
      <c r="AH445" s="77"/>
      <c r="AI445" s="92"/>
      <c r="AJ445" s="77"/>
      <c r="AK445" s="77"/>
      <c r="AL445" s="77"/>
      <c r="AM445" s="77"/>
      <c r="AN445" s="77"/>
      <c r="AO445" s="77"/>
      <c r="AP445" s="76"/>
      <c r="AQ445" s="81"/>
      <c r="AR445" s="76"/>
      <c r="AS445" s="81"/>
      <c r="AT445" s="76"/>
      <c r="AU445" s="81"/>
      <c r="AV445" s="77"/>
      <c r="AW445" s="81"/>
      <c r="AX445" s="77"/>
      <c r="AY445" s="81"/>
      <c r="AZ445" s="77"/>
      <c r="BA445" s="81"/>
      <c r="BB445" s="77"/>
      <c r="BC445" s="81"/>
      <c r="BD445" s="77"/>
      <c r="BE445" s="81"/>
      <c r="BF445" s="77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77"/>
      <c r="BU445" s="77"/>
      <c r="BV445" s="77"/>
      <c r="BW445" s="77"/>
      <c r="BX445" s="77"/>
      <c r="BY445" s="77"/>
      <c r="BZ445" s="77"/>
      <c r="CA445" s="77"/>
      <c r="CB445" s="77"/>
      <c r="CC445" s="77"/>
      <c r="CD445" s="77"/>
      <c r="CE445" s="77"/>
      <c r="CF445" s="77"/>
      <c r="CG445" s="77"/>
      <c r="CH445" s="77"/>
      <c r="CI445" s="77"/>
      <c r="CJ445" s="77"/>
      <c r="CK445" s="77"/>
      <c r="CL445" s="77"/>
      <c r="CM445" s="77"/>
      <c r="CN445" s="77"/>
      <c r="CO445" s="77"/>
      <c r="CP445" s="77"/>
      <c r="CQ445" s="77"/>
      <c r="CR445" s="77"/>
      <c r="CS445" s="77"/>
      <c r="CT445" s="77"/>
      <c r="CU445" s="77"/>
      <c r="CV445" s="77"/>
      <c r="CW445" s="77"/>
    </row>
    <row r="446" spans="1:101" ht="16.5" x14ac:dyDescent="0.45">
      <c r="A446" s="76"/>
      <c r="B446" s="77"/>
      <c r="C446" s="77"/>
      <c r="D446" s="78"/>
      <c r="E446" s="80"/>
      <c r="F446" s="80"/>
      <c r="G446" s="81"/>
      <c r="H446" s="81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82"/>
      <c r="Z446" s="82"/>
      <c r="AA446" s="82"/>
      <c r="AB446" s="80"/>
      <c r="AC446" s="77"/>
      <c r="AD446" s="77"/>
      <c r="AE446" s="77"/>
      <c r="AF446" s="77"/>
      <c r="AG446" s="77"/>
      <c r="AH446" s="77"/>
      <c r="AI446" s="92"/>
      <c r="AJ446" s="77"/>
      <c r="AK446" s="77"/>
      <c r="AL446" s="77"/>
      <c r="AM446" s="77"/>
      <c r="AN446" s="77"/>
      <c r="AO446" s="77"/>
      <c r="AP446" s="76"/>
      <c r="AQ446" s="81"/>
      <c r="AR446" s="76"/>
      <c r="AS446" s="81"/>
      <c r="AT446" s="76"/>
      <c r="AU446" s="81"/>
      <c r="AV446" s="77"/>
      <c r="AW446" s="81"/>
      <c r="AX446" s="77"/>
      <c r="AY446" s="81"/>
      <c r="AZ446" s="77"/>
      <c r="BA446" s="81"/>
      <c r="BB446" s="77"/>
      <c r="BC446" s="81"/>
      <c r="BD446" s="77"/>
      <c r="BE446" s="81"/>
      <c r="BF446" s="77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77"/>
      <c r="BU446" s="77"/>
      <c r="BV446" s="77"/>
      <c r="BW446" s="77"/>
      <c r="BX446" s="77"/>
      <c r="BY446" s="77"/>
      <c r="BZ446" s="77"/>
      <c r="CA446" s="77"/>
      <c r="CB446" s="77"/>
      <c r="CC446" s="77"/>
      <c r="CD446" s="77"/>
      <c r="CE446" s="77"/>
      <c r="CF446" s="77"/>
      <c r="CG446" s="77"/>
      <c r="CH446" s="77"/>
      <c r="CI446" s="77"/>
      <c r="CJ446" s="77"/>
      <c r="CK446" s="77"/>
      <c r="CL446" s="77"/>
      <c r="CM446" s="77"/>
      <c r="CN446" s="77"/>
      <c r="CO446" s="77"/>
      <c r="CP446" s="77"/>
      <c r="CQ446" s="77"/>
      <c r="CR446" s="77"/>
      <c r="CS446" s="77"/>
      <c r="CT446" s="77"/>
      <c r="CU446" s="77"/>
      <c r="CV446" s="77"/>
      <c r="CW446" s="77"/>
    </row>
    <row r="447" spans="1:101" ht="16.5" x14ac:dyDescent="0.45">
      <c r="A447" s="76"/>
      <c r="B447" s="77"/>
      <c r="C447" s="77"/>
      <c r="D447" s="78"/>
      <c r="E447" s="80"/>
      <c r="F447" s="80"/>
      <c r="G447" s="81"/>
      <c r="H447" s="81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82"/>
      <c r="Z447" s="82"/>
      <c r="AA447" s="82"/>
      <c r="AB447" s="80"/>
      <c r="AC447" s="77"/>
      <c r="AD447" s="77"/>
      <c r="AE447" s="77"/>
      <c r="AF447" s="77"/>
      <c r="AG447" s="77"/>
      <c r="AH447" s="77"/>
      <c r="AI447" s="92"/>
      <c r="AJ447" s="77"/>
      <c r="AK447" s="77"/>
      <c r="AL447" s="77"/>
      <c r="AM447" s="77"/>
      <c r="AN447" s="77"/>
      <c r="AO447" s="77"/>
      <c r="AP447" s="76"/>
      <c r="AQ447" s="81"/>
      <c r="AR447" s="76"/>
      <c r="AS447" s="81"/>
      <c r="AT447" s="76"/>
      <c r="AU447" s="81"/>
      <c r="AV447" s="77"/>
      <c r="AW447" s="81"/>
      <c r="AX447" s="77"/>
      <c r="AY447" s="81"/>
      <c r="AZ447" s="77"/>
      <c r="BA447" s="81"/>
      <c r="BB447" s="77"/>
      <c r="BC447" s="81"/>
      <c r="BD447" s="77"/>
      <c r="BE447" s="81"/>
      <c r="BF447" s="77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77"/>
      <c r="BU447" s="77"/>
      <c r="BV447" s="77"/>
      <c r="BW447" s="77"/>
      <c r="BX447" s="77"/>
      <c r="BY447" s="77"/>
      <c r="BZ447" s="77"/>
      <c r="CA447" s="77"/>
      <c r="CB447" s="77"/>
      <c r="CC447" s="77"/>
      <c r="CD447" s="77"/>
      <c r="CE447" s="77"/>
      <c r="CF447" s="77"/>
      <c r="CG447" s="77"/>
      <c r="CH447" s="77"/>
      <c r="CI447" s="77"/>
      <c r="CJ447" s="77"/>
      <c r="CK447" s="77"/>
      <c r="CL447" s="77"/>
      <c r="CM447" s="77"/>
      <c r="CN447" s="77"/>
      <c r="CO447" s="77"/>
      <c r="CP447" s="77"/>
      <c r="CQ447" s="77"/>
      <c r="CR447" s="77"/>
      <c r="CS447" s="77"/>
      <c r="CT447" s="77"/>
      <c r="CU447" s="77"/>
      <c r="CV447" s="77"/>
      <c r="CW447" s="77"/>
    </row>
    <row r="448" spans="1:101" ht="16.5" x14ac:dyDescent="0.45">
      <c r="A448" s="76"/>
      <c r="B448" s="77"/>
      <c r="C448" s="77"/>
      <c r="D448" s="78"/>
      <c r="E448" s="80"/>
      <c r="F448" s="80"/>
      <c r="G448" s="81"/>
      <c r="H448" s="81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82"/>
      <c r="Z448" s="82"/>
      <c r="AA448" s="82"/>
      <c r="AB448" s="80"/>
      <c r="AC448" s="77"/>
      <c r="AD448" s="77"/>
      <c r="AE448" s="77"/>
      <c r="AF448" s="77"/>
      <c r="AG448" s="77"/>
      <c r="AH448" s="77"/>
      <c r="AI448" s="92"/>
      <c r="AJ448" s="77"/>
      <c r="AK448" s="77"/>
      <c r="AL448" s="77"/>
      <c r="AM448" s="77"/>
      <c r="AN448" s="77"/>
      <c r="AO448" s="77"/>
      <c r="AP448" s="76"/>
      <c r="AQ448" s="81"/>
      <c r="AR448" s="76"/>
      <c r="AS448" s="81"/>
      <c r="AT448" s="76"/>
      <c r="AU448" s="81"/>
      <c r="AV448" s="77"/>
      <c r="AW448" s="81"/>
      <c r="AX448" s="77"/>
      <c r="AY448" s="81"/>
      <c r="AZ448" s="77"/>
      <c r="BA448" s="81"/>
      <c r="BB448" s="77"/>
      <c r="BC448" s="81"/>
      <c r="BD448" s="77"/>
      <c r="BE448" s="81"/>
      <c r="BF448" s="77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77"/>
      <c r="BU448" s="77"/>
      <c r="BV448" s="77"/>
      <c r="BW448" s="77"/>
      <c r="BX448" s="77"/>
      <c r="BY448" s="77"/>
      <c r="BZ448" s="77"/>
      <c r="CA448" s="77"/>
      <c r="CB448" s="77"/>
      <c r="CC448" s="77"/>
      <c r="CD448" s="77"/>
      <c r="CE448" s="77"/>
      <c r="CF448" s="77"/>
      <c r="CG448" s="77"/>
      <c r="CH448" s="77"/>
      <c r="CI448" s="77"/>
      <c r="CJ448" s="77"/>
      <c r="CK448" s="77"/>
      <c r="CL448" s="77"/>
      <c r="CM448" s="77"/>
      <c r="CN448" s="77"/>
      <c r="CO448" s="77"/>
      <c r="CP448" s="77"/>
      <c r="CQ448" s="77"/>
      <c r="CR448" s="77"/>
      <c r="CS448" s="77"/>
      <c r="CT448" s="77"/>
      <c r="CU448" s="77"/>
      <c r="CV448" s="77"/>
      <c r="CW448" s="77"/>
    </row>
    <row r="449" spans="1:101" ht="16.5" x14ac:dyDescent="0.45">
      <c r="A449" s="76"/>
      <c r="B449" s="77"/>
      <c r="C449" s="77"/>
      <c r="D449" s="78"/>
      <c r="E449" s="80"/>
      <c r="F449" s="80"/>
      <c r="G449" s="81"/>
      <c r="H449" s="81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82"/>
      <c r="Z449" s="82"/>
      <c r="AA449" s="82"/>
      <c r="AB449" s="80"/>
      <c r="AC449" s="77"/>
      <c r="AD449" s="77"/>
      <c r="AE449" s="77"/>
      <c r="AF449" s="77"/>
      <c r="AG449" s="77"/>
      <c r="AH449" s="77"/>
      <c r="AI449" s="92"/>
      <c r="AJ449" s="77"/>
      <c r="AK449" s="77"/>
      <c r="AL449" s="77"/>
      <c r="AM449" s="77"/>
      <c r="AN449" s="77"/>
      <c r="AO449" s="77"/>
      <c r="AP449" s="76"/>
      <c r="AQ449" s="81"/>
      <c r="AR449" s="76"/>
      <c r="AS449" s="81"/>
      <c r="AT449" s="76"/>
      <c r="AU449" s="81"/>
      <c r="AV449" s="77"/>
      <c r="AW449" s="81"/>
      <c r="AX449" s="77"/>
      <c r="AY449" s="81"/>
      <c r="AZ449" s="77"/>
      <c r="BA449" s="81"/>
      <c r="BB449" s="77"/>
      <c r="BC449" s="81"/>
      <c r="BD449" s="77"/>
      <c r="BE449" s="81"/>
      <c r="BF449" s="77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77"/>
      <c r="BU449" s="77"/>
      <c r="BV449" s="77"/>
      <c r="BW449" s="77"/>
      <c r="BX449" s="77"/>
      <c r="BY449" s="77"/>
      <c r="BZ449" s="77"/>
      <c r="CA449" s="77"/>
      <c r="CB449" s="77"/>
      <c r="CC449" s="77"/>
      <c r="CD449" s="77"/>
      <c r="CE449" s="77"/>
      <c r="CF449" s="77"/>
      <c r="CG449" s="77"/>
      <c r="CH449" s="77"/>
      <c r="CI449" s="77"/>
      <c r="CJ449" s="77"/>
      <c r="CK449" s="77"/>
      <c r="CL449" s="77"/>
      <c r="CM449" s="77"/>
      <c r="CN449" s="77"/>
      <c r="CO449" s="77"/>
      <c r="CP449" s="77"/>
      <c r="CQ449" s="77"/>
      <c r="CR449" s="77"/>
      <c r="CS449" s="77"/>
      <c r="CT449" s="77"/>
      <c r="CU449" s="77"/>
      <c r="CV449" s="77"/>
      <c r="CW449" s="77"/>
    </row>
    <row r="450" spans="1:101" ht="16.5" x14ac:dyDescent="0.45">
      <c r="A450" s="76"/>
      <c r="B450" s="77"/>
      <c r="C450" s="77"/>
      <c r="D450" s="78"/>
      <c r="E450" s="80"/>
      <c r="F450" s="80"/>
      <c r="G450" s="81"/>
      <c r="H450" s="81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82"/>
      <c r="Z450" s="82"/>
      <c r="AA450" s="82"/>
      <c r="AB450" s="80"/>
      <c r="AC450" s="77"/>
      <c r="AD450" s="77"/>
      <c r="AE450" s="77"/>
      <c r="AF450" s="77"/>
      <c r="AG450" s="77"/>
      <c r="AH450" s="77"/>
      <c r="AI450" s="92"/>
      <c r="AJ450" s="77"/>
      <c r="AK450" s="77"/>
      <c r="AL450" s="77"/>
      <c r="AM450" s="77"/>
      <c r="AN450" s="77"/>
      <c r="AO450" s="77"/>
      <c r="AP450" s="76"/>
      <c r="AQ450" s="81"/>
      <c r="AR450" s="76"/>
      <c r="AS450" s="81"/>
      <c r="AT450" s="76"/>
      <c r="AU450" s="81"/>
      <c r="AV450" s="77"/>
      <c r="AW450" s="81"/>
      <c r="AX450" s="77"/>
      <c r="AY450" s="81"/>
      <c r="AZ450" s="77"/>
      <c r="BA450" s="81"/>
      <c r="BB450" s="77"/>
      <c r="BC450" s="81"/>
      <c r="BD450" s="77"/>
      <c r="BE450" s="81"/>
      <c r="BF450" s="77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77"/>
      <c r="BU450" s="77"/>
      <c r="BV450" s="77"/>
      <c r="BW450" s="77"/>
      <c r="BX450" s="77"/>
      <c r="BY450" s="77"/>
      <c r="BZ450" s="77"/>
      <c r="CA450" s="77"/>
      <c r="CB450" s="77"/>
      <c r="CC450" s="77"/>
      <c r="CD450" s="77"/>
      <c r="CE450" s="77"/>
      <c r="CF450" s="77"/>
      <c r="CG450" s="77"/>
      <c r="CH450" s="77"/>
      <c r="CI450" s="77"/>
      <c r="CJ450" s="77"/>
      <c r="CK450" s="77"/>
      <c r="CL450" s="77"/>
      <c r="CM450" s="77"/>
      <c r="CN450" s="77"/>
      <c r="CO450" s="77"/>
      <c r="CP450" s="77"/>
      <c r="CQ450" s="77"/>
      <c r="CR450" s="77"/>
      <c r="CS450" s="77"/>
      <c r="CT450" s="77"/>
      <c r="CU450" s="77"/>
      <c r="CV450" s="77"/>
      <c r="CW450" s="77"/>
    </row>
    <row r="451" spans="1:101" ht="16.5" x14ac:dyDescent="0.45">
      <c r="A451" s="76"/>
      <c r="B451" s="77"/>
      <c r="C451" s="77"/>
      <c r="D451" s="78"/>
      <c r="E451" s="80"/>
      <c r="F451" s="80"/>
      <c r="G451" s="81"/>
      <c r="H451" s="81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82"/>
      <c r="Z451" s="82"/>
      <c r="AA451" s="82"/>
      <c r="AB451" s="80"/>
      <c r="AC451" s="77"/>
      <c r="AD451" s="77"/>
      <c r="AE451" s="77"/>
      <c r="AF451" s="77"/>
      <c r="AG451" s="77"/>
      <c r="AH451" s="77"/>
      <c r="AI451" s="92"/>
      <c r="AJ451" s="77"/>
      <c r="AK451" s="77"/>
      <c r="AL451" s="77"/>
      <c r="AM451" s="77"/>
      <c r="AN451" s="77"/>
      <c r="AO451" s="77"/>
      <c r="AP451" s="76"/>
      <c r="AQ451" s="81"/>
      <c r="AR451" s="76"/>
      <c r="AS451" s="81"/>
      <c r="AT451" s="76"/>
      <c r="AU451" s="81"/>
      <c r="AV451" s="77"/>
      <c r="AW451" s="81"/>
      <c r="AX451" s="77"/>
      <c r="AY451" s="81"/>
      <c r="AZ451" s="77"/>
      <c r="BA451" s="81"/>
      <c r="BB451" s="77"/>
      <c r="BC451" s="81"/>
      <c r="BD451" s="77"/>
      <c r="BE451" s="81"/>
      <c r="BF451" s="77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77"/>
      <c r="BU451" s="77"/>
      <c r="BV451" s="77"/>
      <c r="BW451" s="77"/>
      <c r="BX451" s="77"/>
      <c r="BY451" s="77"/>
      <c r="BZ451" s="77"/>
      <c r="CA451" s="77"/>
      <c r="CB451" s="77"/>
      <c r="CC451" s="77"/>
      <c r="CD451" s="77"/>
      <c r="CE451" s="77"/>
      <c r="CF451" s="77"/>
      <c r="CG451" s="77"/>
      <c r="CH451" s="77"/>
      <c r="CI451" s="77"/>
      <c r="CJ451" s="77"/>
      <c r="CK451" s="77"/>
      <c r="CL451" s="77"/>
      <c r="CM451" s="77"/>
      <c r="CN451" s="77"/>
      <c r="CO451" s="77"/>
      <c r="CP451" s="77"/>
      <c r="CQ451" s="77"/>
      <c r="CR451" s="77"/>
      <c r="CS451" s="77"/>
      <c r="CT451" s="77"/>
      <c r="CU451" s="77"/>
      <c r="CV451" s="77"/>
      <c r="CW451" s="77"/>
    </row>
    <row r="452" spans="1:101" ht="16.5" x14ac:dyDescent="0.45">
      <c r="A452" s="76"/>
      <c r="B452" s="77"/>
      <c r="C452" s="77"/>
      <c r="D452" s="78"/>
      <c r="E452" s="80"/>
      <c r="F452" s="80"/>
      <c r="G452" s="81"/>
      <c r="H452" s="81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82"/>
      <c r="Z452" s="82"/>
      <c r="AA452" s="82"/>
      <c r="AB452" s="80"/>
      <c r="AC452" s="77"/>
      <c r="AD452" s="77"/>
      <c r="AE452" s="77"/>
      <c r="AF452" s="77"/>
      <c r="AG452" s="77"/>
      <c r="AH452" s="77"/>
      <c r="AI452" s="92"/>
      <c r="AJ452" s="77"/>
      <c r="AK452" s="77"/>
      <c r="AL452" s="77"/>
      <c r="AM452" s="77"/>
      <c r="AN452" s="77"/>
      <c r="AO452" s="77"/>
      <c r="AP452" s="76"/>
      <c r="AQ452" s="81"/>
      <c r="AR452" s="76"/>
      <c r="AS452" s="81"/>
      <c r="AT452" s="76"/>
      <c r="AU452" s="81"/>
      <c r="AV452" s="77"/>
      <c r="AW452" s="81"/>
      <c r="AX452" s="77"/>
      <c r="AY452" s="81"/>
      <c r="AZ452" s="77"/>
      <c r="BA452" s="81"/>
      <c r="BB452" s="77"/>
      <c r="BC452" s="81"/>
      <c r="BD452" s="77"/>
      <c r="BE452" s="81"/>
      <c r="BF452" s="77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77"/>
      <c r="BU452" s="77"/>
      <c r="BV452" s="77"/>
      <c r="BW452" s="77"/>
      <c r="BX452" s="77"/>
      <c r="BY452" s="77"/>
      <c r="BZ452" s="77"/>
      <c r="CA452" s="77"/>
      <c r="CB452" s="77"/>
      <c r="CC452" s="77"/>
      <c r="CD452" s="77"/>
      <c r="CE452" s="77"/>
      <c r="CF452" s="77"/>
      <c r="CG452" s="77"/>
      <c r="CH452" s="77"/>
      <c r="CI452" s="77"/>
      <c r="CJ452" s="77"/>
      <c r="CK452" s="77"/>
      <c r="CL452" s="77"/>
      <c r="CM452" s="77"/>
      <c r="CN452" s="77"/>
      <c r="CO452" s="77"/>
      <c r="CP452" s="77"/>
      <c r="CQ452" s="77"/>
      <c r="CR452" s="77"/>
      <c r="CS452" s="77"/>
      <c r="CT452" s="77"/>
      <c r="CU452" s="77"/>
      <c r="CV452" s="77"/>
      <c r="CW452" s="77"/>
    </row>
    <row r="453" spans="1:101" ht="16.5" x14ac:dyDescent="0.45">
      <c r="A453" s="76"/>
      <c r="B453" s="77"/>
      <c r="C453" s="77"/>
      <c r="D453" s="78"/>
      <c r="E453" s="80"/>
      <c r="F453" s="80"/>
      <c r="G453" s="81"/>
      <c r="H453" s="81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82"/>
      <c r="Z453" s="82"/>
      <c r="AA453" s="82"/>
      <c r="AB453" s="80"/>
      <c r="AC453" s="77"/>
      <c r="AD453" s="77"/>
      <c r="AE453" s="77"/>
      <c r="AF453" s="77"/>
      <c r="AG453" s="77"/>
      <c r="AH453" s="77"/>
      <c r="AI453" s="92"/>
      <c r="AJ453" s="77"/>
      <c r="AK453" s="77"/>
      <c r="AL453" s="77"/>
      <c r="AM453" s="77"/>
      <c r="AN453" s="77"/>
      <c r="AO453" s="77"/>
      <c r="AP453" s="76"/>
      <c r="AQ453" s="81"/>
      <c r="AR453" s="76"/>
      <c r="AS453" s="81"/>
      <c r="AT453" s="76"/>
      <c r="AU453" s="81"/>
      <c r="AV453" s="77"/>
      <c r="AW453" s="81"/>
      <c r="AX453" s="77"/>
      <c r="AY453" s="81"/>
      <c r="AZ453" s="77"/>
      <c r="BA453" s="81"/>
      <c r="BB453" s="77"/>
      <c r="BC453" s="81"/>
      <c r="BD453" s="77"/>
      <c r="BE453" s="81"/>
      <c r="BF453" s="77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77"/>
      <c r="BU453" s="77"/>
      <c r="BV453" s="77"/>
      <c r="BW453" s="77"/>
      <c r="BX453" s="77"/>
      <c r="BY453" s="77"/>
      <c r="BZ453" s="77"/>
      <c r="CA453" s="77"/>
      <c r="CB453" s="77"/>
      <c r="CC453" s="77"/>
      <c r="CD453" s="77"/>
      <c r="CE453" s="77"/>
      <c r="CF453" s="77"/>
      <c r="CG453" s="77"/>
      <c r="CH453" s="77"/>
      <c r="CI453" s="77"/>
      <c r="CJ453" s="77"/>
      <c r="CK453" s="77"/>
      <c r="CL453" s="77"/>
      <c r="CM453" s="77"/>
      <c r="CN453" s="77"/>
      <c r="CO453" s="77"/>
      <c r="CP453" s="77"/>
      <c r="CQ453" s="77"/>
      <c r="CR453" s="77"/>
      <c r="CS453" s="77"/>
      <c r="CT453" s="77"/>
      <c r="CU453" s="77"/>
      <c r="CV453" s="77"/>
      <c r="CW453" s="77"/>
    </row>
    <row r="454" spans="1:101" ht="16.5" x14ac:dyDescent="0.45">
      <c r="A454" s="76"/>
      <c r="B454" s="77"/>
      <c r="C454" s="77"/>
      <c r="D454" s="78"/>
      <c r="E454" s="80"/>
      <c r="F454" s="80"/>
      <c r="G454" s="81"/>
      <c r="H454" s="81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82"/>
      <c r="Z454" s="82"/>
      <c r="AA454" s="82"/>
      <c r="AB454" s="80"/>
      <c r="AC454" s="77"/>
      <c r="AD454" s="77"/>
      <c r="AE454" s="77"/>
      <c r="AF454" s="77"/>
      <c r="AG454" s="77"/>
      <c r="AH454" s="77"/>
      <c r="AI454" s="92"/>
      <c r="AJ454" s="77"/>
      <c r="AK454" s="77"/>
      <c r="AL454" s="77"/>
      <c r="AM454" s="77"/>
      <c r="AN454" s="77"/>
      <c r="AO454" s="77"/>
      <c r="AP454" s="76"/>
      <c r="AQ454" s="81"/>
      <c r="AR454" s="76"/>
      <c r="AS454" s="81"/>
      <c r="AT454" s="76"/>
      <c r="AU454" s="81"/>
      <c r="AV454" s="77"/>
      <c r="AW454" s="81"/>
      <c r="AX454" s="77"/>
      <c r="AY454" s="81"/>
      <c r="AZ454" s="77"/>
      <c r="BA454" s="81"/>
      <c r="BB454" s="77"/>
      <c r="BC454" s="81"/>
      <c r="BD454" s="77"/>
      <c r="BE454" s="81"/>
      <c r="BF454" s="77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77"/>
      <c r="BU454" s="77"/>
      <c r="BV454" s="77"/>
      <c r="BW454" s="77"/>
      <c r="BX454" s="77"/>
      <c r="BY454" s="77"/>
      <c r="BZ454" s="77"/>
      <c r="CA454" s="77"/>
      <c r="CB454" s="77"/>
      <c r="CC454" s="77"/>
      <c r="CD454" s="77"/>
      <c r="CE454" s="77"/>
      <c r="CF454" s="77"/>
      <c r="CG454" s="77"/>
      <c r="CH454" s="77"/>
      <c r="CI454" s="77"/>
      <c r="CJ454" s="77"/>
      <c r="CK454" s="77"/>
      <c r="CL454" s="77"/>
      <c r="CM454" s="77"/>
      <c r="CN454" s="77"/>
      <c r="CO454" s="77"/>
      <c r="CP454" s="77"/>
      <c r="CQ454" s="77"/>
      <c r="CR454" s="77"/>
      <c r="CS454" s="77"/>
      <c r="CT454" s="77"/>
      <c r="CU454" s="77"/>
      <c r="CV454" s="77"/>
      <c r="CW454" s="77"/>
    </row>
    <row r="455" spans="1:101" ht="16.5" x14ac:dyDescent="0.45">
      <c r="A455" s="76"/>
      <c r="B455" s="77"/>
      <c r="C455" s="77"/>
      <c r="D455" s="78"/>
      <c r="E455" s="80"/>
      <c r="F455" s="80"/>
      <c r="G455" s="81"/>
      <c r="H455" s="81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82"/>
      <c r="Z455" s="82"/>
      <c r="AA455" s="82"/>
      <c r="AB455" s="80"/>
      <c r="AC455" s="77"/>
      <c r="AD455" s="77"/>
      <c r="AE455" s="77"/>
      <c r="AF455" s="77"/>
      <c r="AG455" s="77"/>
      <c r="AH455" s="77"/>
      <c r="AI455" s="92"/>
      <c r="AJ455" s="77"/>
      <c r="AK455" s="77"/>
      <c r="AL455" s="77"/>
      <c r="AM455" s="77"/>
      <c r="AN455" s="77"/>
      <c r="AO455" s="77"/>
      <c r="AP455" s="76"/>
      <c r="AQ455" s="81"/>
      <c r="AR455" s="76"/>
      <c r="AS455" s="81"/>
      <c r="AT455" s="76"/>
      <c r="AU455" s="81"/>
      <c r="AV455" s="77"/>
      <c r="AW455" s="81"/>
      <c r="AX455" s="77"/>
      <c r="AY455" s="81"/>
      <c r="AZ455" s="77"/>
      <c r="BA455" s="81"/>
      <c r="BB455" s="77"/>
      <c r="BC455" s="81"/>
      <c r="BD455" s="77"/>
      <c r="BE455" s="81"/>
      <c r="BF455" s="77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77"/>
      <c r="BU455" s="77"/>
      <c r="BV455" s="77"/>
      <c r="BW455" s="77"/>
      <c r="BX455" s="77"/>
      <c r="BY455" s="77"/>
      <c r="BZ455" s="77"/>
      <c r="CA455" s="77"/>
      <c r="CB455" s="77"/>
      <c r="CC455" s="77"/>
      <c r="CD455" s="77"/>
      <c r="CE455" s="77"/>
      <c r="CF455" s="77"/>
      <c r="CG455" s="77"/>
      <c r="CH455" s="77"/>
      <c r="CI455" s="77"/>
      <c r="CJ455" s="77"/>
      <c r="CK455" s="77"/>
      <c r="CL455" s="77"/>
      <c r="CM455" s="77"/>
      <c r="CN455" s="77"/>
      <c r="CO455" s="77"/>
      <c r="CP455" s="77"/>
      <c r="CQ455" s="77"/>
      <c r="CR455" s="77"/>
      <c r="CS455" s="77"/>
      <c r="CT455" s="77"/>
      <c r="CU455" s="77"/>
      <c r="CV455" s="77"/>
      <c r="CW455" s="77"/>
    </row>
    <row r="456" spans="1:101" ht="16.5" x14ac:dyDescent="0.45">
      <c r="A456" s="76"/>
      <c r="B456" s="77"/>
      <c r="C456" s="77"/>
      <c r="D456" s="78"/>
      <c r="E456" s="80"/>
      <c r="F456" s="80"/>
      <c r="G456" s="81"/>
      <c r="H456" s="81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82"/>
      <c r="Z456" s="82"/>
      <c r="AA456" s="82"/>
      <c r="AB456" s="80"/>
      <c r="AC456" s="77"/>
      <c r="AD456" s="77"/>
      <c r="AE456" s="77"/>
      <c r="AF456" s="77"/>
      <c r="AG456" s="77"/>
      <c r="AH456" s="77"/>
      <c r="AI456" s="92"/>
      <c r="AJ456" s="77"/>
      <c r="AK456" s="77"/>
      <c r="AL456" s="77"/>
      <c r="AM456" s="77"/>
      <c r="AN456" s="77"/>
      <c r="AO456" s="77"/>
      <c r="AP456" s="76"/>
      <c r="AQ456" s="81"/>
      <c r="AR456" s="76"/>
      <c r="AS456" s="81"/>
      <c r="AT456" s="76"/>
      <c r="AU456" s="81"/>
      <c r="AV456" s="77"/>
      <c r="AW456" s="81"/>
      <c r="AX456" s="77"/>
      <c r="AY456" s="81"/>
      <c r="AZ456" s="77"/>
      <c r="BA456" s="81"/>
      <c r="BB456" s="77"/>
      <c r="BC456" s="81"/>
      <c r="BD456" s="77"/>
      <c r="BE456" s="81"/>
      <c r="BF456" s="77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77"/>
      <c r="BU456" s="77"/>
      <c r="BV456" s="77"/>
      <c r="BW456" s="77"/>
      <c r="BX456" s="77"/>
      <c r="BY456" s="77"/>
      <c r="BZ456" s="77"/>
      <c r="CA456" s="77"/>
      <c r="CB456" s="77"/>
      <c r="CC456" s="77"/>
      <c r="CD456" s="77"/>
      <c r="CE456" s="77"/>
      <c r="CF456" s="77"/>
      <c r="CG456" s="77"/>
      <c r="CH456" s="77"/>
      <c r="CI456" s="77"/>
      <c r="CJ456" s="77"/>
      <c r="CK456" s="77"/>
      <c r="CL456" s="77"/>
      <c r="CM456" s="77"/>
      <c r="CN456" s="77"/>
      <c r="CO456" s="77"/>
      <c r="CP456" s="77"/>
      <c r="CQ456" s="77"/>
      <c r="CR456" s="77"/>
      <c r="CS456" s="77"/>
      <c r="CT456" s="77"/>
      <c r="CU456" s="77"/>
      <c r="CV456" s="77"/>
      <c r="CW456" s="77"/>
    </row>
    <row r="457" spans="1:101" ht="16.5" x14ac:dyDescent="0.45">
      <c r="A457" s="76"/>
      <c r="B457" s="77"/>
      <c r="C457" s="77"/>
      <c r="D457" s="78"/>
      <c r="E457" s="80"/>
      <c r="F457" s="80"/>
      <c r="G457" s="81"/>
      <c r="H457" s="81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82"/>
      <c r="Z457" s="82"/>
      <c r="AA457" s="82"/>
      <c r="AB457" s="80"/>
      <c r="AC457" s="77"/>
      <c r="AD457" s="77"/>
      <c r="AE457" s="77"/>
      <c r="AF457" s="77"/>
      <c r="AG457" s="77"/>
      <c r="AH457" s="77"/>
      <c r="AI457" s="92"/>
      <c r="AJ457" s="77"/>
      <c r="AK457" s="77"/>
      <c r="AL457" s="77"/>
      <c r="AM457" s="77"/>
      <c r="AN457" s="77"/>
      <c r="AO457" s="77"/>
      <c r="AP457" s="76"/>
      <c r="AQ457" s="81"/>
      <c r="AR457" s="76"/>
      <c r="AS457" s="81"/>
      <c r="AT457" s="76"/>
      <c r="AU457" s="81"/>
      <c r="AV457" s="77"/>
      <c r="AW457" s="81"/>
      <c r="AX457" s="77"/>
      <c r="AY457" s="81"/>
      <c r="AZ457" s="77"/>
      <c r="BA457" s="81"/>
      <c r="BB457" s="77"/>
      <c r="BC457" s="81"/>
      <c r="BD457" s="77"/>
      <c r="BE457" s="81"/>
      <c r="BF457" s="77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77"/>
      <c r="BU457" s="77"/>
      <c r="BV457" s="77"/>
      <c r="BW457" s="77"/>
      <c r="BX457" s="77"/>
      <c r="BY457" s="77"/>
      <c r="BZ457" s="77"/>
      <c r="CA457" s="77"/>
      <c r="CB457" s="77"/>
      <c r="CC457" s="77"/>
      <c r="CD457" s="77"/>
      <c r="CE457" s="77"/>
      <c r="CF457" s="77"/>
      <c r="CG457" s="77"/>
      <c r="CH457" s="77"/>
      <c r="CI457" s="77"/>
      <c r="CJ457" s="77"/>
      <c r="CK457" s="77"/>
      <c r="CL457" s="77"/>
      <c r="CM457" s="77"/>
      <c r="CN457" s="77"/>
      <c r="CO457" s="77"/>
      <c r="CP457" s="77"/>
      <c r="CQ457" s="77"/>
      <c r="CR457" s="77"/>
      <c r="CS457" s="77"/>
      <c r="CT457" s="77"/>
      <c r="CU457" s="77"/>
      <c r="CV457" s="77"/>
      <c r="CW457" s="77"/>
    </row>
    <row r="458" spans="1:101" ht="16.5" x14ac:dyDescent="0.45">
      <c r="A458" s="76"/>
      <c r="B458" s="77"/>
      <c r="C458" s="77"/>
      <c r="D458" s="78"/>
      <c r="E458" s="80"/>
      <c r="F458" s="80"/>
      <c r="G458" s="81"/>
      <c r="H458" s="81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82"/>
      <c r="Z458" s="82"/>
      <c r="AA458" s="82"/>
      <c r="AB458" s="80"/>
      <c r="AC458" s="77"/>
      <c r="AD458" s="77"/>
      <c r="AE458" s="77"/>
      <c r="AF458" s="77"/>
      <c r="AG458" s="77"/>
      <c r="AH458" s="77"/>
      <c r="AI458" s="92"/>
      <c r="AJ458" s="77"/>
      <c r="AK458" s="77"/>
      <c r="AL458" s="77"/>
      <c r="AM458" s="77"/>
      <c r="AN458" s="77"/>
      <c r="AO458" s="77"/>
      <c r="AP458" s="76"/>
      <c r="AQ458" s="81"/>
      <c r="AR458" s="76"/>
      <c r="AS458" s="81"/>
      <c r="AT458" s="76"/>
      <c r="AU458" s="81"/>
      <c r="AV458" s="77"/>
      <c r="AW458" s="81"/>
      <c r="AX458" s="77"/>
      <c r="AY458" s="81"/>
      <c r="AZ458" s="77"/>
      <c r="BA458" s="81"/>
      <c r="BB458" s="77"/>
      <c r="BC458" s="81"/>
      <c r="BD458" s="77"/>
      <c r="BE458" s="81"/>
      <c r="BF458" s="77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77"/>
      <c r="BU458" s="77"/>
      <c r="BV458" s="77"/>
      <c r="BW458" s="77"/>
      <c r="BX458" s="77"/>
      <c r="BY458" s="77"/>
      <c r="BZ458" s="77"/>
      <c r="CA458" s="77"/>
      <c r="CB458" s="77"/>
      <c r="CC458" s="77"/>
      <c r="CD458" s="77"/>
      <c r="CE458" s="77"/>
      <c r="CF458" s="77"/>
      <c r="CG458" s="77"/>
      <c r="CH458" s="77"/>
      <c r="CI458" s="77"/>
      <c r="CJ458" s="77"/>
      <c r="CK458" s="77"/>
      <c r="CL458" s="77"/>
      <c r="CM458" s="77"/>
      <c r="CN458" s="77"/>
      <c r="CO458" s="77"/>
      <c r="CP458" s="77"/>
      <c r="CQ458" s="77"/>
      <c r="CR458" s="77"/>
      <c r="CS458" s="77"/>
      <c r="CT458" s="77"/>
      <c r="CU458" s="77"/>
      <c r="CV458" s="77"/>
      <c r="CW458" s="77"/>
    </row>
    <row r="459" spans="1:101" ht="16.5" x14ac:dyDescent="0.45">
      <c r="A459" s="76"/>
      <c r="B459" s="77"/>
      <c r="C459" s="77"/>
      <c r="D459" s="78"/>
      <c r="E459" s="80"/>
      <c r="F459" s="80"/>
      <c r="G459" s="81"/>
      <c r="H459" s="81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82"/>
      <c r="Z459" s="82"/>
      <c r="AA459" s="82"/>
      <c r="AB459" s="80"/>
      <c r="AC459" s="77"/>
      <c r="AD459" s="77"/>
      <c r="AE459" s="77"/>
      <c r="AF459" s="77"/>
      <c r="AG459" s="77"/>
      <c r="AH459" s="77"/>
      <c r="AI459" s="92"/>
      <c r="AJ459" s="77"/>
      <c r="AK459" s="77"/>
      <c r="AL459" s="77"/>
      <c r="AM459" s="77"/>
      <c r="AN459" s="77"/>
      <c r="AO459" s="77"/>
      <c r="AP459" s="76"/>
      <c r="AQ459" s="81"/>
      <c r="AR459" s="76"/>
      <c r="AS459" s="81"/>
      <c r="AT459" s="76"/>
      <c r="AU459" s="81"/>
      <c r="AV459" s="77"/>
      <c r="AW459" s="81"/>
      <c r="AX459" s="77"/>
      <c r="AY459" s="81"/>
      <c r="AZ459" s="77"/>
      <c r="BA459" s="81"/>
      <c r="BB459" s="77"/>
      <c r="BC459" s="81"/>
      <c r="BD459" s="77"/>
      <c r="BE459" s="81"/>
      <c r="BF459" s="77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77"/>
      <c r="BU459" s="77"/>
      <c r="BV459" s="77"/>
      <c r="BW459" s="77"/>
      <c r="BX459" s="77"/>
      <c r="BY459" s="77"/>
      <c r="BZ459" s="77"/>
      <c r="CA459" s="77"/>
      <c r="CB459" s="77"/>
      <c r="CC459" s="77"/>
      <c r="CD459" s="77"/>
      <c r="CE459" s="77"/>
      <c r="CF459" s="77"/>
      <c r="CG459" s="77"/>
      <c r="CH459" s="77"/>
      <c r="CI459" s="77"/>
      <c r="CJ459" s="77"/>
      <c r="CK459" s="77"/>
      <c r="CL459" s="77"/>
      <c r="CM459" s="77"/>
      <c r="CN459" s="77"/>
      <c r="CO459" s="77"/>
      <c r="CP459" s="77"/>
      <c r="CQ459" s="77"/>
      <c r="CR459" s="77"/>
      <c r="CS459" s="77"/>
      <c r="CT459" s="77"/>
      <c r="CU459" s="77"/>
      <c r="CV459" s="77"/>
      <c r="CW459" s="77"/>
    </row>
    <row r="460" spans="1:101" ht="16.5" x14ac:dyDescent="0.45">
      <c r="A460" s="76"/>
      <c r="B460" s="77"/>
      <c r="C460" s="77"/>
      <c r="D460" s="78"/>
      <c r="E460" s="80"/>
      <c r="F460" s="80"/>
      <c r="G460" s="81"/>
      <c r="H460" s="81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82"/>
      <c r="Z460" s="82"/>
      <c r="AA460" s="82"/>
      <c r="AB460" s="80"/>
      <c r="AC460" s="77"/>
      <c r="AD460" s="77"/>
      <c r="AE460" s="77"/>
      <c r="AF460" s="77"/>
      <c r="AG460" s="77"/>
      <c r="AH460" s="77"/>
      <c r="AI460" s="92"/>
      <c r="AJ460" s="77"/>
      <c r="AK460" s="77"/>
      <c r="AL460" s="77"/>
      <c r="AM460" s="77"/>
      <c r="AN460" s="77"/>
      <c r="AO460" s="77"/>
      <c r="AP460" s="76"/>
      <c r="AQ460" s="81"/>
      <c r="AR460" s="76"/>
      <c r="AS460" s="81"/>
      <c r="AT460" s="76"/>
      <c r="AU460" s="81"/>
      <c r="AV460" s="77"/>
      <c r="AW460" s="81"/>
      <c r="AX460" s="77"/>
      <c r="AY460" s="81"/>
      <c r="AZ460" s="77"/>
      <c r="BA460" s="81"/>
      <c r="BB460" s="77"/>
      <c r="BC460" s="81"/>
      <c r="BD460" s="77"/>
      <c r="BE460" s="81"/>
      <c r="BF460" s="77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77"/>
      <c r="BU460" s="77"/>
      <c r="BV460" s="77"/>
      <c r="BW460" s="77"/>
      <c r="BX460" s="77"/>
      <c r="BY460" s="77"/>
      <c r="BZ460" s="77"/>
      <c r="CA460" s="77"/>
      <c r="CB460" s="77"/>
      <c r="CC460" s="77"/>
      <c r="CD460" s="77"/>
      <c r="CE460" s="77"/>
      <c r="CF460" s="77"/>
      <c r="CG460" s="77"/>
      <c r="CH460" s="77"/>
      <c r="CI460" s="77"/>
      <c r="CJ460" s="77"/>
      <c r="CK460" s="77"/>
      <c r="CL460" s="77"/>
      <c r="CM460" s="77"/>
      <c r="CN460" s="77"/>
      <c r="CO460" s="77"/>
      <c r="CP460" s="77"/>
      <c r="CQ460" s="77"/>
      <c r="CR460" s="77"/>
      <c r="CS460" s="77"/>
      <c r="CT460" s="77"/>
      <c r="CU460" s="77"/>
      <c r="CV460" s="77"/>
      <c r="CW460" s="77"/>
    </row>
    <row r="461" spans="1:101" ht="16.5" x14ac:dyDescent="0.45">
      <c r="A461" s="76"/>
      <c r="B461" s="77"/>
      <c r="C461" s="77"/>
      <c r="D461" s="78"/>
      <c r="E461" s="80"/>
      <c r="F461" s="80"/>
      <c r="G461" s="81"/>
      <c r="H461" s="81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82"/>
      <c r="Z461" s="82"/>
      <c r="AA461" s="82"/>
      <c r="AB461" s="80"/>
      <c r="AC461" s="77"/>
      <c r="AD461" s="77"/>
      <c r="AE461" s="77"/>
      <c r="AF461" s="77"/>
      <c r="AG461" s="77"/>
      <c r="AH461" s="77"/>
      <c r="AI461" s="92"/>
      <c r="AJ461" s="77"/>
      <c r="AK461" s="77"/>
      <c r="AL461" s="77"/>
      <c r="AM461" s="77"/>
      <c r="AN461" s="77"/>
      <c r="AO461" s="77"/>
      <c r="AP461" s="76"/>
      <c r="AQ461" s="81"/>
      <c r="AR461" s="76"/>
      <c r="AS461" s="81"/>
      <c r="AT461" s="76"/>
      <c r="AU461" s="81"/>
      <c r="AV461" s="77"/>
      <c r="AW461" s="81"/>
      <c r="AX461" s="77"/>
      <c r="AY461" s="81"/>
      <c r="AZ461" s="77"/>
      <c r="BA461" s="81"/>
      <c r="BB461" s="77"/>
      <c r="BC461" s="81"/>
      <c r="BD461" s="77"/>
      <c r="BE461" s="81"/>
      <c r="BF461" s="77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77"/>
      <c r="BU461" s="77"/>
      <c r="BV461" s="77"/>
      <c r="BW461" s="77"/>
      <c r="BX461" s="77"/>
      <c r="BY461" s="77"/>
      <c r="BZ461" s="77"/>
      <c r="CA461" s="77"/>
      <c r="CB461" s="77"/>
      <c r="CC461" s="77"/>
      <c r="CD461" s="77"/>
      <c r="CE461" s="77"/>
      <c r="CF461" s="77"/>
      <c r="CG461" s="77"/>
      <c r="CH461" s="77"/>
      <c r="CI461" s="77"/>
      <c r="CJ461" s="77"/>
      <c r="CK461" s="77"/>
      <c r="CL461" s="77"/>
      <c r="CM461" s="77"/>
      <c r="CN461" s="77"/>
      <c r="CO461" s="77"/>
      <c r="CP461" s="77"/>
      <c r="CQ461" s="77"/>
      <c r="CR461" s="77"/>
      <c r="CS461" s="77"/>
      <c r="CT461" s="77"/>
      <c r="CU461" s="77"/>
      <c r="CV461" s="77"/>
      <c r="CW461" s="77"/>
    </row>
    <row r="462" spans="1:101" ht="16.5" x14ac:dyDescent="0.45">
      <c r="A462" s="76"/>
      <c r="B462" s="77"/>
      <c r="C462" s="77"/>
      <c r="D462" s="78"/>
      <c r="E462" s="80"/>
      <c r="F462" s="80"/>
      <c r="G462" s="81"/>
      <c r="H462" s="81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82"/>
      <c r="Z462" s="82"/>
      <c r="AA462" s="82"/>
      <c r="AB462" s="80"/>
      <c r="AC462" s="77"/>
      <c r="AD462" s="77"/>
      <c r="AE462" s="77"/>
      <c r="AF462" s="77"/>
      <c r="AG462" s="77"/>
      <c r="AH462" s="77"/>
      <c r="AI462" s="92"/>
      <c r="AJ462" s="77"/>
      <c r="AK462" s="77"/>
      <c r="AL462" s="77"/>
      <c r="AM462" s="77"/>
      <c r="AN462" s="77"/>
      <c r="AO462" s="77"/>
      <c r="AP462" s="76"/>
      <c r="AQ462" s="81"/>
      <c r="AR462" s="76"/>
      <c r="AS462" s="81"/>
      <c r="AT462" s="76"/>
      <c r="AU462" s="81"/>
      <c r="AV462" s="77"/>
      <c r="AW462" s="81"/>
      <c r="AX462" s="77"/>
      <c r="AY462" s="81"/>
      <c r="AZ462" s="77"/>
      <c r="BA462" s="81"/>
      <c r="BB462" s="77"/>
      <c r="BC462" s="81"/>
      <c r="BD462" s="77"/>
      <c r="BE462" s="81"/>
      <c r="BF462" s="77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77"/>
      <c r="BU462" s="77"/>
      <c r="BV462" s="77"/>
      <c r="BW462" s="77"/>
      <c r="BX462" s="77"/>
      <c r="BY462" s="77"/>
      <c r="BZ462" s="77"/>
      <c r="CA462" s="77"/>
      <c r="CB462" s="77"/>
      <c r="CC462" s="77"/>
      <c r="CD462" s="77"/>
      <c r="CE462" s="77"/>
      <c r="CF462" s="77"/>
      <c r="CG462" s="77"/>
      <c r="CH462" s="77"/>
      <c r="CI462" s="77"/>
      <c r="CJ462" s="77"/>
      <c r="CK462" s="77"/>
      <c r="CL462" s="77"/>
      <c r="CM462" s="77"/>
      <c r="CN462" s="77"/>
      <c r="CO462" s="77"/>
      <c r="CP462" s="77"/>
      <c r="CQ462" s="77"/>
      <c r="CR462" s="77"/>
      <c r="CS462" s="77"/>
      <c r="CT462" s="77"/>
      <c r="CU462" s="77"/>
      <c r="CV462" s="77"/>
      <c r="CW462" s="77"/>
    </row>
    <row r="463" spans="1:101" ht="16.5" x14ac:dyDescent="0.45">
      <c r="A463" s="76"/>
      <c r="B463" s="77"/>
      <c r="C463" s="77"/>
      <c r="D463" s="78"/>
      <c r="E463" s="80"/>
      <c r="F463" s="80"/>
      <c r="G463" s="81"/>
      <c r="H463" s="81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82"/>
      <c r="Z463" s="82"/>
      <c r="AA463" s="82"/>
      <c r="AB463" s="80"/>
      <c r="AC463" s="77"/>
      <c r="AD463" s="77"/>
      <c r="AE463" s="77"/>
      <c r="AF463" s="77"/>
      <c r="AG463" s="77"/>
      <c r="AH463" s="77"/>
      <c r="AI463" s="92"/>
      <c r="AJ463" s="77"/>
      <c r="AK463" s="77"/>
      <c r="AL463" s="77"/>
      <c r="AM463" s="77"/>
      <c r="AN463" s="77"/>
      <c r="AO463" s="77"/>
      <c r="AP463" s="76"/>
      <c r="AQ463" s="81"/>
      <c r="AR463" s="76"/>
      <c r="AS463" s="81"/>
      <c r="AT463" s="76"/>
      <c r="AU463" s="81"/>
      <c r="AV463" s="77"/>
      <c r="AW463" s="81"/>
      <c r="AX463" s="77"/>
      <c r="AY463" s="81"/>
      <c r="AZ463" s="77"/>
      <c r="BA463" s="81"/>
      <c r="BB463" s="77"/>
      <c r="BC463" s="81"/>
      <c r="BD463" s="77"/>
      <c r="BE463" s="81"/>
      <c r="BF463" s="77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77"/>
      <c r="BU463" s="77"/>
      <c r="BV463" s="77"/>
      <c r="BW463" s="77"/>
      <c r="BX463" s="77"/>
      <c r="BY463" s="77"/>
      <c r="BZ463" s="77"/>
      <c r="CA463" s="77"/>
      <c r="CB463" s="77"/>
      <c r="CC463" s="77"/>
      <c r="CD463" s="77"/>
      <c r="CE463" s="77"/>
      <c r="CF463" s="77"/>
      <c r="CG463" s="77"/>
      <c r="CH463" s="77"/>
      <c r="CI463" s="77"/>
      <c r="CJ463" s="77"/>
      <c r="CK463" s="77"/>
      <c r="CL463" s="77"/>
      <c r="CM463" s="77"/>
      <c r="CN463" s="77"/>
      <c r="CO463" s="77"/>
      <c r="CP463" s="77"/>
      <c r="CQ463" s="77"/>
      <c r="CR463" s="77"/>
      <c r="CS463" s="77"/>
      <c r="CT463" s="77"/>
      <c r="CU463" s="77"/>
      <c r="CV463" s="77"/>
      <c r="CW463" s="77"/>
    </row>
    <row r="464" spans="1:101" ht="16.5" x14ac:dyDescent="0.45">
      <c r="A464" s="76"/>
      <c r="B464" s="77"/>
      <c r="C464" s="77"/>
      <c r="D464" s="78"/>
      <c r="E464" s="80"/>
      <c r="F464" s="80"/>
      <c r="G464" s="81"/>
      <c r="H464" s="81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82"/>
      <c r="Z464" s="82"/>
      <c r="AA464" s="82"/>
      <c r="AB464" s="80"/>
      <c r="AC464" s="77"/>
      <c r="AD464" s="77"/>
      <c r="AE464" s="77"/>
      <c r="AF464" s="77"/>
      <c r="AG464" s="77"/>
      <c r="AH464" s="77"/>
      <c r="AI464" s="92"/>
      <c r="AJ464" s="77"/>
      <c r="AK464" s="77"/>
      <c r="AL464" s="77"/>
      <c r="AM464" s="77"/>
      <c r="AN464" s="77"/>
      <c r="AO464" s="77"/>
      <c r="AP464" s="76"/>
      <c r="AQ464" s="81"/>
      <c r="AR464" s="76"/>
      <c r="AS464" s="81"/>
      <c r="AT464" s="76"/>
      <c r="AU464" s="81"/>
      <c r="AV464" s="77"/>
      <c r="AW464" s="81"/>
      <c r="AX464" s="77"/>
      <c r="AY464" s="81"/>
      <c r="AZ464" s="77"/>
      <c r="BA464" s="81"/>
      <c r="BB464" s="77"/>
      <c r="BC464" s="81"/>
      <c r="BD464" s="77"/>
      <c r="BE464" s="81"/>
      <c r="BF464" s="77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77"/>
      <c r="BU464" s="77"/>
      <c r="BV464" s="77"/>
      <c r="BW464" s="77"/>
      <c r="BX464" s="77"/>
      <c r="BY464" s="77"/>
      <c r="BZ464" s="77"/>
      <c r="CA464" s="77"/>
      <c r="CB464" s="77"/>
      <c r="CC464" s="77"/>
      <c r="CD464" s="77"/>
      <c r="CE464" s="77"/>
      <c r="CF464" s="77"/>
      <c r="CG464" s="77"/>
      <c r="CH464" s="77"/>
      <c r="CI464" s="77"/>
      <c r="CJ464" s="77"/>
      <c r="CK464" s="77"/>
      <c r="CL464" s="77"/>
      <c r="CM464" s="77"/>
      <c r="CN464" s="77"/>
      <c r="CO464" s="77"/>
      <c r="CP464" s="77"/>
      <c r="CQ464" s="77"/>
      <c r="CR464" s="77"/>
      <c r="CS464" s="77"/>
      <c r="CT464" s="77"/>
      <c r="CU464" s="77"/>
      <c r="CV464" s="77"/>
      <c r="CW464" s="77"/>
    </row>
    <row r="465" spans="1:101" ht="16.5" x14ac:dyDescent="0.45">
      <c r="A465" s="76"/>
      <c r="B465" s="77"/>
      <c r="C465" s="77"/>
      <c r="D465" s="78"/>
      <c r="E465" s="80"/>
      <c r="F465" s="80"/>
      <c r="G465" s="81"/>
      <c r="H465" s="81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82"/>
      <c r="Z465" s="82"/>
      <c r="AA465" s="82"/>
      <c r="AB465" s="80"/>
      <c r="AC465" s="77"/>
      <c r="AD465" s="77"/>
      <c r="AE465" s="77"/>
      <c r="AF465" s="77"/>
      <c r="AG465" s="77"/>
      <c r="AH465" s="77"/>
      <c r="AI465" s="92"/>
      <c r="AJ465" s="77"/>
      <c r="AK465" s="77"/>
      <c r="AL465" s="77"/>
      <c r="AM465" s="77"/>
      <c r="AN465" s="77"/>
      <c r="AO465" s="77"/>
      <c r="AP465" s="76"/>
      <c r="AQ465" s="81"/>
      <c r="AR465" s="76"/>
      <c r="AS465" s="81"/>
      <c r="AT465" s="76"/>
      <c r="AU465" s="81"/>
      <c r="AV465" s="77"/>
      <c r="AW465" s="81"/>
      <c r="AX465" s="77"/>
      <c r="AY465" s="81"/>
      <c r="AZ465" s="77"/>
      <c r="BA465" s="81"/>
      <c r="BB465" s="77"/>
      <c r="BC465" s="81"/>
      <c r="BD465" s="77"/>
      <c r="BE465" s="81"/>
      <c r="BF465" s="77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77"/>
      <c r="BU465" s="77"/>
      <c r="BV465" s="77"/>
      <c r="BW465" s="77"/>
      <c r="BX465" s="77"/>
      <c r="BY465" s="77"/>
      <c r="BZ465" s="77"/>
      <c r="CA465" s="77"/>
      <c r="CB465" s="77"/>
      <c r="CC465" s="77"/>
      <c r="CD465" s="77"/>
      <c r="CE465" s="77"/>
      <c r="CF465" s="77"/>
      <c r="CG465" s="77"/>
      <c r="CH465" s="77"/>
      <c r="CI465" s="77"/>
      <c r="CJ465" s="77"/>
      <c r="CK465" s="77"/>
      <c r="CL465" s="77"/>
      <c r="CM465" s="77"/>
      <c r="CN465" s="77"/>
      <c r="CO465" s="77"/>
      <c r="CP465" s="77"/>
      <c r="CQ465" s="77"/>
      <c r="CR465" s="77"/>
      <c r="CS465" s="77"/>
      <c r="CT465" s="77"/>
      <c r="CU465" s="77"/>
      <c r="CV465" s="77"/>
      <c r="CW465" s="77"/>
    </row>
    <row r="466" spans="1:101" ht="16.5" x14ac:dyDescent="0.45">
      <c r="A466" s="76"/>
      <c r="B466" s="77"/>
      <c r="C466" s="77"/>
      <c r="D466" s="78"/>
      <c r="E466" s="80"/>
      <c r="F466" s="80"/>
      <c r="G466" s="81"/>
      <c r="H466" s="81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82"/>
      <c r="Z466" s="82"/>
      <c r="AA466" s="82"/>
      <c r="AB466" s="80"/>
      <c r="AC466" s="77"/>
      <c r="AD466" s="77"/>
      <c r="AE466" s="77"/>
      <c r="AF466" s="77"/>
      <c r="AG466" s="77"/>
      <c r="AH466" s="77"/>
      <c r="AI466" s="92"/>
      <c r="AJ466" s="77"/>
      <c r="AK466" s="77"/>
      <c r="AL466" s="77"/>
      <c r="AM466" s="77"/>
      <c r="AN466" s="77"/>
      <c r="AO466" s="77"/>
      <c r="AP466" s="76"/>
      <c r="AQ466" s="81"/>
      <c r="AR466" s="76"/>
      <c r="AS466" s="81"/>
      <c r="AT466" s="76"/>
      <c r="AU466" s="81"/>
      <c r="AV466" s="77"/>
      <c r="AW466" s="81"/>
      <c r="AX466" s="77"/>
      <c r="AY466" s="81"/>
      <c r="AZ466" s="77"/>
      <c r="BA466" s="81"/>
      <c r="BB466" s="77"/>
      <c r="BC466" s="81"/>
      <c r="BD466" s="77"/>
      <c r="BE466" s="81"/>
      <c r="BF466" s="77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77"/>
      <c r="BU466" s="77"/>
      <c r="BV466" s="77"/>
      <c r="BW466" s="77"/>
      <c r="BX466" s="77"/>
      <c r="BY466" s="77"/>
      <c r="BZ466" s="77"/>
      <c r="CA466" s="77"/>
      <c r="CB466" s="77"/>
      <c r="CC466" s="77"/>
      <c r="CD466" s="77"/>
      <c r="CE466" s="77"/>
      <c r="CF466" s="77"/>
      <c r="CG466" s="77"/>
      <c r="CH466" s="77"/>
      <c r="CI466" s="77"/>
      <c r="CJ466" s="77"/>
      <c r="CK466" s="77"/>
      <c r="CL466" s="77"/>
      <c r="CM466" s="77"/>
      <c r="CN466" s="77"/>
      <c r="CO466" s="77"/>
      <c r="CP466" s="77"/>
      <c r="CQ466" s="77"/>
      <c r="CR466" s="77"/>
      <c r="CS466" s="77"/>
      <c r="CT466" s="77"/>
      <c r="CU466" s="77"/>
      <c r="CV466" s="77"/>
      <c r="CW466" s="77"/>
    </row>
    <row r="467" spans="1:101" ht="16.5" x14ac:dyDescent="0.45">
      <c r="A467" s="76"/>
      <c r="B467" s="77"/>
      <c r="C467" s="77"/>
      <c r="D467" s="78"/>
      <c r="E467" s="80"/>
      <c r="F467" s="80"/>
      <c r="G467" s="81"/>
      <c r="H467" s="81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82"/>
      <c r="Z467" s="82"/>
      <c r="AA467" s="82"/>
      <c r="AB467" s="80"/>
      <c r="AC467" s="77"/>
      <c r="AD467" s="77"/>
      <c r="AE467" s="77"/>
      <c r="AF467" s="77"/>
      <c r="AG467" s="77"/>
      <c r="AH467" s="77"/>
      <c r="AI467" s="92"/>
      <c r="AJ467" s="77"/>
      <c r="AK467" s="77"/>
      <c r="AL467" s="77"/>
      <c r="AM467" s="77"/>
      <c r="AN467" s="77"/>
      <c r="AO467" s="77"/>
      <c r="AP467" s="76"/>
      <c r="AQ467" s="81"/>
      <c r="AR467" s="76"/>
      <c r="AS467" s="81"/>
      <c r="AT467" s="76"/>
      <c r="AU467" s="81"/>
      <c r="AV467" s="77"/>
      <c r="AW467" s="81"/>
      <c r="AX467" s="77"/>
      <c r="AY467" s="81"/>
      <c r="AZ467" s="77"/>
      <c r="BA467" s="81"/>
      <c r="BB467" s="77"/>
      <c r="BC467" s="81"/>
      <c r="BD467" s="77"/>
      <c r="BE467" s="81"/>
      <c r="BF467" s="77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77"/>
      <c r="BU467" s="77"/>
      <c r="BV467" s="77"/>
      <c r="BW467" s="77"/>
      <c r="BX467" s="77"/>
      <c r="BY467" s="77"/>
      <c r="BZ467" s="77"/>
      <c r="CA467" s="77"/>
      <c r="CB467" s="77"/>
      <c r="CC467" s="77"/>
      <c r="CD467" s="77"/>
      <c r="CE467" s="77"/>
      <c r="CF467" s="77"/>
      <c r="CG467" s="77"/>
      <c r="CH467" s="77"/>
      <c r="CI467" s="77"/>
      <c r="CJ467" s="77"/>
      <c r="CK467" s="77"/>
      <c r="CL467" s="77"/>
      <c r="CM467" s="77"/>
      <c r="CN467" s="77"/>
      <c r="CO467" s="77"/>
      <c r="CP467" s="77"/>
      <c r="CQ467" s="77"/>
      <c r="CR467" s="77"/>
      <c r="CS467" s="77"/>
      <c r="CT467" s="77"/>
      <c r="CU467" s="77"/>
      <c r="CV467" s="77"/>
      <c r="CW467" s="77"/>
    </row>
    <row r="468" spans="1:101" ht="16.5" x14ac:dyDescent="0.45">
      <c r="A468" s="76"/>
      <c r="B468" s="77"/>
      <c r="C468" s="77"/>
      <c r="D468" s="78"/>
      <c r="E468" s="80"/>
      <c r="F468" s="80"/>
      <c r="G468" s="81"/>
      <c r="H468" s="81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82"/>
      <c r="Z468" s="82"/>
      <c r="AA468" s="82"/>
      <c r="AB468" s="80"/>
      <c r="AC468" s="77"/>
      <c r="AD468" s="77"/>
      <c r="AE468" s="77"/>
      <c r="AF468" s="77"/>
      <c r="AG468" s="77"/>
      <c r="AH468" s="77"/>
      <c r="AI468" s="92"/>
      <c r="AJ468" s="77"/>
      <c r="AK468" s="77"/>
      <c r="AL468" s="77"/>
      <c r="AM468" s="77"/>
      <c r="AN468" s="77"/>
      <c r="AO468" s="77"/>
      <c r="AP468" s="76"/>
      <c r="AQ468" s="81"/>
      <c r="AR468" s="76"/>
      <c r="AS468" s="81"/>
      <c r="AT468" s="76"/>
      <c r="AU468" s="81"/>
      <c r="AV468" s="77"/>
      <c r="AW468" s="81"/>
      <c r="AX468" s="77"/>
      <c r="AY468" s="81"/>
      <c r="AZ468" s="77"/>
      <c r="BA468" s="81"/>
      <c r="BB468" s="77"/>
      <c r="BC468" s="81"/>
      <c r="BD468" s="77"/>
      <c r="BE468" s="81"/>
      <c r="BF468" s="77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77"/>
      <c r="BU468" s="77"/>
      <c r="BV468" s="77"/>
      <c r="BW468" s="77"/>
      <c r="BX468" s="77"/>
      <c r="BY468" s="77"/>
      <c r="BZ468" s="77"/>
      <c r="CA468" s="77"/>
      <c r="CB468" s="77"/>
      <c r="CC468" s="77"/>
      <c r="CD468" s="77"/>
      <c r="CE468" s="77"/>
      <c r="CF468" s="77"/>
      <c r="CG468" s="77"/>
      <c r="CH468" s="77"/>
      <c r="CI468" s="77"/>
      <c r="CJ468" s="77"/>
      <c r="CK468" s="77"/>
      <c r="CL468" s="77"/>
      <c r="CM468" s="77"/>
      <c r="CN468" s="77"/>
      <c r="CO468" s="77"/>
      <c r="CP468" s="77"/>
      <c r="CQ468" s="77"/>
      <c r="CR468" s="77"/>
      <c r="CS468" s="77"/>
      <c r="CT468" s="77"/>
      <c r="CU468" s="77"/>
      <c r="CV468" s="77"/>
      <c r="CW468" s="77"/>
    </row>
    <row r="469" spans="1:101" ht="16.5" x14ac:dyDescent="0.45">
      <c r="A469" s="76"/>
      <c r="B469" s="77"/>
      <c r="C469" s="77"/>
      <c r="D469" s="78"/>
      <c r="E469" s="80"/>
      <c r="F469" s="80"/>
      <c r="G469" s="81"/>
      <c r="H469" s="81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82"/>
      <c r="Z469" s="82"/>
      <c r="AA469" s="82"/>
      <c r="AB469" s="80"/>
      <c r="AC469" s="77"/>
      <c r="AD469" s="77"/>
      <c r="AE469" s="77"/>
      <c r="AF469" s="77"/>
      <c r="AG469" s="77"/>
      <c r="AH469" s="77"/>
      <c r="AI469" s="92"/>
      <c r="AJ469" s="77"/>
      <c r="AK469" s="77"/>
      <c r="AL469" s="77"/>
      <c r="AM469" s="77"/>
      <c r="AN469" s="77"/>
      <c r="AO469" s="77"/>
      <c r="AP469" s="76"/>
      <c r="AQ469" s="81"/>
      <c r="AR469" s="76"/>
      <c r="AS469" s="81"/>
      <c r="AT469" s="76"/>
      <c r="AU469" s="81"/>
      <c r="AV469" s="77"/>
      <c r="AW469" s="81"/>
      <c r="AX469" s="77"/>
      <c r="AY469" s="81"/>
      <c r="AZ469" s="77"/>
      <c r="BA469" s="81"/>
      <c r="BB469" s="77"/>
      <c r="BC469" s="81"/>
      <c r="BD469" s="77"/>
      <c r="BE469" s="81"/>
      <c r="BF469" s="77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77"/>
      <c r="BU469" s="77"/>
      <c r="BV469" s="77"/>
      <c r="BW469" s="77"/>
      <c r="BX469" s="77"/>
      <c r="BY469" s="77"/>
      <c r="BZ469" s="77"/>
      <c r="CA469" s="77"/>
      <c r="CB469" s="77"/>
      <c r="CC469" s="77"/>
      <c r="CD469" s="77"/>
      <c r="CE469" s="77"/>
      <c r="CF469" s="77"/>
      <c r="CG469" s="77"/>
      <c r="CH469" s="77"/>
      <c r="CI469" s="77"/>
      <c r="CJ469" s="77"/>
      <c r="CK469" s="77"/>
      <c r="CL469" s="77"/>
      <c r="CM469" s="77"/>
      <c r="CN469" s="77"/>
      <c r="CO469" s="77"/>
      <c r="CP469" s="77"/>
      <c r="CQ469" s="77"/>
      <c r="CR469" s="77"/>
      <c r="CS469" s="77"/>
      <c r="CT469" s="77"/>
      <c r="CU469" s="77"/>
      <c r="CV469" s="77"/>
      <c r="CW469" s="77"/>
    </row>
    <row r="470" spans="1:101" ht="16.5" x14ac:dyDescent="0.45">
      <c r="A470" s="76"/>
      <c r="B470" s="77"/>
      <c r="C470" s="77"/>
      <c r="D470" s="78"/>
      <c r="E470" s="80"/>
      <c r="F470" s="80"/>
      <c r="G470" s="81"/>
      <c r="H470" s="81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82"/>
      <c r="Z470" s="82"/>
      <c r="AA470" s="82"/>
      <c r="AB470" s="80"/>
      <c r="AC470" s="77"/>
      <c r="AD470" s="77"/>
      <c r="AE470" s="77"/>
      <c r="AF470" s="77"/>
      <c r="AG470" s="77"/>
      <c r="AH470" s="77"/>
      <c r="AI470" s="92"/>
      <c r="AJ470" s="77"/>
      <c r="AK470" s="77"/>
      <c r="AL470" s="77"/>
      <c r="AM470" s="77"/>
      <c r="AN470" s="77"/>
      <c r="AO470" s="77"/>
      <c r="AP470" s="76"/>
      <c r="AQ470" s="81"/>
      <c r="AR470" s="76"/>
      <c r="AS470" s="81"/>
      <c r="AT470" s="76"/>
      <c r="AU470" s="81"/>
      <c r="AV470" s="77"/>
      <c r="AW470" s="81"/>
      <c r="AX470" s="77"/>
      <c r="AY470" s="81"/>
      <c r="AZ470" s="77"/>
      <c r="BA470" s="81"/>
      <c r="BB470" s="77"/>
      <c r="BC470" s="81"/>
      <c r="BD470" s="77"/>
      <c r="BE470" s="81"/>
      <c r="BF470" s="77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77"/>
      <c r="BU470" s="77"/>
      <c r="BV470" s="77"/>
      <c r="BW470" s="77"/>
      <c r="BX470" s="77"/>
      <c r="BY470" s="77"/>
      <c r="BZ470" s="77"/>
      <c r="CA470" s="77"/>
      <c r="CB470" s="77"/>
      <c r="CC470" s="77"/>
      <c r="CD470" s="77"/>
      <c r="CE470" s="77"/>
      <c r="CF470" s="77"/>
      <c r="CG470" s="77"/>
      <c r="CH470" s="77"/>
      <c r="CI470" s="77"/>
      <c r="CJ470" s="77"/>
      <c r="CK470" s="77"/>
      <c r="CL470" s="77"/>
      <c r="CM470" s="77"/>
      <c r="CN470" s="77"/>
      <c r="CO470" s="77"/>
      <c r="CP470" s="77"/>
      <c r="CQ470" s="77"/>
      <c r="CR470" s="77"/>
      <c r="CS470" s="77"/>
      <c r="CT470" s="77"/>
      <c r="CU470" s="77"/>
      <c r="CV470" s="77"/>
      <c r="CW470" s="77"/>
    </row>
    <row r="471" spans="1:101" ht="16.5" x14ac:dyDescent="0.45">
      <c r="A471" s="76"/>
      <c r="B471" s="77"/>
      <c r="C471" s="77"/>
      <c r="D471" s="78"/>
      <c r="E471" s="80"/>
      <c r="F471" s="80"/>
      <c r="G471" s="81"/>
      <c r="H471" s="81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82"/>
      <c r="Z471" s="82"/>
      <c r="AA471" s="82"/>
      <c r="AB471" s="80"/>
      <c r="AC471" s="77"/>
      <c r="AD471" s="77"/>
      <c r="AE471" s="77"/>
      <c r="AF471" s="77"/>
      <c r="AG471" s="77"/>
      <c r="AH471" s="77"/>
      <c r="AI471" s="92"/>
      <c r="AJ471" s="77"/>
      <c r="AK471" s="77"/>
      <c r="AL471" s="77"/>
      <c r="AM471" s="77"/>
      <c r="AN471" s="77"/>
      <c r="AO471" s="77"/>
      <c r="AP471" s="76"/>
      <c r="AQ471" s="81"/>
      <c r="AR471" s="76"/>
      <c r="AS471" s="81"/>
      <c r="AT471" s="76"/>
      <c r="AU471" s="81"/>
      <c r="AV471" s="77"/>
      <c r="AW471" s="81"/>
      <c r="AX471" s="77"/>
      <c r="AY471" s="81"/>
      <c r="AZ471" s="77"/>
      <c r="BA471" s="81"/>
      <c r="BB471" s="77"/>
      <c r="BC471" s="81"/>
      <c r="BD471" s="77"/>
      <c r="BE471" s="81"/>
      <c r="BF471" s="77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77"/>
      <c r="BU471" s="77"/>
      <c r="BV471" s="77"/>
      <c r="BW471" s="77"/>
      <c r="BX471" s="77"/>
      <c r="BY471" s="77"/>
      <c r="BZ471" s="77"/>
      <c r="CA471" s="77"/>
      <c r="CB471" s="77"/>
      <c r="CC471" s="77"/>
      <c r="CD471" s="77"/>
      <c r="CE471" s="77"/>
      <c r="CF471" s="77"/>
      <c r="CG471" s="77"/>
      <c r="CH471" s="77"/>
      <c r="CI471" s="77"/>
      <c r="CJ471" s="77"/>
      <c r="CK471" s="77"/>
      <c r="CL471" s="77"/>
      <c r="CM471" s="77"/>
      <c r="CN471" s="77"/>
      <c r="CO471" s="77"/>
      <c r="CP471" s="77"/>
      <c r="CQ471" s="77"/>
      <c r="CR471" s="77"/>
      <c r="CS471" s="77"/>
      <c r="CT471" s="77"/>
      <c r="CU471" s="77"/>
      <c r="CV471" s="77"/>
      <c r="CW471" s="77"/>
    </row>
    <row r="472" spans="1:101" ht="16.5" x14ac:dyDescent="0.45">
      <c r="A472" s="76"/>
      <c r="B472" s="77"/>
      <c r="C472" s="77"/>
      <c r="D472" s="78"/>
      <c r="E472" s="80"/>
      <c r="F472" s="80"/>
      <c r="G472" s="81"/>
      <c r="H472" s="81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82"/>
      <c r="Z472" s="82"/>
      <c r="AA472" s="82"/>
      <c r="AB472" s="80"/>
      <c r="AC472" s="77"/>
      <c r="AD472" s="77"/>
      <c r="AE472" s="77"/>
      <c r="AF472" s="77"/>
      <c r="AG472" s="77"/>
      <c r="AH472" s="77"/>
      <c r="AI472" s="92"/>
      <c r="AJ472" s="77"/>
      <c r="AK472" s="77"/>
      <c r="AL472" s="77"/>
      <c r="AM472" s="77"/>
      <c r="AN472" s="77"/>
      <c r="AO472" s="77"/>
      <c r="AP472" s="76"/>
      <c r="AQ472" s="81"/>
      <c r="AR472" s="76"/>
      <c r="AS472" s="81"/>
      <c r="AT472" s="76"/>
      <c r="AU472" s="81"/>
      <c r="AV472" s="77"/>
      <c r="AW472" s="81"/>
      <c r="AX472" s="77"/>
      <c r="AY472" s="81"/>
      <c r="AZ472" s="77"/>
      <c r="BA472" s="81"/>
      <c r="BB472" s="77"/>
      <c r="BC472" s="81"/>
      <c r="BD472" s="77"/>
      <c r="BE472" s="81"/>
      <c r="BF472" s="77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77"/>
      <c r="BU472" s="77"/>
      <c r="BV472" s="77"/>
      <c r="BW472" s="77"/>
      <c r="BX472" s="77"/>
      <c r="BY472" s="77"/>
      <c r="BZ472" s="77"/>
      <c r="CA472" s="77"/>
      <c r="CB472" s="77"/>
      <c r="CC472" s="77"/>
      <c r="CD472" s="77"/>
      <c r="CE472" s="77"/>
      <c r="CF472" s="77"/>
      <c r="CG472" s="77"/>
      <c r="CH472" s="77"/>
      <c r="CI472" s="77"/>
      <c r="CJ472" s="77"/>
      <c r="CK472" s="77"/>
      <c r="CL472" s="77"/>
      <c r="CM472" s="77"/>
      <c r="CN472" s="77"/>
      <c r="CO472" s="77"/>
      <c r="CP472" s="77"/>
      <c r="CQ472" s="77"/>
      <c r="CR472" s="77"/>
      <c r="CS472" s="77"/>
      <c r="CT472" s="77"/>
      <c r="CU472" s="77"/>
      <c r="CV472" s="77"/>
      <c r="CW472" s="77"/>
    </row>
    <row r="473" spans="1:101" ht="16.5" x14ac:dyDescent="0.45">
      <c r="A473" s="76"/>
      <c r="B473" s="77"/>
      <c r="C473" s="77"/>
      <c r="D473" s="78"/>
      <c r="E473" s="80"/>
      <c r="F473" s="80"/>
      <c r="G473" s="81"/>
      <c r="H473" s="81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82"/>
      <c r="Z473" s="82"/>
      <c r="AA473" s="82"/>
      <c r="AB473" s="80"/>
      <c r="AC473" s="77"/>
      <c r="AD473" s="77"/>
      <c r="AE473" s="77"/>
      <c r="AF473" s="77"/>
      <c r="AG473" s="77"/>
      <c r="AH473" s="77"/>
      <c r="AI473" s="92"/>
      <c r="AJ473" s="77"/>
      <c r="AK473" s="77"/>
      <c r="AL473" s="77"/>
      <c r="AM473" s="77"/>
      <c r="AN473" s="77"/>
      <c r="AO473" s="77"/>
      <c r="AP473" s="76"/>
      <c r="AQ473" s="81"/>
      <c r="AR473" s="76"/>
      <c r="AS473" s="81"/>
      <c r="AT473" s="76"/>
      <c r="AU473" s="81"/>
      <c r="AV473" s="77"/>
      <c r="AW473" s="81"/>
      <c r="AX473" s="77"/>
      <c r="AY473" s="81"/>
      <c r="AZ473" s="77"/>
      <c r="BA473" s="81"/>
      <c r="BB473" s="77"/>
      <c r="BC473" s="81"/>
      <c r="BD473" s="77"/>
      <c r="BE473" s="81"/>
      <c r="BF473" s="77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77"/>
      <c r="BU473" s="77"/>
      <c r="BV473" s="77"/>
      <c r="BW473" s="77"/>
      <c r="BX473" s="77"/>
      <c r="BY473" s="77"/>
      <c r="BZ473" s="77"/>
      <c r="CA473" s="77"/>
      <c r="CB473" s="77"/>
      <c r="CC473" s="77"/>
      <c r="CD473" s="77"/>
      <c r="CE473" s="77"/>
      <c r="CF473" s="77"/>
      <c r="CG473" s="77"/>
      <c r="CH473" s="77"/>
      <c r="CI473" s="77"/>
      <c r="CJ473" s="77"/>
      <c r="CK473" s="77"/>
      <c r="CL473" s="77"/>
      <c r="CM473" s="77"/>
      <c r="CN473" s="77"/>
      <c r="CO473" s="77"/>
      <c r="CP473" s="77"/>
      <c r="CQ473" s="77"/>
      <c r="CR473" s="77"/>
      <c r="CS473" s="77"/>
      <c r="CT473" s="77"/>
      <c r="CU473" s="77"/>
      <c r="CV473" s="77"/>
      <c r="CW473" s="77"/>
    </row>
    <row r="474" spans="1:101" ht="16.5" x14ac:dyDescent="0.45">
      <c r="A474" s="76"/>
      <c r="B474" s="77"/>
      <c r="C474" s="77"/>
      <c r="D474" s="78"/>
      <c r="E474" s="80"/>
      <c r="F474" s="80"/>
      <c r="G474" s="81"/>
      <c r="H474" s="81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82"/>
      <c r="Z474" s="82"/>
      <c r="AA474" s="82"/>
      <c r="AB474" s="80"/>
      <c r="AC474" s="77"/>
      <c r="AD474" s="77"/>
      <c r="AE474" s="77"/>
      <c r="AF474" s="77"/>
      <c r="AG474" s="77"/>
      <c r="AH474" s="77"/>
      <c r="AI474" s="92"/>
      <c r="AJ474" s="77"/>
      <c r="AK474" s="77"/>
      <c r="AL474" s="77"/>
      <c r="AM474" s="77"/>
      <c r="AN474" s="77"/>
      <c r="AO474" s="77"/>
      <c r="AP474" s="76"/>
      <c r="AQ474" s="81"/>
      <c r="AR474" s="76"/>
      <c r="AS474" s="81"/>
      <c r="AT474" s="76"/>
      <c r="AU474" s="81"/>
      <c r="AV474" s="77"/>
      <c r="AW474" s="81"/>
      <c r="AX474" s="77"/>
      <c r="AY474" s="81"/>
      <c r="AZ474" s="77"/>
      <c r="BA474" s="81"/>
      <c r="BB474" s="77"/>
      <c r="BC474" s="81"/>
      <c r="BD474" s="77"/>
      <c r="BE474" s="81"/>
      <c r="BF474" s="77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77"/>
      <c r="BU474" s="77"/>
      <c r="BV474" s="77"/>
      <c r="BW474" s="77"/>
      <c r="BX474" s="77"/>
      <c r="BY474" s="77"/>
      <c r="BZ474" s="77"/>
      <c r="CA474" s="77"/>
      <c r="CB474" s="77"/>
      <c r="CC474" s="77"/>
      <c r="CD474" s="77"/>
      <c r="CE474" s="77"/>
      <c r="CF474" s="77"/>
      <c r="CG474" s="77"/>
      <c r="CH474" s="77"/>
      <c r="CI474" s="77"/>
      <c r="CJ474" s="77"/>
      <c r="CK474" s="77"/>
      <c r="CL474" s="77"/>
      <c r="CM474" s="77"/>
      <c r="CN474" s="77"/>
      <c r="CO474" s="77"/>
      <c r="CP474" s="77"/>
      <c r="CQ474" s="77"/>
      <c r="CR474" s="77"/>
      <c r="CS474" s="77"/>
      <c r="CT474" s="77"/>
      <c r="CU474" s="77"/>
      <c r="CV474" s="77"/>
      <c r="CW474" s="77"/>
    </row>
    <row r="475" spans="1:101" ht="16.5" x14ac:dyDescent="0.45">
      <c r="A475" s="76"/>
      <c r="B475" s="77"/>
      <c r="C475" s="77"/>
      <c r="D475" s="78"/>
      <c r="E475" s="80"/>
      <c r="F475" s="80"/>
      <c r="G475" s="81"/>
      <c r="H475" s="81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82"/>
      <c r="Z475" s="82"/>
      <c r="AA475" s="82"/>
      <c r="AB475" s="80"/>
      <c r="AC475" s="77"/>
      <c r="AD475" s="77"/>
      <c r="AE475" s="77"/>
      <c r="AF475" s="77"/>
      <c r="AG475" s="77"/>
      <c r="AH475" s="77"/>
      <c r="AI475" s="92"/>
      <c r="AJ475" s="77"/>
      <c r="AK475" s="77"/>
      <c r="AL475" s="77"/>
      <c r="AM475" s="77"/>
      <c r="AN475" s="77"/>
      <c r="AO475" s="77"/>
      <c r="AP475" s="76"/>
      <c r="AQ475" s="81"/>
      <c r="AR475" s="76"/>
      <c r="AS475" s="81"/>
      <c r="AT475" s="76"/>
      <c r="AU475" s="81"/>
      <c r="AV475" s="77"/>
      <c r="AW475" s="81"/>
      <c r="AX475" s="77"/>
      <c r="AY475" s="81"/>
      <c r="AZ475" s="77"/>
      <c r="BA475" s="81"/>
      <c r="BB475" s="77"/>
      <c r="BC475" s="81"/>
      <c r="BD475" s="77"/>
      <c r="BE475" s="81"/>
      <c r="BF475" s="77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77"/>
      <c r="BU475" s="77"/>
      <c r="BV475" s="77"/>
      <c r="BW475" s="77"/>
      <c r="BX475" s="77"/>
      <c r="BY475" s="77"/>
      <c r="BZ475" s="77"/>
      <c r="CA475" s="77"/>
      <c r="CB475" s="77"/>
      <c r="CC475" s="77"/>
      <c r="CD475" s="77"/>
      <c r="CE475" s="77"/>
      <c r="CF475" s="77"/>
      <c r="CG475" s="77"/>
      <c r="CH475" s="77"/>
      <c r="CI475" s="77"/>
      <c r="CJ475" s="77"/>
      <c r="CK475" s="77"/>
      <c r="CL475" s="77"/>
      <c r="CM475" s="77"/>
      <c r="CN475" s="77"/>
      <c r="CO475" s="77"/>
      <c r="CP475" s="77"/>
      <c r="CQ475" s="77"/>
      <c r="CR475" s="77"/>
      <c r="CS475" s="77"/>
      <c r="CT475" s="77"/>
      <c r="CU475" s="77"/>
      <c r="CV475" s="77"/>
      <c r="CW475" s="77"/>
    </row>
    <row r="476" spans="1:101" ht="16.5" x14ac:dyDescent="0.45">
      <c r="A476" s="76"/>
      <c r="B476" s="77"/>
      <c r="C476" s="77"/>
      <c r="D476" s="78"/>
      <c r="E476" s="80"/>
      <c r="F476" s="80"/>
      <c r="G476" s="81"/>
      <c r="H476" s="81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82"/>
      <c r="Z476" s="82"/>
      <c r="AA476" s="82"/>
      <c r="AB476" s="80"/>
      <c r="AC476" s="77"/>
      <c r="AD476" s="77"/>
      <c r="AE476" s="77"/>
      <c r="AF476" s="77"/>
      <c r="AG476" s="77"/>
      <c r="AH476" s="77"/>
      <c r="AI476" s="92"/>
      <c r="AJ476" s="77"/>
      <c r="AK476" s="77"/>
      <c r="AL476" s="77"/>
      <c r="AM476" s="77"/>
      <c r="AN476" s="77"/>
      <c r="AO476" s="77"/>
      <c r="AP476" s="76"/>
      <c r="AQ476" s="81"/>
      <c r="AR476" s="76"/>
      <c r="AS476" s="81"/>
      <c r="AT476" s="76"/>
      <c r="AU476" s="81"/>
      <c r="AV476" s="77"/>
      <c r="AW476" s="81"/>
      <c r="AX476" s="77"/>
      <c r="AY476" s="81"/>
      <c r="AZ476" s="77"/>
      <c r="BA476" s="81"/>
      <c r="BB476" s="77"/>
      <c r="BC476" s="81"/>
      <c r="BD476" s="77"/>
      <c r="BE476" s="81"/>
      <c r="BF476" s="77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77"/>
      <c r="BU476" s="77"/>
      <c r="BV476" s="77"/>
      <c r="BW476" s="77"/>
      <c r="BX476" s="77"/>
      <c r="BY476" s="77"/>
      <c r="BZ476" s="77"/>
      <c r="CA476" s="77"/>
      <c r="CB476" s="77"/>
      <c r="CC476" s="77"/>
      <c r="CD476" s="77"/>
      <c r="CE476" s="77"/>
      <c r="CF476" s="77"/>
      <c r="CG476" s="77"/>
      <c r="CH476" s="77"/>
      <c r="CI476" s="77"/>
      <c r="CJ476" s="77"/>
      <c r="CK476" s="77"/>
      <c r="CL476" s="77"/>
      <c r="CM476" s="77"/>
      <c r="CN476" s="77"/>
      <c r="CO476" s="77"/>
      <c r="CP476" s="77"/>
      <c r="CQ476" s="77"/>
      <c r="CR476" s="77"/>
      <c r="CS476" s="77"/>
      <c r="CT476" s="77"/>
      <c r="CU476" s="77"/>
      <c r="CV476" s="77"/>
      <c r="CW476" s="77"/>
    </row>
    <row r="477" spans="1:101" ht="16.5" x14ac:dyDescent="0.45">
      <c r="A477" s="76"/>
      <c r="B477" s="77"/>
      <c r="C477" s="77"/>
      <c r="D477" s="78"/>
      <c r="E477" s="80"/>
      <c r="F477" s="80"/>
      <c r="G477" s="81"/>
      <c r="H477" s="81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82"/>
      <c r="Z477" s="82"/>
      <c r="AA477" s="82"/>
      <c r="AB477" s="80"/>
      <c r="AC477" s="77"/>
      <c r="AD477" s="77"/>
      <c r="AE477" s="77"/>
      <c r="AF477" s="77"/>
      <c r="AG477" s="77"/>
      <c r="AH477" s="77"/>
      <c r="AI477" s="92"/>
      <c r="AJ477" s="77"/>
      <c r="AK477" s="77"/>
      <c r="AL477" s="77"/>
      <c r="AM477" s="77"/>
      <c r="AN477" s="77"/>
      <c r="AO477" s="77"/>
      <c r="AP477" s="76"/>
      <c r="AQ477" s="81"/>
      <c r="AR477" s="76"/>
      <c r="AS477" s="81"/>
      <c r="AT477" s="76"/>
      <c r="AU477" s="81"/>
      <c r="AV477" s="77"/>
      <c r="AW477" s="81"/>
      <c r="AX477" s="77"/>
      <c r="AY477" s="81"/>
      <c r="AZ477" s="77"/>
      <c r="BA477" s="81"/>
      <c r="BB477" s="77"/>
      <c r="BC477" s="81"/>
      <c r="BD477" s="77"/>
      <c r="BE477" s="81"/>
      <c r="BF477" s="77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77"/>
      <c r="BU477" s="77"/>
      <c r="BV477" s="77"/>
      <c r="BW477" s="77"/>
      <c r="BX477" s="77"/>
      <c r="BY477" s="77"/>
      <c r="BZ477" s="77"/>
      <c r="CA477" s="77"/>
      <c r="CB477" s="77"/>
      <c r="CC477" s="77"/>
      <c r="CD477" s="77"/>
      <c r="CE477" s="77"/>
      <c r="CF477" s="77"/>
      <c r="CG477" s="77"/>
      <c r="CH477" s="77"/>
      <c r="CI477" s="77"/>
      <c r="CJ477" s="77"/>
      <c r="CK477" s="77"/>
      <c r="CL477" s="77"/>
      <c r="CM477" s="77"/>
      <c r="CN477" s="77"/>
      <c r="CO477" s="77"/>
      <c r="CP477" s="77"/>
      <c r="CQ477" s="77"/>
      <c r="CR477" s="77"/>
      <c r="CS477" s="77"/>
      <c r="CT477" s="77"/>
      <c r="CU477" s="77"/>
      <c r="CV477" s="77"/>
      <c r="CW477" s="77"/>
    </row>
    <row r="478" spans="1:101" ht="16.5" x14ac:dyDescent="0.45">
      <c r="A478" s="76"/>
      <c r="B478" s="77"/>
      <c r="C478" s="77"/>
      <c r="D478" s="78"/>
      <c r="E478" s="80"/>
      <c r="F478" s="80"/>
      <c r="G478" s="81"/>
      <c r="H478" s="81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82"/>
      <c r="Z478" s="82"/>
      <c r="AA478" s="82"/>
      <c r="AB478" s="80"/>
      <c r="AC478" s="77"/>
      <c r="AD478" s="77"/>
      <c r="AE478" s="77"/>
      <c r="AF478" s="77"/>
      <c r="AG478" s="77"/>
      <c r="AH478" s="77"/>
      <c r="AI478" s="92"/>
      <c r="AJ478" s="77"/>
      <c r="AK478" s="77"/>
      <c r="AL478" s="77"/>
      <c r="AM478" s="77"/>
      <c r="AN478" s="77"/>
      <c r="AO478" s="77"/>
      <c r="AP478" s="76"/>
      <c r="AQ478" s="81"/>
      <c r="AR478" s="76"/>
      <c r="AS478" s="81"/>
      <c r="AT478" s="76"/>
      <c r="AU478" s="81"/>
      <c r="AV478" s="77"/>
      <c r="AW478" s="81"/>
      <c r="AX478" s="77"/>
      <c r="AY478" s="81"/>
      <c r="AZ478" s="77"/>
      <c r="BA478" s="81"/>
      <c r="BB478" s="77"/>
      <c r="BC478" s="81"/>
      <c r="BD478" s="77"/>
      <c r="BE478" s="81"/>
      <c r="BF478" s="77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77"/>
      <c r="BU478" s="77"/>
      <c r="BV478" s="77"/>
      <c r="BW478" s="77"/>
      <c r="BX478" s="77"/>
      <c r="BY478" s="77"/>
      <c r="BZ478" s="77"/>
      <c r="CA478" s="77"/>
      <c r="CB478" s="77"/>
      <c r="CC478" s="77"/>
      <c r="CD478" s="77"/>
      <c r="CE478" s="77"/>
      <c r="CF478" s="77"/>
      <c r="CG478" s="77"/>
      <c r="CH478" s="77"/>
      <c r="CI478" s="77"/>
      <c r="CJ478" s="77"/>
      <c r="CK478" s="77"/>
      <c r="CL478" s="77"/>
      <c r="CM478" s="77"/>
      <c r="CN478" s="77"/>
      <c r="CO478" s="77"/>
      <c r="CP478" s="77"/>
      <c r="CQ478" s="77"/>
      <c r="CR478" s="77"/>
      <c r="CS478" s="77"/>
      <c r="CT478" s="77"/>
      <c r="CU478" s="77"/>
      <c r="CV478" s="77"/>
      <c r="CW478" s="77"/>
    </row>
    <row r="479" spans="1:101" ht="16.5" x14ac:dyDescent="0.45">
      <c r="A479" s="76"/>
      <c r="B479" s="77"/>
      <c r="C479" s="77"/>
      <c r="D479" s="78"/>
      <c r="E479" s="80"/>
      <c r="F479" s="80"/>
      <c r="G479" s="81"/>
      <c r="H479" s="81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82"/>
      <c r="Z479" s="82"/>
      <c r="AA479" s="82"/>
      <c r="AB479" s="80"/>
      <c r="AC479" s="77"/>
      <c r="AD479" s="77"/>
      <c r="AE479" s="77"/>
      <c r="AF479" s="77"/>
      <c r="AG479" s="77"/>
      <c r="AH479" s="77"/>
      <c r="AI479" s="92"/>
      <c r="AJ479" s="77"/>
      <c r="AK479" s="77"/>
      <c r="AL479" s="77"/>
      <c r="AM479" s="77"/>
      <c r="AN479" s="77"/>
      <c r="AO479" s="77"/>
      <c r="AP479" s="76"/>
      <c r="AQ479" s="81"/>
      <c r="AR479" s="76"/>
      <c r="AS479" s="81"/>
      <c r="AT479" s="76"/>
      <c r="AU479" s="81"/>
      <c r="AV479" s="77"/>
      <c r="AW479" s="81"/>
      <c r="AX479" s="77"/>
      <c r="AY479" s="81"/>
      <c r="AZ479" s="77"/>
      <c r="BA479" s="81"/>
      <c r="BB479" s="77"/>
      <c r="BC479" s="81"/>
      <c r="BD479" s="77"/>
      <c r="BE479" s="81"/>
      <c r="BF479" s="77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77"/>
      <c r="BU479" s="77"/>
      <c r="BV479" s="77"/>
      <c r="BW479" s="77"/>
      <c r="BX479" s="77"/>
      <c r="BY479" s="77"/>
      <c r="BZ479" s="77"/>
      <c r="CA479" s="77"/>
      <c r="CB479" s="77"/>
      <c r="CC479" s="77"/>
      <c r="CD479" s="77"/>
      <c r="CE479" s="77"/>
      <c r="CF479" s="77"/>
      <c r="CG479" s="77"/>
      <c r="CH479" s="77"/>
      <c r="CI479" s="77"/>
      <c r="CJ479" s="77"/>
      <c r="CK479" s="77"/>
      <c r="CL479" s="77"/>
      <c r="CM479" s="77"/>
      <c r="CN479" s="77"/>
      <c r="CO479" s="77"/>
      <c r="CP479" s="77"/>
      <c r="CQ479" s="77"/>
      <c r="CR479" s="77"/>
      <c r="CS479" s="77"/>
      <c r="CT479" s="77"/>
      <c r="CU479" s="77"/>
      <c r="CV479" s="77"/>
      <c r="CW479" s="77"/>
    </row>
    <row r="480" spans="1:101" ht="16.5" x14ac:dyDescent="0.45">
      <c r="A480" s="76"/>
      <c r="B480" s="77"/>
      <c r="C480" s="77"/>
      <c r="D480" s="78"/>
      <c r="E480" s="80"/>
      <c r="F480" s="80"/>
      <c r="G480" s="81"/>
      <c r="H480" s="81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82"/>
      <c r="Z480" s="82"/>
      <c r="AA480" s="82"/>
      <c r="AB480" s="80"/>
      <c r="AC480" s="77"/>
      <c r="AD480" s="77"/>
      <c r="AE480" s="77"/>
      <c r="AF480" s="77"/>
      <c r="AG480" s="77"/>
      <c r="AH480" s="77"/>
      <c r="AI480" s="92"/>
      <c r="AJ480" s="77"/>
      <c r="AK480" s="77"/>
      <c r="AL480" s="77"/>
      <c r="AM480" s="77"/>
      <c r="AN480" s="77"/>
      <c r="AO480" s="77"/>
      <c r="AP480" s="76"/>
      <c r="AQ480" s="81"/>
      <c r="AR480" s="76"/>
      <c r="AS480" s="81"/>
      <c r="AT480" s="76"/>
      <c r="AU480" s="81"/>
      <c r="AV480" s="77"/>
      <c r="AW480" s="81"/>
      <c r="AX480" s="77"/>
      <c r="AY480" s="81"/>
      <c r="AZ480" s="77"/>
      <c r="BA480" s="81"/>
      <c r="BB480" s="77"/>
      <c r="BC480" s="81"/>
      <c r="BD480" s="77"/>
      <c r="BE480" s="81"/>
      <c r="BF480" s="77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77"/>
      <c r="BU480" s="77"/>
      <c r="BV480" s="77"/>
      <c r="BW480" s="77"/>
      <c r="BX480" s="77"/>
      <c r="BY480" s="77"/>
      <c r="BZ480" s="77"/>
      <c r="CA480" s="77"/>
      <c r="CB480" s="77"/>
      <c r="CC480" s="77"/>
      <c r="CD480" s="77"/>
      <c r="CE480" s="77"/>
      <c r="CF480" s="77"/>
      <c r="CG480" s="77"/>
      <c r="CH480" s="77"/>
      <c r="CI480" s="77"/>
      <c r="CJ480" s="77"/>
      <c r="CK480" s="77"/>
      <c r="CL480" s="77"/>
      <c r="CM480" s="77"/>
      <c r="CN480" s="77"/>
      <c r="CO480" s="77"/>
      <c r="CP480" s="77"/>
      <c r="CQ480" s="77"/>
      <c r="CR480" s="77"/>
      <c r="CS480" s="77"/>
      <c r="CT480" s="77"/>
      <c r="CU480" s="77"/>
      <c r="CV480" s="77"/>
      <c r="CW480" s="77"/>
    </row>
    <row r="481" spans="1:101" ht="16.5" x14ac:dyDescent="0.45">
      <c r="A481" s="76"/>
      <c r="B481" s="77"/>
      <c r="C481" s="77"/>
      <c r="D481" s="78"/>
      <c r="E481" s="80"/>
      <c r="F481" s="80"/>
      <c r="G481" s="81"/>
      <c r="H481" s="81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82"/>
      <c r="Z481" s="82"/>
      <c r="AA481" s="82"/>
      <c r="AB481" s="80"/>
      <c r="AC481" s="77"/>
      <c r="AD481" s="77"/>
      <c r="AE481" s="77"/>
      <c r="AF481" s="77"/>
      <c r="AG481" s="77"/>
      <c r="AH481" s="77"/>
      <c r="AI481" s="92"/>
      <c r="AJ481" s="77"/>
      <c r="AK481" s="77"/>
      <c r="AL481" s="77"/>
      <c r="AM481" s="77"/>
      <c r="AN481" s="77"/>
      <c r="AO481" s="77"/>
      <c r="AP481" s="76"/>
      <c r="AQ481" s="81"/>
      <c r="AR481" s="76"/>
      <c r="AS481" s="81"/>
      <c r="AT481" s="76"/>
      <c r="AU481" s="81"/>
      <c r="AV481" s="77"/>
      <c r="AW481" s="81"/>
      <c r="AX481" s="77"/>
      <c r="AY481" s="81"/>
      <c r="AZ481" s="77"/>
      <c r="BA481" s="81"/>
      <c r="BB481" s="77"/>
      <c r="BC481" s="81"/>
      <c r="BD481" s="77"/>
      <c r="BE481" s="81"/>
      <c r="BF481" s="77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77"/>
      <c r="BU481" s="77"/>
      <c r="BV481" s="77"/>
      <c r="BW481" s="77"/>
      <c r="BX481" s="77"/>
      <c r="BY481" s="77"/>
      <c r="BZ481" s="77"/>
      <c r="CA481" s="77"/>
      <c r="CB481" s="77"/>
      <c r="CC481" s="77"/>
      <c r="CD481" s="77"/>
      <c r="CE481" s="77"/>
      <c r="CF481" s="77"/>
      <c r="CG481" s="77"/>
      <c r="CH481" s="77"/>
      <c r="CI481" s="77"/>
      <c r="CJ481" s="77"/>
      <c r="CK481" s="77"/>
      <c r="CL481" s="77"/>
      <c r="CM481" s="77"/>
      <c r="CN481" s="77"/>
      <c r="CO481" s="77"/>
      <c r="CP481" s="77"/>
      <c r="CQ481" s="77"/>
      <c r="CR481" s="77"/>
      <c r="CS481" s="77"/>
      <c r="CT481" s="77"/>
      <c r="CU481" s="77"/>
      <c r="CV481" s="77"/>
      <c r="CW481" s="77"/>
    </row>
    <row r="482" spans="1:101" ht="16.5" x14ac:dyDescent="0.45">
      <c r="A482" s="76"/>
      <c r="B482" s="77"/>
      <c r="C482" s="77"/>
      <c r="D482" s="78"/>
      <c r="E482" s="80"/>
      <c r="F482" s="80"/>
      <c r="G482" s="81"/>
      <c r="H482" s="81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82"/>
      <c r="Z482" s="82"/>
      <c r="AA482" s="82"/>
      <c r="AB482" s="80"/>
      <c r="AC482" s="77"/>
      <c r="AD482" s="77"/>
      <c r="AE482" s="77"/>
      <c r="AF482" s="77"/>
      <c r="AG482" s="77"/>
      <c r="AH482" s="77"/>
      <c r="AI482" s="92"/>
      <c r="AJ482" s="77"/>
      <c r="AK482" s="77"/>
      <c r="AL482" s="77"/>
      <c r="AM482" s="77"/>
      <c r="AN482" s="77"/>
      <c r="AO482" s="77"/>
      <c r="AP482" s="76"/>
      <c r="AQ482" s="81"/>
      <c r="AR482" s="76"/>
      <c r="AS482" s="81"/>
      <c r="AT482" s="76"/>
      <c r="AU482" s="81"/>
      <c r="AV482" s="77"/>
      <c r="AW482" s="81"/>
      <c r="AX482" s="77"/>
      <c r="AY482" s="81"/>
      <c r="AZ482" s="77"/>
      <c r="BA482" s="81"/>
      <c r="BB482" s="77"/>
      <c r="BC482" s="81"/>
      <c r="BD482" s="77"/>
      <c r="BE482" s="81"/>
      <c r="BF482" s="77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77"/>
      <c r="BU482" s="77"/>
      <c r="BV482" s="77"/>
      <c r="BW482" s="77"/>
      <c r="BX482" s="77"/>
      <c r="BY482" s="77"/>
      <c r="BZ482" s="77"/>
      <c r="CA482" s="77"/>
      <c r="CB482" s="77"/>
      <c r="CC482" s="77"/>
      <c r="CD482" s="77"/>
      <c r="CE482" s="77"/>
      <c r="CF482" s="77"/>
      <c r="CG482" s="77"/>
      <c r="CH482" s="77"/>
      <c r="CI482" s="77"/>
      <c r="CJ482" s="77"/>
      <c r="CK482" s="77"/>
      <c r="CL482" s="77"/>
      <c r="CM482" s="77"/>
      <c r="CN482" s="77"/>
      <c r="CO482" s="77"/>
      <c r="CP482" s="77"/>
      <c r="CQ482" s="77"/>
      <c r="CR482" s="77"/>
      <c r="CS482" s="77"/>
      <c r="CT482" s="77"/>
      <c r="CU482" s="77"/>
      <c r="CV482" s="77"/>
      <c r="CW482" s="77"/>
    </row>
    <row r="483" spans="1:101" ht="16.5" x14ac:dyDescent="0.45">
      <c r="A483" s="76"/>
      <c r="B483" s="77"/>
      <c r="C483" s="77"/>
      <c r="D483" s="78"/>
      <c r="E483" s="80"/>
      <c r="F483" s="80"/>
      <c r="G483" s="81"/>
      <c r="H483" s="81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82"/>
      <c r="Z483" s="82"/>
      <c r="AA483" s="82"/>
      <c r="AB483" s="80"/>
      <c r="AC483" s="77"/>
      <c r="AD483" s="77"/>
      <c r="AE483" s="77"/>
      <c r="AF483" s="77"/>
      <c r="AG483" s="77"/>
      <c r="AH483" s="77"/>
      <c r="AI483" s="92"/>
      <c r="AJ483" s="77"/>
      <c r="AK483" s="77"/>
      <c r="AL483" s="77"/>
      <c r="AM483" s="77"/>
      <c r="AN483" s="77"/>
      <c r="AO483" s="77"/>
      <c r="AP483" s="76"/>
      <c r="AQ483" s="81"/>
      <c r="AR483" s="76"/>
      <c r="AS483" s="81"/>
      <c r="AT483" s="76"/>
      <c r="AU483" s="81"/>
      <c r="AV483" s="77"/>
      <c r="AW483" s="81"/>
      <c r="AX483" s="77"/>
      <c r="AY483" s="81"/>
      <c r="AZ483" s="77"/>
      <c r="BA483" s="81"/>
      <c r="BB483" s="77"/>
      <c r="BC483" s="81"/>
      <c r="BD483" s="77"/>
      <c r="BE483" s="81"/>
      <c r="BF483" s="77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77"/>
      <c r="BU483" s="77"/>
      <c r="BV483" s="77"/>
      <c r="BW483" s="77"/>
      <c r="BX483" s="77"/>
      <c r="BY483" s="77"/>
      <c r="BZ483" s="77"/>
      <c r="CA483" s="77"/>
      <c r="CB483" s="77"/>
      <c r="CC483" s="77"/>
      <c r="CD483" s="77"/>
      <c r="CE483" s="77"/>
      <c r="CF483" s="77"/>
      <c r="CG483" s="77"/>
      <c r="CH483" s="77"/>
      <c r="CI483" s="77"/>
      <c r="CJ483" s="77"/>
      <c r="CK483" s="77"/>
      <c r="CL483" s="77"/>
      <c r="CM483" s="77"/>
      <c r="CN483" s="77"/>
      <c r="CO483" s="77"/>
      <c r="CP483" s="77"/>
      <c r="CQ483" s="77"/>
      <c r="CR483" s="77"/>
      <c r="CS483" s="77"/>
      <c r="CT483" s="77"/>
      <c r="CU483" s="77"/>
      <c r="CV483" s="77"/>
      <c r="CW483" s="77"/>
    </row>
    <row r="484" spans="1:101" ht="16.5" x14ac:dyDescent="0.45">
      <c r="A484" s="76"/>
      <c r="B484" s="77"/>
      <c r="C484" s="77"/>
      <c r="D484" s="78"/>
      <c r="E484" s="80"/>
      <c r="F484" s="80"/>
      <c r="G484" s="81"/>
      <c r="H484" s="81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82"/>
      <c r="Z484" s="82"/>
      <c r="AA484" s="82"/>
      <c r="AB484" s="80"/>
      <c r="AC484" s="77"/>
      <c r="AD484" s="77"/>
      <c r="AE484" s="77"/>
      <c r="AF484" s="77"/>
      <c r="AG484" s="77"/>
      <c r="AH484" s="77"/>
      <c r="AI484" s="92"/>
      <c r="AJ484" s="77"/>
      <c r="AK484" s="77"/>
      <c r="AL484" s="77"/>
      <c r="AM484" s="77"/>
      <c r="AN484" s="77"/>
      <c r="AO484" s="77"/>
      <c r="AP484" s="76"/>
      <c r="AQ484" s="81"/>
      <c r="AR484" s="76"/>
      <c r="AS484" s="81"/>
      <c r="AT484" s="76"/>
      <c r="AU484" s="81"/>
      <c r="AV484" s="77"/>
      <c r="AW484" s="81"/>
      <c r="AX484" s="77"/>
      <c r="AY484" s="81"/>
      <c r="AZ484" s="77"/>
      <c r="BA484" s="81"/>
      <c r="BB484" s="77"/>
      <c r="BC484" s="81"/>
      <c r="BD484" s="77"/>
      <c r="BE484" s="81"/>
      <c r="BF484" s="77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77"/>
      <c r="BU484" s="77"/>
      <c r="BV484" s="77"/>
      <c r="BW484" s="77"/>
      <c r="BX484" s="77"/>
      <c r="BY484" s="77"/>
      <c r="BZ484" s="77"/>
      <c r="CA484" s="77"/>
      <c r="CB484" s="77"/>
      <c r="CC484" s="77"/>
      <c r="CD484" s="77"/>
      <c r="CE484" s="77"/>
      <c r="CF484" s="77"/>
      <c r="CG484" s="77"/>
      <c r="CH484" s="77"/>
      <c r="CI484" s="77"/>
      <c r="CJ484" s="77"/>
      <c r="CK484" s="77"/>
      <c r="CL484" s="77"/>
      <c r="CM484" s="77"/>
      <c r="CN484" s="77"/>
      <c r="CO484" s="77"/>
      <c r="CP484" s="77"/>
      <c r="CQ484" s="77"/>
      <c r="CR484" s="77"/>
      <c r="CS484" s="77"/>
      <c r="CT484" s="77"/>
      <c r="CU484" s="77"/>
      <c r="CV484" s="77"/>
      <c r="CW484" s="77"/>
    </row>
    <row r="485" spans="1:101" ht="16.5" x14ac:dyDescent="0.45">
      <c r="A485" s="76"/>
      <c r="B485" s="77"/>
      <c r="C485" s="77"/>
      <c r="D485" s="78"/>
      <c r="E485" s="80"/>
      <c r="F485" s="80"/>
      <c r="G485" s="81"/>
      <c r="H485" s="81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82"/>
      <c r="Z485" s="82"/>
      <c r="AA485" s="82"/>
      <c r="AB485" s="80"/>
      <c r="AC485" s="77"/>
      <c r="AD485" s="77"/>
      <c r="AE485" s="77"/>
      <c r="AF485" s="77"/>
      <c r="AG485" s="77"/>
      <c r="AH485" s="77"/>
      <c r="AI485" s="92"/>
      <c r="AJ485" s="77"/>
      <c r="AK485" s="77"/>
      <c r="AL485" s="77"/>
      <c r="AM485" s="77"/>
      <c r="AN485" s="77"/>
      <c r="AO485" s="77"/>
      <c r="AP485" s="76"/>
      <c r="AQ485" s="81"/>
      <c r="AR485" s="76"/>
      <c r="AS485" s="81"/>
      <c r="AT485" s="76"/>
      <c r="AU485" s="81"/>
      <c r="AV485" s="77"/>
      <c r="AW485" s="81"/>
      <c r="AX485" s="77"/>
      <c r="AY485" s="81"/>
      <c r="AZ485" s="77"/>
      <c r="BA485" s="81"/>
      <c r="BB485" s="77"/>
      <c r="BC485" s="81"/>
      <c r="BD485" s="77"/>
      <c r="BE485" s="81"/>
      <c r="BF485" s="77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77"/>
      <c r="BU485" s="77"/>
      <c r="BV485" s="77"/>
      <c r="BW485" s="77"/>
      <c r="BX485" s="77"/>
      <c r="BY485" s="77"/>
      <c r="BZ485" s="77"/>
      <c r="CA485" s="77"/>
      <c r="CB485" s="77"/>
      <c r="CC485" s="77"/>
      <c r="CD485" s="77"/>
      <c r="CE485" s="77"/>
      <c r="CF485" s="77"/>
      <c r="CG485" s="77"/>
      <c r="CH485" s="77"/>
      <c r="CI485" s="77"/>
      <c r="CJ485" s="77"/>
      <c r="CK485" s="77"/>
      <c r="CL485" s="77"/>
      <c r="CM485" s="77"/>
      <c r="CN485" s="77"/>
      <c r="CO485" s="77"/>
      <c r="CP485" s="77"/>
      <c r="CQ485" s="77"/>
      <c r="CR485" s="77"/>
      <c r="CS485" s="77"/>
      <c r="CT485" s="77"/>
      <c r="CU485" s="77"/>
      <c r="CV485" s="77"/>
      <c r="CW485" s="77"/>
    </row>
    <row r="486" spans="1:101" ht="16.5" x14ac:dyDescent="0.45">
      <c r="A486" s="76"/>
      <c r="B486" s="77"/>
      <c r="C486" s="77"/>
      <c r="D486" s="78"/>
      <c r="E486" s="80"/>
      <c r="F486" s="80"/>
      <c r="G486" s="81"/>
      <c r="H486" s="81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82"/>
      <c r="Z486" s="82"/>
      <c r="AA486" s="82"/>
      <c r="AB486" s="80"/>
      <c r="AC486" s="77"/>
      <c r="AD486" s="77"/>
      <c r="AE486" s="77"/>
      <c r="AF486" s="77"/>
      <c r="AG486" s="77"/>
      <c r="AH486" s="77"/>
      <c r="AI486" s="92"/>
      <c r="AJ486" s="77"/>
      <c r="AK486" s="77"/>
      <c r="AL486" s="77"/>
      <c r="AM486" s="77"/>
      <c r="AN486" s="77"/>
      <c r="AO486" s="77"/>
      <c r="AP486" s="76"/>
      <c r="AQ486" s="81"/>
      <c r="AR486" s="76"/>
      <c r="AS486" s="81"/>
      <c r="AT486" s="76"/>
      <c r="AU486" s="81"/>
      <c r="AV486" s="77"/>
      <c r="AW486" s="81"/>
      <c r="AX486" s="77"/>
      <c r="AY486" s="81"/>
      <c r="AZ486" s="77"/>
      <c r="BA486" s="81"/>
      <c r="BB486" s="77"/>
      <c r="BC486" s="81"/>
      <c r="BD486" s="77"/>
      <c r="BE486" s="81"/>
      <c r="BF486" s="77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77"/>
      <c r="BU486" s="77"/>
      <c r="BV486" s="77"/>
      <c r="BW486" s="77"/>
      <c r="BX486" s="77"/>
      <c r="BY486" s="77"/>
      <c r="BZ486" s="77"/>
      <c r="CA486" s="77"/>
      <c r="CB486" s="77"/>
      <c r="CC486" s="77"/>
      <c r="CD486" s="77"/>
      <c r="CE486" s="77"/>
      <c r="CF486" s="77"/>
      <c r="CG486" s="77"/>
      <c r="CH486" s="77"/>
      <c r="CI486" s="77"/>
      <c r="CJ486" s="77"/>
      <c r="CK486" s="77"/>
      <c r="CL486" s="77"/>
      <c r="CM486" s="77"/>
      <c r="CN486" s="77"/>
      <c r="CO486" s="77"/>
      <c r="CP486" s="77"/>
      <c r="CQ486" s="77"/>
      <c r="CR486" s="77"/>
      <c r="CS486" s="77"/>
      <c r="CT486" s="77"/>
      <c r="CU486" s="77"/>
      <c r="CV486" s="77"/>
      <c r="CW486" s="77"/>
    </row>
    <row r="487" spans="1:101" ht="16.5" x14ac:dyDescent="0.45">
      <c r="A487" s="76"/>
      <c r="B487" s="77"/>
      <c r="C487" s="77"/>
      <c r="D487" s="78"/>
      <c r="E487" s="80"/>
      <c r="F487" s="80"/>
      <c r="G487" s="81"/>
      <c r="H487" s="81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82"/>
      <c r="Z487" s="82"/>
      <c r="AA487" s="82"/>
      <c r="AB487" s="80"/>
      <c r="AC487" s="77"/>
      <c r="AD487" s="77"/>
      <c r="AE487" s="77"/>
      <c r="AF487" s="77"/>
      <c r="AG487" s="77"/>
      <c r="AH487" s="77"/>
      <c r="AI487" s="92"/>
      <c r="AJ487" s="77"/>
      <c r="AK487" s="77"/>
      <c r="AL487" s="77"/>
      <c r="AM487" s="77"/>
      <c r="AN487" s="77"/>
      <c r="AO487" s="77"/>
      <c r="AP487" s="76"/>
      <c r="AQ487" s="81"/>
      <c r="AR487" s="76"/>
      <c r="AS487" s="81"/>
      <c r="AT487" s="76"/>
      <c r="AU487" s="81"/>
      <c r="AV487" s="77"/>
      <c r="AW487" s="81"/>
      <c r="AX487" s="77"/>
      <c r="AY487" s="81"/>
      <c r="AZ487" s="77"/>
      <c r="BA487" s="81"/>
      <c r="BB487" s="77"/>
      <c r="BC487" s="81"/>
      <c r="BD487" s="77"/>
      <c r="BE487" s="81"/>
      <c r="BF487" s="77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77"/>
      <c r="BU487" s="77"/>
      <c r="BV487" s="77"/>
      <c r="BW487" s="77"/>
      <c r="BX487" s="77"/>
      <c r="BY487" s="77"/>
      <c r="BZ487" s="77"/>
      <c r="CA487" s="77"/>
      <c r="CB487" s="77"/>
      <c r="CC487" s="77"/>
      <c r="CD487" s="77"/>
      <c r="CE487" s="77"/>
      <c r="CF487" s="77"/>
      <c r="CG487" s="77"/>
      <c r="CH487" s="77"/>
      <c r="CI487" s="77"/>
      <c r="CJ487" s="77"/>
      <c r="CK487" s="77"/>
      <c r="CL487" s="77"/>
      <c r="CM487" s="77"/>
      <c r="CN487" s="77"/>
      <c r="CO487" s="77"/>
      <c r="CP487" s="77"/>
      <c r="CQ487" s="77"/>
      <c r="CR487" s="77"/>
      <c r="CS487" s="77"/>
      <c r="CT487" s="77"/>
      <c r="CU487" s="77"/>
      <c r="CV487" s="77"/>
      <c r="CW487" s="77"/>
    </row>
    <row r="488" spans="1:101" ht="16.5" x14ac:dyDescent="0.45">
      <c r="A488" s="76"/>
      <c r="B488" s="77"/>
      <c r="C488" s="77"/>
      <c r="D488" s="78"/>
      <c r="E488" s="80"/>
      <c r="F488" s="80"/>
      <c r="G488" s="81"/>
      <c r="H488" s="81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82"/>
      <c r="Z488" s="82"/>
      <c r="AA488" s="82"/>
      <c r="AB488" s="80"/>
      <c r="AC488" s="77"/>
      <c r="AD488" s="77"/>
      <c r="AE488" s="77"/>
      <c r="AF488" s="77"/>
      <c r="AG488" s="77"/>
      <c r="AH488" s="77"/>
      <c r="AI488" s="92"/>
      <c r="AJ488" s="77"/>
      <c r="AK488" s="77"/>
      <c r="AL488" s="77"/>
      <c r="AM488" s="77"/>
      <c r="AN488" s="77"/>
      <c r="AO488" s="77"/>
      <c r="AP488" s="76"/>
      <c r="AQ488" s="81"/>
      <c r="AR488" s="76"/>
      <c r="AS488" s="81"/>
      <c r="AT488" s="76"/>
      <c r="AU488" s="81"/>
      <c r="AV488" s="77"/>
      <c r="AW488" s="81"/>
      <c r="AX488" s="77"/>
      <c r="AY488" s="81"/>
      <c r="AZ488" s="77"/>
      <c r="BA488" s="81"/>
      <c r="BB488" s="77"/>
      <c r="BC488" s="81"/>
      <c r="BD488" s="77"/>
      <c r="BE488" s="81"/>
      <c r="BF488" s="77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77"/>
      <c r="BU488" s="77"/>
      <c r="BV488" s="77"/>
      <c r="BW488" s="77"/>
      <c r="BX488" s="77"/>
      <c r="BY488" s="77"/>
      <c r="BZ488" s="77"/>
      <c r="CA488" s="77"/>
      <c r="CB488" s="77"/>
      <c r="CC488" s="77"/>
      <c r="CD488" s="77"/>
      <c r="CE488" s="77"/>
      <c r="CF488" s="77"/>
      <c r="CG488" s="77"/>
      <c r="CH488" s="77"/>
      <c r="CI488" s="77"/>
      <c r="CJ488" s="77"/>
      <c r="CK488" s="77"/>
      <c r="CL488" s="77"/>
      <c r="CM488" s="77"/>
      <c r="CN488" s="77"/>
      <c r="CO488" s="77"/>
      <c r="CP488" s="77"/>
      <c r="CQ488" s="77"/>
      <c r="CR488" s="77"/>
      <c r="CS488" s="77"/>
      <c r="CT488" s="77"/>
      <c r="CU488" s="77"/>
      <c r="CV488" s="77"/>
      <c r="CW488" s="77"/>
    </row>
    <row r="489" spans="1:101" ht="16.5" x14ac:dyDescent="0.45">
      <c r="A489" s="76"/>
      <c r="B489" s="77"/>
      <c r="C489" s="77"/>
      <c r="D489" s="78"/>
      <c r="E489" s="80"/>
      <c r="F489" s="80"/>
      <c r="G489" s="81"/>
      <c r="H489" s="81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82"/>
      <c r="Z489" s="82"/>
      <c r="AA489" s="82"/>
      <c r="AB489" s="80"/>
      <c r="AC489" s="77"/>
      <c r="AD489" s="77"/>
      <c r="AE489" s="77"/>
      <c r="AF489" s="77"/>
      <c r="AG489" s="77"/>
      <c r="AH489" s="77"/>
      <c r="AI489" s="92"/>
      <c r="AJ489" s="77"/>
      <c r="AK489" s="77"/>
      <c r="AL489" s="77"/>
      <c r="AM489" s="77"/>
      <c r="AN489" s="77"/>
      <c r="AO489" s="77"/>
      <c r="AP489" s="76"/>
      <c r="AQ489" s="81"/>
      <c r="AR489" s="76"/>
      <c r="AS489" s="81"/>
      <c r="AT489" s="76"/>
      <c r="AU489" s="81"/>
      <c r="AV489" s="77"/>
      <c r="AW489" s="81"/>
      <c r="AX489" s="77"/>
      <c r="AY489" s="81"/>
      <c r="AZ489" s="77"/>
      <c r="BA489" s="81"/>
      <c r="BB489" s="77"/>
      <c r="BC489" s="81"/>
      <c r="BD489" s="77"/>
      <c r="BE489" s="81"/>
      <c r="BF489" s="77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77"/>
      <c r="BU489" s="77"/>
      <c r="BV489" s="77"/>
      <c r="BW489" s="77"/>
      <c r="BX489" s="77"/>
      <c r="BY489" s="77"/>
      <c r="BZ489" s="77"/>
      <c r="CA489" s="77"/>
      <c r="CB489" s="77"/>
      <c r="CC489" s="77"/>
      <c r="CD489" s="77"/>
      <c r="CE489" s="77"/>
      <c r="CF489" s="77"/>
      <c r="CG489" s="77"/>
      <c r="CH489" s="77"/>
      <c r="CI489" s="77"/>
      <c r="CJ489" s="77"/>
      <c r="CK489" s="77"/>
      <c r="CL489" s="77"/>
      <c r="CM489" s="77"/>
      <c r="CN489" s="77"/>
      <c r="CO489" s="77"/>
      <c r="CP489" s="77"/>
      <c r="CQ489" s="77"/>
      <c r="CR489" s="77"/>
      <c r="CS489" s="77"/>
      <c r="CT489" s="77"/>
      <c r="CU489" s="77"/>
      <c r="CV489" s="77"/>
      <c r="CW489" s="77"/>
    </row>
    <row r="490" spans="1:101" ht="16.5" x14ac:dyDescent="0.45">
      <c r="A490" s="76"/>
      <c r="B490" s="77"/>
      <c r="C490" s="77"/>
      <c r="D490" s="78"/>
      <c r="E490" s="80"/>
      <c r="F490" s="80"/>
      <c r="G490" s="81"/>
      <c r="H490" s="81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82"/>
      <c r="Z490" s="82"/>
      <c r="AA490" s="82"/>
      <c r="AB490" s="80"/>
      <c r="AC490" s="77"/>
      <c r="AD490" s="77"/>
      <c r="AE490" s="77"/>
      <c r="AF490" s="77"/>
      <c r="AG490" s="77"/>
      <c r="AH490" s="77"/>
      <c r="AI490" s="92"/>
      <c r="AJ490" s="77"/>
      <c r="AK490" s="77"/>
      <c r="AL490" s="77"/>
      <c r="AM490" s="77"/>
      <c r="AN490" s="77"/>
      <c r="AO490" s="77"/>
      <c r="AP490" s="76"/>
      <c r="AQ490" s="81"/>
      <c r="AR490" s="76"/>
      <c r="AS490" s="81"/>
      <c r="AT490" s="76"/>
      <c r="AU490" s="81"/>
      <c r="AV490" s="77"/>
      <c r="AW490" s="81"/>
      <c r="AX490" s="77"/>
      <c r="AY490" s="81"/>
      <c r="AZ490" s="77"/>
      <c r="BA490" s="81"/>
      <c r="BB490" s="77"/>
      <c r="BC490" s="81"/>
      <c r="BD490" s="77"/>
      <c r="BE490" s="81"/>
      <c r="BF490" s="77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77"/>
      <c r="BU490" s="77"/>
      <c r="BV490" s="77"/>
      <c r="BW490" s="77"/>
      <c r="BX490" s="77"/>
      <c r="BY490" s="77"/>
      <c r="BZ490" s="77"/>
      <c r="CA490" s="77"/>
      <c r="CB490" s="77"/>
      <c r="CC490" s="77"/>
      <c r="CD490" s="77"/>
      <c r="CE490" s="77"/>
      <c r="CF490" s="77"/>
      <c r="CG490" s="77"/>
      <c r="CH490" s="77"/>
      <c r="CI490" s="77"/>
      <c r="CJ490" s="77"/>
      <c r="CK490" s="77"/>
      <c r="CL490" s="77"/>
      <c r="CM490" s="77"/>
      <c r="CN490" s="77"/>
      <c r="CO490" s="77"/>
      <c r="CP490" s="77"/>
      <c r="CQ490" s="77"/>
      <c r="CR490" s="77"/>
      <c r="CS490" s="77"/>
      <c r="CT490" s="77"/>
      <c r="CU490" s="77"/>
      <c r="CV490" s="77"/>
      <c r="CW490" s="77"/>
    </row>
    <row r="491" spans="1:101" ht="16.5" x14ac:dyDescent="0.45">
      <c r="A491" s="76"/>
      <c r="B491" s="77"/>
      <c r="C491" s="77"/>
      <c r="D491" s="78"/>
      <c r="E491" s="80"/>
      <c r="F491" s="80"/>
      <c r="G491" s="81"/>
      <c r="H491" s="81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82"/>
      <c r="Z491" s="82"/>
      <c r="AA491" s="82"/>
      <c r="AB491" s="80"/>
      <c r="AC491" s="77"/>
      <c r="AD491" s="77"/>
      <c r="AE491" s="77"/>
      <c r="AF491" s="77"/>
      <c r="AG491" s="77"/>
      <c r="AH491" s="77"/>
      <c r="AI491" s="92"/>
      <c r="AJ491" s="77"/>
      <c r="AK491" s="77"/>
      <c r="AL491" s="77"/>
      <c r="AM491" s="77"/>
      <c r="AN491" s="77"/>
      <c r="AO491" s="77"/>
      <c r="AP491" s="76"/>
      <c r="AQ491" s="81"/>
      <c r="AR491" s="76"/>
      <c r="AS491" s="81"/>
      <c r="AT491" s="76"/>
      <c r="AU491" s="81"/>
      <c r="AV491" s="77"/>
      <c r="AW491" s="81"/>
      <c r="AX491" s="77"/>
      <c r="AY491" s="81"/>
      <c r="AZ491" s="77"/>
      <c r="BA491" s="81"/>
      <c r="BB491" s="77"/>
      <c r="BC491" s="81"/>
      <c r="BD491" s="77"/>
      <c r="BE491" s="81"/>
      <c r="BF491" s="77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77"/>
      <c r="BU491" s="77"/>
      <c r="BV491" s="77"/>
      <c r="BW491" s="77"/>
      <c r="BX491" s="77"/>
      <c r="BY491" s="77"/>
      <c r="BZ491" s="77"/>
      <c r="CA491" s="77"/>
      <c r="CB491" s="77"/>
      <c r="CC491" s="77"/>
      <c r="CD491" s="77"/>
      <c r="CE491" s="77"/>
      <c r="CF491" s="77"/>
      <c r="CG491" s="77"/>
      <c r="CH491" s="77"/>
      <c r="CI491" s="77"/>
      <c r="CJ491" s="77"/>
      <c r="CK491" s="77"/>
      <c r="CL491" s="77"/>
      <c r="CM491" s="77"/>
      <c r="CN491" s="77"/>
      <c r="CO491" s="77"/>
      <c r="CP491" s="77"/>
      <c r="CQ491" s="77"/>
      <c r="CR491" s="77"/>
      <c r="CS491" s="77"/>
      <c r="CT491" s="77"/>
      <c r="CU491" s="77"/>
      <c r="CV491" s="77"/>
      <c r="CW491" s="77"/>
    </row>
    <row r="492" spans="1:101" ht="16.5" x14ac:dyDescent="0.45">
      <c r="A492" s="76"/>
      <c r="B492" s="77"/>
      <c r="C492" s="77"/>
      <c r="D492" s="78"/>
      <c r="E492" s="80"/>
      <c r="F492" s="80"/>
      <c r="G492" s="81"/>
      <c r="H492" s="81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82"/>
      <c r="Z492" s="82"/>
      <c r="AA492" s="82"/>
      <c r="AB492" s="80"/>
      <c r="AC492" s="77"/>
      <c r="AD492" s="77"/>
      <c r="AE492" s="77"/>
      <c r="AF492" s="77"/>
      <c r="AG492" s="77"/>
      <c r="AH492" s="77"/>
      <c r="AI492" s="92"/>
      <c r="AJ492" s="77"/>
      <c r="AK492" s="77"/>
      <c r="AL492" s="77"/>
      <c r="AM492" s="77"/>
      <c r="AN492" s="77"/>
      <c r="AO492" s="77"/>
      <c r="AP492" s="76"/>
      <c r="AQ492" s="81"/>
      <c r="AR492" s="76"/>
      <c r="AS492" s="81"/>
      <c r="AT492" s="76"/>
      <c r="AU492" s="81"/>
      <c r="AV492" s="77"/>
      <c r="AW492" s="81"/>
      <c r="AX492" s="77"/>
      <c r="AY492" s="81"/>
      <c r="AZ492" s="77"/>
      <c r="BA492" s="81"/>
      <c r="BB492" s="77"/>
      <c r="BC492" s="81"/>
      <c r="BD492" s="77"/>
      <c r="BE492" s="81"/>
      <c r="BF492" s="77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77"/>
      <c r="BU492" s="77"/>
      <c r="BV492" s="77"/>
      <c r="BW492" s="77"/>
      <c r="BX492" s="77"/>
      <c r="BY492" s="77"/>
      <c r="BZ492" s="77"/>
      <c r="CA492" s="77"/>
      <c r="CB492" s="77"/>
      <c r="CC492" s="77"/>
      <c r="CD492" s="77"/>
      <c r="CE492" s="77"/>
      <c r="CF492" s="77"/>
      <c r="CG492" s="77"/>
      <c r="CH492" s="77"/>
      <c r="CI492" s="77"/>
      <c r="CJ492" s="77"/>
      <c r="CK492" s="77"/>
      <c r="CL492" s="77"/>
      <c r="CM492" s="77"/>
      <c r="CN492" s="77"/>
      <c r="CO492" s="77"/>
      <c r="CP492" s="77"/>
      <c r="CQ492" s="77"/>
      <c r="CR492" s="77"/>
      <c r="CS492" s="77"/>
      <c r="CT492" s="77"/>
      <c r="CU492" s="77"/>
      <c r="CV492" s="77"/>
      <c r="CW492" s="77"/>
    </row>
    <row r="493" spans="1:101" ht="16.5" x14ac:dyDescent="0.45">
      <c r="A493" s="76"/>
      <c r="B493" s="77"/>
      <c r="C493" s="77"/>
      <c r="D493" s="78"/>
      <c r="E493" s="80"/>
      <c r="F493" s="80"/>
      <c r="G493" s="81"/>
      <c r="H493" s="81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82"/>
      <c r="Z493" s="82"/>
      <c r="AA493" s="82"/>
      <c r="AB493" s="80"/>
      <c r="AC493" s="77"/>
      <c r="AD493" s="77"/>
      <c r="AE493" s="77"/>
      <c r="AF493" s="77"/>
      <c r="AG493" s="77"/>
      <c r="AH493" s="77"/>
      <c r="AI493" s="92"/>
      <c r="AJ493" s="77"/>
      <c r="AK493" s="77"/>
      <c r="AL493" s="77"/>
      <c r="AM493" s="77"/>
      <c r="AN493" s="77"/>
      <c r="AO493" s="77"/>
      <c r="AP493" s="76"/>
      <c r="AQ493" s="81"/>
      <c r="AR493" s="76"/>
      <c r="AS493" s="81"/>
      <c r="AT493" s="76"/>
      <c r="AU493" s="81"/>
      <c r="AV493" s="77"/>
      <c r="AW493" s="81"/>
      <c r="AX493" s="77"/>
      <c r="AY493" s="81"/>
      <c r="AZ493" s="77"/>
      <c r="BA493" s="81"/>
      <c r="BB493" s="77"/>
      <c r="BC493" s="81"/>
      <c r="BD493" s="77"/>
      <c r="BE493" s="81"/>
      <c r="BF493" s="77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77"/>
      <c r="BU493" s="77"/>
      <c r="BV493" s="77"/>
      <c r="BW493" s="77"/>
      <c r="BX493" s="77"/>
      <c r="BY493" s="77"/>
      <c r="BZ493" s="77"/>
      <c r="CA493" s="77"/>
      <c r="CB493" s="77"/>
      <c r="CC493" s="77"/>
      <c r="CD493" s="77"/>
      <c r="CE493" s="77"/>
      <c r="CF493" s="77"/>
      <c r="CG493" s="77"/>
      <c r="CH493" s="77"/>
      <c r="CI493" s="77"/>
      <c r="CJ493" s="77"/>
      <c r="CK493" s="77"/>
      <c r="CL493" s="77"/>
      <c r="CM493" s="77"/>
      <c r="CN493" s="77"/>
      <c r="CO493" s="77"/>
      <c r="CP493" s="77"/>
      <c r="CQ493" s="77"/>
      <c r="CR493" s="77"/>
      <c r="CS493" s="77"/>
      <c r="CT493" s="77"/>
      <c r="CU493" s="77"/>
      <c r="CV493" s="77"/>
      <c r="CW493" s="77"/>
    </row>
    <row r="494" spans="1:101" ht="16.5" x14ac:dyDescent="0.45">
      <c r="A494" s="76"/>
      <c r="B494" s="77"/>
      <c r="C494" s="77"/>
      <c r="D494" s="78"/>
      <c r="E494" s="80"/>
      <c r="F494" s="80"/>
      <c r="G494" s="81"/>
      <c r="H494" s="81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82"/>
      <c r="Z494" s="82"/>
      <c r="AA494" s="82"/>
      <c r="AB494" s="80"/>
      <c r="AC494" s="77"/>
      <c r="AD494" s="77"/>
      <c r="AE494" s="77"/>
      <c r="AF494" s="77"/>
      <c r="AG494" s="77"/>
      <c r="AH494" s="77"/>
      <c r="AI494" s="92"/>
      <c r="AJ494" s="77"/>
      <c r="AK494" s="77"/>
      <c r="AL494" s="77"/>
      <c r="AM494" s="77"/>
      <c r="AN494" s="77"/>
      <c r="AO494" s="77"/>
      <c r="AP494" s="76"/>
      <c r="AQ494" s="81"/>
      <c r="AR494" s="76"/>
      <c r="AS494" s="81"/>
      <c r="AT494" s="76"/>
      <c r="AU494" s="81"/>
      <c r="AV494" s="77"/>
      <c r="AW494" s="81"/>
      <c r="AX494" s="77"/>
      <c r="AY494" s="81"/>
      <c r="AZ494" s="77"/>
      <c r="BA494" s="81"/>
      <c r="BB494" s="77"/>
      <c r="BC494" s="81"/>
      <c r="BD494" s="77"/>
      <c r="BE494" s="81"/>
      <c r="BF494" s="77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77"/>
      <c r="BU494" s="77"/>
      <c r="BV494" s="77"/>
      <c r="BW494" s="77"/>
      <c r="BX494" s="77"/>
      <c r="BY494" s="77"/>
      <c r="BZ494" s="77"/>
      <c r="CA494" s="77"/>
      <c r="CB494" s="77"/>
      <c r="CC494" s="77"/>
      <c r="CD494" s="77"/>
      <c r="CE494" s="77"/>
      <c r="CF494" s="77"/>
      <c r="CG494" s="77"/>
      <c r="CH494" s="77"/>
      <c r="CI494" s="77"/>
      <c r="CJ494" s="77"/>
      <c r="CK494" s="77"/>
      <c r="CL494" s="77"/>
      <c r="CM494" s="77"/>
      <c r="CN494" s="77"/>
      <c r="CO494" s="77"/>
      <c r="CP494" s="77"/>
      <c r="CQ494" s="77"/>
      <c r="CR494" s="77"/>
      <c r="CS494" s="77"/>
      <c r="CT494" s="77"/>
      <c r="CU494" s="77"/>
      <c r="CV494" s="77"/>
      <c r="CW494" s="77"/>
    </row>
    <row r="495" spans="1:101" ht="16.5" x14ac:dyDescent="0.45">
      <c r="A495" s="76"/>
      <c r="B495" s="77"/>
      <c r="C495" s="77"/>
      <c r="D495" s="78"/>
      <c r="E495" s="80"/>
      <c r="F495" s="80"/>
      <c r="G495" s="81"/>
      <c r="H495" s="81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82"/>
      <c r="Z495" s="82"/>
      <c r="AA495" s="82"/>
      <c r="AB495" s="80"/>
      <c r="AC495" s="77"/>
      <c r="AD495" s="77"/>
      <c r="AE495" s="77"/>
      <c r="AF495" s="77"/>
      <c r="AG495" s="77"/>
      <c r="AH495" s="77"/>
      <c r="AI495" s="92"/>
      <c r="AJ495" s="77"/>
      <c r="AK495" s="77"/>
      <c r="AL495" s="77"/>
      <c r="AM495" s="77"/>
      <c r="AN495" s="77"/>
      <c r="AO495" s="77"/>
      <c r="AP495" s="76"/>
      <c r="AQ495" s="81"/>
      <c r="AR495" s="76"/>
      <c r="AS495" s="81"/>
      <c r="AT495" s="76"/>
      <c r="AU495" s="81"/>
      <c r="AV495" s="77"/>
      <c r="AW495" s="81"/>
      <c r="AX495" s="77"/>
      <c r="AY495" s="81"/>
      <c r="AZ495" s="77"/>
      <c r="BA495" s="81"/>
      <c r="BB495" s="77"/>
      <c r="BC495" s="81"/>
      <c r="BD495" s="77"/>
      <c r="BE495" s="81"/>
      <c r="BF495" s="77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77"/>
      <c r="BU495" s="77"/>
      <c r="BV495" s="77"/>
      <c r="BW495" s="77"/>
      <c r="BX495" s="77"/>
      <c r="BY495" s="77"/>
      <c r="BZ495" s="77"/>
      <c r="CA495" s="77"/>
      <c r="CB495" s="77"/>
      <c r="CC495" s="77"/>
      <c r="CD495" s="77"/>
      <c r="CE495" s="77"/>
      <c r="CF495" s="77"/>
      <c r="CG495" s="77"/>
      <c r="CH495" s="77"/>
      <c r="CI495" s="77"/>
      <c r="CJ495" s="77"/>
      <c r="CK495" s="77"/>
      <c r="CL495" s="77"/>
      <c r="CM495" s="77"/>
      <c r="CN495" s="77"/>
      <c r="CO495" s="77"/>
      <c r="CP495" s="77"/>
      <c r="CQ495" s="77"/>
      <c r="CR495" s="77"/>
      <c r="CS495" s="77"/>
      <c r="CT495" s="77"/>
      <c r="CU495" s="77"/>
      <c r="CV495" s="77"/>
      <c r="CW495" s="77"/>
    </row>
    <row r="496" spans="1:101" ht="16.5" x14ac:dyDescent="0.45">
      <c r="A496" s="76"/>
      <c r="B496" s="77"/>
      <c r="C496" s="77"/>
      <c r="D496" s="78"/>
      <c r="E496" s="80"/>
      <c r="F496" s="80"/>
      <c r="G496" s="81"/>
      <c r="H496" s="81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82"/>
      <c r="Z496" s="82"/>
      <c r="AA496" s="82"/>
      <c r="AB496" s="80"/>
      <c r="AC496" s="77"/>
      <c r="AD496" s="77"/>
      <c r="AE496" s="77"/>
      <c r="AF496" s="77"/>
      <c r="AG496" s="77"/>
      <c r="AH496" s="77"/>
      <c r="AI496" s="92"/>
      <c r="AJ496" s="77"/>
      <c r="AK496" s="77"/>
      <c r="AL496" s="77"/>
      <c r="AM496" s="77"/>
      <c r="AN496" s="77"/>
      <c r="AO496" s="77"/>
      <c r="AP496" s="76"/>
      <c r="AQ496" s="81"/>
      <c r="AR496" s="76"/>
      <c r="AS496" s="81"/>
      <c r="AT496" s="76"/>
      <c r="AU496" s="81"/>
      <c r="AV496" s="77"/>
      <c r="AW496" s="81"/>
      <c r="AX496" s="77"/>
      <c r="AY496" s="81"/>
      <c r="AZ496" s="77"/>
      <c r="BA496" s="81"/>
      <c r="BB496" s="77"/>
      <c r="BC496" s="81"/>
      <c r="BD496" s="77"/>
      <c r="BE496" s="81"/>
      <c r="BF496" s="77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77"/>
      <c r="BU496" s="77"/>
      <c r="BV496" s="77"/>
      <c r="BW496" s="77"/>
      <c r="BX496" s="77"/>
      <c r="BY496" s="77"/>
      <c r="BZ496" s="77"/>
      <c r="CA496" s="77"/>
      <c r="CB496" s="77"/>
      <c r="CC496" s="77"/>
      <c r="CD496" s="77"/>
      <c r="CE496" s="77"/>
      <c r="CF496" s="77"/>
      <c r="CG496" s="77"/>
      <c r="CH496" s="77"/>
      <c r="CI496" s="77"/>
      <c r="CJ496" s="77"/>
      <c r="CK496" s="77"/>
      <c r="CL496" s="77"/>
      <c r="CM496" s="77"/>
      <c r="CN496" s="77"/>
      <c r="CO496" s="77"/>
      <c r="CP496" s="77"/>
      <c r="CQ496" s="77"/>
      <c r="CR496" s="77"/>
      <c r="CS496" s="77"/>
      <c r="CT496" s="77"/>
      <c r="CU496" s="77"/>
      <c r="CV496" s="77"/>
      <c r="CW496" s="77"/>
    </row>
    <row r="497" spans="1:101" ht="16.5" x14ac:dyDescent="0.45">
      <c r="A497" s="76"/>
      <c r="B497" s="77"/>
      <c r="C497" s="77"/>
      <c r="D497" s="78"/>
      <c r="E497" s="80"/>
      <c r="F497" s="80"/>
      <c r="G497" s="81"/>
      <c r="H497" s="81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82"/>
      <c r="Z497" s="82"/>
      <c r="AA497" s="82"/>
      <c r="AB497" s="80"/>
      <c r="AC497" s="77"/>
      <c r="AD497" s="77"/>
      <c r="AE497" s="77"/>
      <c r="AF497" s="77"/>
      <c r="AG497" s="77"/>
      <c r="AH497" s="77"/>
      <c r="AI497" s="92"/>
      <c r="AJ497" s="77"/>
      <c r="AK497" s="77"/>
      <c r="AL497" s="77"/>
      <c r="AM497" s="77"/>
      <c r="AN497" s="77"/>
      <c r="AO497" s="77"/>
      <c r="AP497" s="76"/>
      <c r="AQ497" s="81"/>
      <c r="AR497" s="76"/>
      <c r="AS497" s="81"/>
      <c r="AT497" s="76"/>
      <c r="AU497" s="81"/>
      <c r="AV497" s="77"/>
      <c r="AW497" s="81"/>
      <c r="AX497" s="77"/>
      <c r="AY497" s="81"/>
      <c r="AZ497" s="77"/>
      <c r="BA497" s="81"/>
      <c r="BB497" s="77"/>
      <c r="BC497" s="81"/>
      <c r="BD497" s="77"/>
      <c r="BE497" s="81"/>
      <c r="BF497" s="77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77"/>
      <c r="BU497" s="77"/>
      <c r="BV497" s="77"/>
      <c r="BW497" s="77"/>
      <c r="BX497" s="77"/>
      <c r="BY497" s="77"/>
      <c r="BZ497" s="77"/>
      <c r="CA497" s="77"/>
      <c r="CB497" s="77"/>
      <c r="CC497" s="77"/>
      <c r="CD497" s="77"/>
      <c r="CE497" s="77"/>
      <c r="CF497" s="77"/>
      <c r="CG497" s="77"/>
      <c r="CH497" s="77"/>
      <c r="CI497" s="77"/>
      <c r="CJ497" s="77"/>
      <c r="CK497" s="77"/>
      <c r="CL497" s="77"/>
      <c r="CM497" s="77"/>
      <c r="CN497" s="77"/>
      <c r="CO497" s="77"/>
      <c r="CP497" s="77"/>
      <c r="CQ497" s="77"/>
      <c r="CR497" s="77"/>
      <c r="CS497" s="77"/>
      <c r="CT497" s="77"/>
      <c r="CU497" s="77"/>
      <c r="CV497" s="77"/>
      <c r="CW497" s="77"/>
    </row>
    <row r="498" spans="1:101" ht="16.5" x14ac:dyDescent="0.45">
      <c r="A498" s="76"/>
      <c r="B498" s="77"/>
      <c r="C498" s="77"/>
      <c r="D498" s="78"/>
      <c r="E498" s="80"/>
      <c r="F498" s="80"/>
      <c r="G498" s="81"/>
      <c r="H498" s="81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82"/>
      <c r="Z498" s="82"/>
      <c r="AA498" s="82"/>
      <c r="AB498" s="80"/>
      <c r="AC498" s="77"/>
      <c r="AD498" s="77"/>
      <c r="AE498" s="77"/>
      <c r="AF498" s="77"/>
      <c r="AG498" s="77"/>
      <c r="AH498" s="77"/>
      <c r="AI498" s="92"/>
      <c r="AJ498" s="77"/>
      <c r="AK498" s="77"/>
      <c r="AL498" s="77"/>
      <c r="AM498" s="77"/>
      <c r="AN498" s="77"/>
      <c r="AO498" s="77"/>
      <c r="AP498" s="76"/>
      <c r="AQ498" s="81"/>
      <c r="AR498" s="76"/>
      <c r="AS498" s="81"/>
      <c r="AT498" s="76"/>
      <c r="AU498" s="81"/>
      <c r="AV498" s="77"/>
      <c r="AW498" s="81"/>
      <c r="AX498" s="77"/>
      <c r="AY498" s="81"/>
      <c r="AZ498" s="77"/>
      <c r="BA498" s="81"/>
      <c r="BB498" s="77"/>
      <c r="BC498" s="81"/>
      <c r="BD498" s="77"/>
      <c r="BE498" s="81"/>
      <c r="BF498" s="77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77"/>
      <c r="BU498" s="77"/>
      <c r="BV498" s="77"/>
      <c r="BW498" s="77"/>
      <c r="BX498" s="77"/>
      <c r="BY498" s="77"/>
      <c r="BZ498" s="77"/>
      <c r="CA498" s="77"/>
      <c r="CB498" s="77"/>
      <c r="CC498" s="77"/>
      <c r="CD498" s="77"/>
      <c r="CE498" s="77"/>
      <c r="CF498" s="77"/>
      <c r="CG498" s="77"/>
      <c r="CH498" s="77"/>
      <c r="CI498" s="77"/>
      <c r="CJ498" s="77"/>
      <c r="CK498" s="77"/>
      <c r="CL498" s="77"/>
      <c r="CM498" s="77"/>
      <c r="CN498" s="77"/>
      <c r="CO498" s="77"/>
      <c r="CP498" s="77"/>
      <c r="CQ498" s="77"/>
      <c r="CR498" s="77"/>
      <c r="CS498" s="77"/>
      <c r="CT498" s="77"/>
      <c r="CU498" s="77"/>
      <c r="CV498" s="77"/>
      <c r="CW498" s="77"/>
    </row>
    <row r="499" spans="1:101" ht="16.5" x14ac:dyDescent="0.45">
      <c r="A499" s="76"/>
      <c r="B499" s="77"/>
      <c r="C499" s="77"/>
      <c r="D499" s="78"/>
      <c r="E499" s="80"/>
      <c r="F499" s="80"/>
      <c r="G499" s="81"/>
      <c r="H499" s="81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82"/>
      <c r="Z499" s="82"/>
      <c r="AA499" s="82"/>
      <c r="AB499" s="80"/>
      <c r="AC499" s="77"/>
      <c r="AD499" s="77"/>
      <c r="AE499" s="77"/>
      <c r="AF499" s="77"/>
      <c r="AG499" s="77"/>
      <c r="AH499" s="77"/>
      <c r="AI499" s="92"/>
      <c r="AJ499" s="77"/>
      <c r="AK499" s="77"/>
      <c r="AL499" s="77"/>
      <c r="AM499" s="77"/>
      <c r="AN499" s="77"/>
      <c r="AO499" s="77"/>
      <c r="AP499" s="76"/>
      <c r="AQ499" s="81"/>
      <c r="AR499" s="76"/>
      <c r="AS499" s="81"/>
      <c r="AT499" s="76"/>
      <c r="AU499" s="81"/>
      <c r="AV499" s="77"/>
      <c r="AW499" s="81"/>
      <c r="AX499" s="77"/>
      <c r="AY499" s="81"/>
      <c r="AZ499" s="77"/>
      <c r="BA499" s="81"/>
      <c r="BB499" s="77"/>
      <c r="BC499" s="81"/>
      <c r="BD499" s="77"/>
      <c r="BE499" s="81"/>
      <c r="BF499" s="77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77"/>
      <c r="BU499" s="77"/>
      <c r="BV499" s="77"/>
      <c r="BW499" s="77"/>
      <c r="BX499" s="77"/>
      <c r="BY499" s="77"/>
      <c r="BZ499" s="77"/>
      <c r="CA499" s="77"/>
      <c r="CB499" s="77"/>
      <c r="CC499" s="77"/>
      <c r="CD499" s="77"/>
      <c r="CE499" s="77"/>
      <c r="CF499" s="77"/>
      <c r="CG499" s="77"/>
      <c r="CH499" s="77"/>
      <c r="CI499" s="77"/>
      <c r="CJ499" s="77"/>
      <c r="CK499" s="77"/>
      <c r="CL499" s="77"/>
      <c r="CM499" s="77"/>
      <c r="CN499" s="77"/>
      <c r="CO499" s="77"/>
      <c r="CP499" s="77"/>
      <c r="CQ499" s="77"/>
      <c r="CR499" s="77"/>
      <c r="CS499" s="77"/>
      <c r="CT499" s="77"/>
      <c r="CU499" s="77"/>
      <c r="CV499" s="77"/>
      <c r="CW499" s="77"/>
    </row>
    <row r="500" spans="1:101" ht="16.5" x14ac:dyDescent="0.45">
      <c r="A500" s="76"/>
      <c r="B500" s="77"/>
      <c r="C500" s="77"/>
      <c r="D500" s="78"/>
      <c r="E500" s="80"/>
      <c r="F500" s="80"/>
      <c r="G500" s="81"/>
      <c r="H500" s="81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82"/>
      <c r="Z500" s="82"/>
      <c r="AA500" s="82"/>
      <c r="AB500" s="80"/>
      <c r="AC500" s="77"/>
      <c r="AD500" s="77"/>
      <c r="AE500" s="77"/>
      <c r="AF500" s="77"/>
      <c r="AG500" s="77"/>
      <c r="AH500" s="77"/>
      <c r="AI500" s="92"/>
      <c r="AJ500" s="77"/>
      <c r="AK500" s="77"/>
      <c r="AL500" s="77"/>
      <c r="AM500" s="77"/>
      <c r="AN500" s="77"/>
      <c r="AO500" s="77"/>
      <c r="AP500" s="76"/>
      <c r="AQ500" s="81"/>
      <c r="AR500" s="76"/>
      <c r="AS500" s="81"/>
      <c r="AT500" s="76"/>
      <c r="AU500" s="81"/>
      <c r="AV500" s="77"/>
      <c r="AW500" s="81"/>
      <c r="AX500" s="77"/>
      <c r="AY500" s="81"/>
      <c r="AZ500" s="77"/>
      <c r="BA500" s="81"/>
      <c r="BB500" s="77"/>
      <c r="BC500" s="81"/>
      <c r="BD500" s="77"/>
      <c r="BE500" s="81"/>
      <c r="BF500" s="77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77"/>
      <c r="BU500" s="77"/>
      <c r="BV500" s="77"/>
      <c r="BW500" s="77"/>
      <c r="BX500" s="77"/>
      <c r="BY500" s="77"/>
      <c r="BZ500" s="77"/>
      <c r="CA500" s="77"/>
      <c r="CB500" s="77"/>
      <c r="CC500" s="77"/>
      <c r="CD500" s="77"/>
      <c r="CE500" s="77"/>
      <c r="CF500" s="77"/>
      <c r="CG500" s="77"/>
      <c r="CH500" s="77"/>
      <c r="CI500" s="77"/>
      <c r="CJ500" s="77"/>
      <c r="CK500" s="77"/>
      <c r="CL500" s="77"/>
      <c r="CM500" s="77"/>
      <c r="CN500" s="77"/>
      <c r="CO500" s="77"/>
      <c r="CP500" s="77"/>
      <c r="CQ500" s="77"/>
      <c r="CR500" s="77"/>
      <c r="CS500" s="77"/>
      <c r="CT500" s="77"/>
      <c r="CU500" s="77"/>
      <c r="CV500" s="77"/>
      <c r="CW500" s="77"/>
    </row>
    <row r="501" spans="1:101" ht="16.5" x14ac:dyDescent="0.45">
      <c r="A501" s="76"/>
      <c r="B501" s="77"/>
      <c r="C501" s="77"/>
      <c r="D501" s="78"/>
      <c r="E501" s="80"/>
      <c r="F501" s="80"/>
      <c r="G501" s="81"/>
      <c r="H501" s="81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82"/>
      <c r="Z501" s="82"/>
      <c r="AA501" s="82"/>
      <c r="AB501" s="80"/>
      <c r="AC501" s="77"/>
      <c r="AD501" s="77"/>
      <c r="AE501" s="77"/>
      <c r="AF501" s="77"/>
      <c r="AG501" s="77"/>
      <c r="AH501" s="77"/>
      <c r="AI501" s="92"/>
      <c r="AJ501" s="77"/>
      <c r="AK501" s="77"/>
      <c r="AL501" s="77"/>
      <c r="AM501" s="77"/>
      <c r="AN501" s="77"/>
      <c r="AO501" s="77"/>
      <c r="AP501" s="76"/>
      <c r="AQ501" s="81"/>
      <c r="AR501" s="76"/>
      <c r="AS501" s="81"/>
      <c r="AT501" s="76"/>
      <c r="AU501" s="81"/>
      <c r="AV501" s="77"/>
      <c r="AW501" s="81"/>
      <c r="AX501" s="77"/>
      <c r="AY501" s="81"/>
      <c r="AZ501" s="77"/>
      <c r="BA501" s="81"/>
      <c r="BB501" s="77"/>
      <c r="BC501" s="81"/>
      <c r="BD501" s="77"/>
      <c r="BE501" s="81"/>
      <c r="BF501" s="77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77"/>
      <c r="BU501" s="77"/>
      <c r="BV501" s="77"/>
      <c r="BW501" s="77"/>
      <c r="BX501" s="77"/>
      <c r="BY501" s="77"/>
      <c r="BZ501" s="77"/>
      <c r="CA501" s="77"/>
      <c r="CB501" s="77"/>
      <c r="CC501" s="77"/>
      <c r="CD501" s="77"/>
      <c r="CE501" s="77"/>
      <c r="CF501" s="77"/>
      <c r="CG501" s="77"/>
      <c r="CH501" s="77"/>
      <c r="CI501" s="77"/>
      <c r="CJ501" s="77"/>
      <c r="CK501" s="77"/>
      <c r="CL501" s="77"/>
      <c r="CM501" s="77"/>
      <c r="CN501" s="77"/>
      <c r="CO501" s="77"/>
      <c r="CP501" s="77"/>
      <c r="CQ501" s="77"/>
      <c r="CR501" s="77"/>
      <c r="CS501" s="77"/>
      <c r="CT501" s="77"/>
      <c r="CU501" s="77"/>
      <c r="CV501" s="77"/>
      <c r="CW501" s="77"/>
    </row>
    <row r="502" spans="1:101" ht="16.5" x14ac:dyDescent="0.45">
      <c r="A502" s="76"/>
      <c r="B502" s="77"/>
      <c r="C502" s="77"/>
      <c r="D502" s="78"/>
      <c r="E502" s="80"/>
      <c r="F502" s="80"/>
      <c r="G502" s="81"/>
      <c r="H502" s="81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82"/>
      <c r="Z502" s="82"/>
      <c r="AA502" s="82"/>
      <c r="AB502" s="80"/>
      <c r="AC502" s="77"/>
      <c r="AD502" s="77"/>
      <c r="AE502" s="77"/>
      <c r="AF502" s="77"/>
      <c r="AG502" s="77"/>
      <c r="AH502" s="77"/>
      <c r="AI502" s="92"/>
      <c r="AJ502" s="77"/>
      <c r="AK502" s="77"/>
      <c r="AL502" s="77"/>
      <c r="AM502" s="77"/>
      <c r="AN502" s="77"/>
      <c r="AO502" s="77"/>
      <c r="AP502" s="76"/>
      <c r="AQ502" s="81"/>
      <c r="AR502" s="76"/>
      <c r="AS502" s="81"/>
      <c r="AT502" s="76"/>
      <c r="AU502" s="81"/>
      <c r="AV502" s="77"/>
      <c r="AW502" s="81"/>
      <c r="AX502" s="77"/>
      <c r="AY502" s="81"/>
      <c r="AZ502" s="77"/>
      <c r="BA502" s="81"/>
      <c r="BB502" s="77"/>
      <c r="BC502" s="81"/>
      <c r="BD502" s="77"/>
      <c r="BE502" s="81"/>
      <c r="BF502" s="77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77"/>
      <c r="BU502" s="77"/>
      <c r="BV502" s="77"/>
      <c r="BW502" s="77"/>
      <c r="BX502" s="77"/>
      <c r="BY502" s="77"/>
      <c r="BZ502" s="77"/>
      <c r="CA502" s="77"/>
      <c r="CB502" s="77"/>
      <c r="CC502" s="77"/>
      <c r="CD502" s="77"/>
      <c r="CE502" s="77"/>
      <c r="CF502" s="77"/>
      <c r="CG502" s="77"/>
      <c r="CH502" s="77"/>
      <c r="CI502" s="77"/>
      <c r="CJ502" s="77"/>
      <c r="CK502" s="77"/>
      <c r="CL502" s="77"/>
      <c r="CM502" s="77"/>
      <c r="CN502" s="77"/>
      <c r="CO502" s="77"/>
      <c r="CP502" s="77"/>
      <c r="CQ502" s="77"/>
      <c r="CR502" s="77"/>
      <c r="CS502" s="77"/>
      <c r="CT502" s="77"/>
      <c r="CU502" s="77"/>
      <c r="CV502" s="77"/>
      <c r="CW502" s="77"/>
    </row>
    <row r="503" spans="1:101" ht="16.5" x14ac:dyDescent="0.45">
      <c r="A503" s="76"/>
      <c r="B503" s="77"/>
      <c r="C503" s="77"/>
      <c r="D503" s="78"/>
      <c r="E503" s="80"/>
      <c r="F503" s="80"/>
      <c r="G503" s="81"/>
      <c r="H503" s="81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82"/>
      <c r="Z503" s="82"/>
      <c r="AA503" s="82"/>
      <c r="AB503" s="80"/>
      <c r="AC503" s="77"/>
      <c r="AD503" s="77"/>
      <c r="AE503" s="77"/>
      <c r="AF503" s="77"/>
      <c r="AG503" s="77"/>
      <c r="AH503" s="77"/>
      <c r="AI503" s="92"/>
      <c r="AJ503" s="77"/>
      <c r="AK503" s="77"/>
      <c r="AL503" s="77"/>
      <c r="AM503" s="77"/>
      <c r="AN503" s="77"/>
      <c r="AO503" s="77"/>
      <c r="AP503" s="76"/>
      <c r="AQ503" s="81"/>
      <c r="AR503" s="76"/>
      <c r="AS503" s="81"/>
      <c r="AT503" s="76"/>
      <c r="AU503" s="81"/>
      <c r="AV503" s="77"/>
      <c r="AW503" s="81"/>
      <c r="AX503" s="77"/>
      <c r="AY503" s="81"/>
      <c r="AZ503" s="77"/>
      <c r="BA503" s="81"/>
      <c r="BB503" s="77"/>
      <c r="BC503" s="81"/>
      <c r="BD503" s="77"/>
      <c r="BE503" s="81"/>
      <c r="BF503" s="77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77"/>
      <c r="BU503" s="77"/>
      <c r="BV503" s="77"/>
      <c r="BW503" s="77"/>
      <c r="BX503" s="77"/>
      <c r="BY503" s="77"/>
      <c r="BZ503" s="77"/>
      <c r="CA503" s="77"/>
      <c r="CB503" s="77"/>
      <c r="CC503" s="77"/>
      <c r="CD503" s="77"/>
      <c r="CE503" s="77"/>
      <c r="CF503" s="77"/>
      <c r="CG503" s="77"/>
      <c r="CH503" s="77"/>
      <c r="CI503" s="77"/>
      <c r="CJ503" s="77"/>
      <c r="CK503" s="77"/>
      <c r="CL503" s="77"/>
      <c r="CM503" s="77"/>
      <c r="CN503" s="77"/>
      <c r="CO503" s="77"/>
      <c r="CP503" s="77"/>
      <c r="CQ503" s="77"/>
      <c r="CR503" s="77"/>
      <c r="CS503" s="77"/>
      <c r="CT503" s="77"/>
      <c r="CU503" s="77"/>
      <c r="CV503" s="77"/>
      <c r="CW503" s="77"/>
    </row>
    <row r="504" spans="1:101" ht="16.5" x14ac:dyDescent="0.45">
      <c r="A504" s="76"/>
      <c r="B504" s="77"/>
      <c r="C504" s="77"/>
      <c r="D504" s="78"/>
      <c r="E504" s="80"/>
      <c r="F504" s="80"/>
      <c r="G504" s="81"/>
      <c r="H504" s="81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82"/>
      <c r="Z504" s="82"/>
      <c r="AA504" s="82"/>
      <c r="AB504" s="80"/>
      <c r="AC504" s="77"/>
      <c r="AD504" s="77"/>
      <c r="AE504" s="77"/>
      <c r="AF504" s="77"/>
      <c r="AG504" s="77"/>
      <c r="AH504" s="77"/>
      <c r="AI504" s="92"/>
      <c r="AJ504" s="77"/>
      <c r="AK504" s="77"/>
      <c r="AL504" s="77"/>
      <c r="AM504" s="77"/>
      <c r="AN504" s="77"/>
      <c r="AO504" s="77"/>
      <c r="AP504" s="76"/>
      <c r="AQ504" s="81"/>
      <c r="AR504" s="76"/>
      <c r="AS504" s="81"/>
      <c r="AT504" s="76"/>
      <c r="AU504" s="81"/>
      <c r="AV504" s="77"/>
      <c r="AW504" s="81"/>
      <c r="AX504" s="77"/>
      <c r="AY504" s="81"/>
      <c r="AZ504" s="77"/>
      <c r="BA504" s="81"/>
      <c r="BB504" s="77"/>
      <c r="BC504" s="81"/>
      <c r="BD504" s="77"/>
      <c r="BE504" s="81"/>
      <c r="BF504" s="77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77"/>
      <c r="BU504" s="77"/>
      <c r="BV504" s="77"/>
      <c r="BW504" s="77"/>
      <c r="BX504" s="77"/>
      <c r="BY504" s="77"/>
      <c r="BZ504" s="77"/>
      <c r="CA504" s="77"/>
      <c r="CB504" s="77"/>
      <c r="CC504" s="77"/>
      <c r="CD504" s="77"/>
      <c r="CE504" s="77"/>
      <c r="CF504" s="77"/>
      <c r="CG504" s="77"/>
      <c r="CH504" s="77"/>
      <c r="CI504" s="77"/>
      <c r="CJ504" s="77"/>
      <c r="CK504" s="77"/>
      <c r="CL504" s="77"/>
      <c r="CM504" s="77"/>
      <c r="CN504" s="77"/>
      <c r="CO504" s="77"/>
      <c r="CP504" s="77"/>
      <c r="CQ504" s="77"/>
      <c r="CR504" s="77"/>
      <c r="CS504" s="77"/>
      <c r="CT504" s="77"/>
      <c r="CU504" s="77"/>
      <c r="CV504" s="77"/>
      <c r="CW504" s="77"/>
    </row>
    <row r="505" spans="1:101" ht="16.5" x14ac:dyDescent="0.45">
      <c r="A505" s="76"/>
      <c r="B505" s="77"/>
      <c r="C505" s="77"/>
      <c r="D505" s="78"/>
      <c r="E505" s="80"/>
      <c r="F505" s="80"/>
      <c r="G505" s="81"/>
      <c r="H505" s="81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82"/>
      <c r="Z505" s="82"/>
      <c r="AA505" s="82"/>
      <c r="AB505" s="80"/>
      <c r="AC505" s="77"/>
      <c r="AD505" s="77"/>
      <c r="AE505" s="77"/>
      <c r="AF505" s="77"/>
      <c r="AG505" s="77"/>
      <c r="AH505" s="77"/>
      <c r="AI505" s="92"/>
      <c r="AJ505" s="77"/>
      <c r="AK505" s="77"/>
      <c r="AL505" s="77"/>
      <c r="AM505" s="77"/>
      <c r="AN505" s="77"/>
      <c r="AO505" s="77"/>
      <c r="AP505" s="76"/>
      <c r="AQ505" s="81"/>
      <c r="AR505" s="76"/>
      <c r="AS505" s="81"/>
      <c r="AT505" s="76"/>
      <c r="AU505" s="81"/>
      <c r="AV505" s="77"/>
      <c r="AW505" s="81"/>
      <c r="AX505" s="77"/>
      <c r="AY505" s="81"/>
      <c r="AZ505" s="77"/>
      <c r="BA505" s="81"/>
      <c r="BB505" s="77"/>
      <c r="BC505" s="81"/>
      <c r="BD505" s="77"/>
      <c r="BE505" s="81"/>
      <c r="BF505" s="77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77"/>
      <c r="BU505" s="77"/>
      <c r="BV505" s="77"/>
      <c r="BW505" s="77"/>
      <c r="BX505" s="77"/>
      <c r="BY505" s="77"/>
      <c r="BZ505" s="77"/>
      <c r="CA505" s="77"/>
      <c r="CB505" s="77"/>
      <c r="CC505" s="77"/>
      <c r="CD505" s="77"/>
      <c r="CE505" s="77"/>
      <c r="CF505" s="77"/>
      <c r="CG505" s="77"/>
      <c r="CH505" s="77"/>
      <c r="CI505" s="77"/>
      <c r="CJ505" s="77"/>
      <c r="CK505" s="77"/>
      <c r="CL505" s="77"/>
      <c r="CM505" s="77"/>
      <c r="CN505" s="77"/>
      <c r="CO505" s="77"/>
      <c r="CP505" s="77"/>
      <c r="CQ505" s="77"/>
      <c r="CR505" s="77"/>
      <c r="CS505" s="77"/>
      <c r="CT505" s="77"/>
      <c r="CU505" s="77"/>
      <c r="CV505" s="77"/>
      <c r="CW505" s="77"/>
    </row>
    <row r="506" spans="1:101" ht="16.5" x14ac:dyDescent="0.45">
      <c r="A506" s="76"/>
      <c r="B506" s="77"/>
      <c r="C506" s="77"/>
      <c r="D506" s="78"/>
      <c r="E506" s="80"/>
      <c r="F506" s="80"/>
      <c r="G506" s="81"/>
      <c r="H506" s="81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82"/>
      <c r="Z506" s="82"/>
      <c r="AA506" s="82"/>
      <c r="AB506" s="80"/>
      <c r="AC506" s="77"/>
      <c r="AD506" s="77"/>
      <c r="AE506" s="77"/>
      <c r="AF506" s="77"/>
      <c r="AG506" s="77"/>
      <c r="AH506" s="77"/>
      <c r="AI506" s="92"/>
      <c r="AJ506" s="77"/>
      <c r="AK506" s="77"/>
      <c r="AL506" s="77"/>
      <c r="AM506" s="77"/>
      <c r="AN506" s="77"/>
      <c r="AO506" s="77"/>
      <c r="AP506" s="76"/>
      <c r="AQ506" s="81"/>
      <c r="AR506" s="76"/>
      <c r="AS506" s="81"/>
      <c r="AT506" s="76"/>
      <c r="AU506" s="81"/>
      <c r="AV506" s="77"/>
      <c r="AW506" s="81"/>
      <c r="AX506" s="77"/>
      <c r="AY506" s="81"/>
      <c r="AZ506" s="77"/>
      <c r="BA506" s="81"/>
      <c r="BB506" s="77"/>
      <c r="BC506" s="81"/>
      <c r="BD506" s="77"/>
      <c r="BE506" s="81"/>
      <c r="BF506" s="77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77"/>
      <c r="BU506" s="77"/>
      <c r="BV506" s="77"/>
      <c r="BW506" s="77"/>
      <c r="BX506" s="77"/>
      <c r="BY506" s="77"/>
      <c r="BZ506" s="77"/>
      <c r="CA506" s="77"/>
      <c r="CB506" s="77"/>
      <c r="CC506" s="77"/>
      <c r="CD506" s="77"/>
      <c r="CE506" s="77"/>
      <c r="CF506" s="77"/>
      <c r="CG506" s="77"/>
      <c r="CH506" s="77"/>
      <c r="CI506" s="77"/>
      <c r="CJ506" s="77"/>
      <c r="CK506" s="77"/>
      <c r="CL506" s="77"/>
      <c r="CM506" s="77"/>
      <c r="CN506" s="77"/>
      <c r="CO506" s="77"/>
      <c r="CP506" s="77"/>
      <c r="CQ506" s="77"/>
      <c r="CR506" s="77"/>
      <c r="CS506" s="77"/>
      <c r="CT506" s="77"/>
      <c r="CU506" s="77"/>
      <c r="CV506" s="77"/>
      <c r="CW506" s="77"/>
    </row>
    <row r="507" spans="1:101" ht="16.5" x14ac:dyDescent="0.45">
      <c r="A507" s="76"/>
      <c r="B507" s="77"/>
      <c r="C507" s="77"/>
      <c r="D507" s="78"/>
      <c r="E507" s="80"/>
      <c r="F507" s="80"/>
      <c r="G507" s="81"/>
      <c r="H507" s="81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82"/>
      <c r="Z507" s="82"/>
      <c r="AA507" s="82"/>
      <c r="AB507" s="80"/>
      <c r="AC507" s="77"/>
      <c r="AD507" s="77"/>
      <c r="AE507" s="77"/>
      <c r="AF507" s="77"/>
      <c r="AG507" s="77"/>
      <c r="AH507" s="77"/>
      <c r="AI507" s="92"/>
      <c r="AJ507" s="77"/>
      <c r="AK507" s="77"/>
      <c r="AL507" s="77"/>
      <c r="AM507" s="77"/>
      <c r="AN507" s="77"/>
      <c r="AO507" s="77"/>
      <c r="AP507" s="76"/>
      <c r="AQ507" s="81"/>
      <c r="AR507" s="76"/>
      <c r="AS507" s="81"/>
      <c r="AT507" s="76"/>
      <c r="AU507" s="81"/>
      <c r="AV507" s="77"/>
      <c r="AW507" s="81"/>
      <c r="AX507" s="77"/>
      <c r="AY507" s="81"/>
      <c r="AZ507" s="77"/>
      <c r="BA507" s="81"/>
      <c r="BB507" s="77"/>
      <c r="BC507" s="81"/>
      <c r="BD507" s="77"/>
      <c r="BE507" s="81"/>
      <c r="BF507" s="77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77"/>
      <c r="BU507" s="77"/>
      <c r="BV507" s="77"/>
      <c r="BW507" s="77"/>
      <c r="BX507" s="77"/>
      <c r="BY507" s="77"/>
      <c r="BZ507" s="77"/>
      <c r="CA507" s="77"/>
      <c r="CB507" s="77"/>
      <c r="CC507" s="77"/>
      <c r="CD507" s="77"/>
      <c r="CE507" s="77"/>
      <c r="CF507" s="77"/>
      <c r="CG507" s="77"/>
      <c r="CH507" s="77"/>
      <c r="CI507" s="77"/>
      <c r="CJ507" s="77"/>
      <c r="CK507" s="77"/>
      <c r="CL507" s="77"/>
      <c r="CM507" s="77"/>
      <c r="CN507" s="77"/>
      <c r="CO507" s="77"/>
      <c r="CP507" s="77"/>
      <c r="CQ507" s="77"/>
      <c r="CR507" s="77"/>
      <c r="CS507" s="77"/>
      <c r="CT507" s="77"/>
      <c r="CU507" s="77"/>
      <c r="CV507" s="77"/>
      <c r="CW507" s="77"/>
    </row>
    <row r="508" spans="1:101" ht="16.5" x14ac:dyDescent="0.45">
      <c r="A508" s="76"/>
      <c r="B508" s="77"/>
      <c r="C508" s="77"/>
      <c r="D508" s="78"/>
      <c r="E508" s="80"/>
      <c r="F508" s="80"/>
      <c r="G508" s="81"/>
      <c r="H508" s="81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82"/>
      <c r="Z508" s="82"/>
      <c r="AA508" s="82"/>
      <c r="AB508" s="80"/>
      <c r="AC508" s="77"/>
      <c r="AD508" s="77"/>
      <c r="AE508" s="77"/>
      <c r="AF508" s="77"/>
      <c r="AG508" s="77"/>
      <c r="AH508" s="77"/>
      <c r="AI508" s="92"/>
      <c r="AJ508" s="77"/>
      <c r="AK508" s="77"/>
      <c r="AL508" s="77"/>
      <c r="AM508" s="77"/>
      <c r="AN508" s="77"/>
      <c r="AO508" s="77"/>
      <c r="AP508" s="76"/>
      <c r="AQ508" s="81"/>
      <c r="AR508" s="76"/>
      <c r="AS508" s="81"/>
      <c r="AT508" s="76"/>
      <c r="AU508" s="81"/>
      <c r="AV508" s="77"/>
      <c r="AW508" s="81"/>
      <c r="AX508" s="77"/>
      <c r="AY508" s="81"/>
      <c r="AZ508" s="77"/>
      <c r="BA508" s="81"/>
      <c r="BB508" s="77"/>
      <c r="BC508" s="81"/>
      <c r="BD508" s="77"/>
      <c r="BE508" s="81"/>
      <c r="BF508" s="77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77"/>
      <c r="BU508" s="77"/>
      <c r="BV508" s="77"/>
      <c r="BW508" s="77"/>
      <c r="BX508" s="77"/>
      <c r="BY508" s="77"/>
      <c r="BZ508" s="77"/>
      <c r="CA508" s="77"/>
      <c r="CB508" s="77"/>
      <c r="CC508" s="77"/>
      <c r="CD508" s="77"/>
      <c r="CE508" s="77"/>
      <c r="CF508" s="77"/>
      <c r="CG508" s="77"/>
      <c r="CH508" s="77"/>
      <c r="CI508" s="77"/>
      <c r="CJ508" s="77"/>
      <c r="CK508" s="77"/>
      <c r="CL508" s="77"/>
      <c r="CM508" s="77"/>
      <c r="CN508" s="77"/>
      <c r="CO508" s="77"/>
      <c r="CP508" s="77"/>
      <c r="CQ508" s="77"/>
      <c r="CR508" s="77"/>
      <c r="CS508" s="77"/>
      <c r="CT508" s="77"/>
      <c r="CU508" s="77"/>
      <c r="CV508" s="77"/>
      <c r="CW508" s="77"/>
    </row>
    <row r="509" spans="1:101" ht="16.5" x14ac:dyDescent="0.45">
      <c r="A509" s="76"/>
      <c r="B509" s="77"/>
      <c r="C509" s="77"/>
      <c r="D509" s="78"/>
      <c r="E509" s="80"/>
      <c r="F509" s="80"/>
      <c r="G509" s="81"/>
      <c r="H509" s="81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82"/>
      <c r="Z509" s="82"/>
      <c r="AA509" s="82"/>
      <c r="AB509" s="80"/>
      <c r="AC509" s="77"/>
      <c r="AD509" s="77"/>
      <c r="AE509" s="77"/>
      <c r="AF509" s="77"/>
      <c r="AG509" s="77"/>
      <c r="AH509" s="77"/>
      <c r="AI509" s="92"/>
      <c r="AJ509" s="77"/>
      <c r="AK509" s="77"/>
      <c r="AL509" s="77"/>
      <c r="AM509" s="77"/>
      <c r="AN509" s="77"/>
      <c r="AO509" s="77"/>
      <c r="AP509" s="76"/>
      <c r="AQ509" s="81"/>
      <c r="AR509" s="76"/>
      <c r="AS509" s="81"/>
      <c r="AT509" s="76"/>
      <c r="AU509" s="81"/>
      <c r="AV509" s="77"/>
      <c r="AW509" s="81"/>
      <c r="AX509" s="77"/>
      <c r="AY509" s="81"/>
      <c r="AZ509" s="77"/>
      <c r="BA509" s="81"/>
      <c r="BB509" s="77"/>
      <c r="BC509" s="81"/>
      <c r="BD509" s="77"/>
      <c r="BE509" s="81"/>
      <c r="BF509" s="77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77"/>
      <c r="BU509" s="77"/>
      <c r="BV509" s="77"/>
      <c r="BW509" s="77"/>
      <c r="BX509" s="77"/>
      <c r="BY509" s="77"/>
      <c r="BZ509" s="77"/>
      <c r="CA509" s="77"/>
      <c r="CB509" s="77"/>
      <c r="CC509" s="77"/>
      <c r="CD509" s="77"/>
      <c r="CE509" s="77"/>
      <c r="CF509" s="77"/>
      <c r="CG509" s="77"/>
      <c r="CH509" s="77"/>
      <c r="CI509" s="77"/>
      <c r="CJ509" s="77"/>
      <c r="CK509" s="77"/>
      <c r="CL509" s="77"/>
      <c r="CM509" s="77"/>
      <c r="CN509" s="77"/>
      <c r="CO509" s="77"/>
      <c r="CP509" s="77"/>
      <c r="CQ509" s="77"/>
      <c r="CR509" s="77"/>
      <c r="CS509" s="77"/>
      <c r="CT509" s="77"/>
      <c r="CU509" s="77"/>
      <c r="CV509" s="77"/>
      <c r="CW509" s="77"/>
    </row>
    <row r="510" spans="1:101" ht="16.5" x14ac:dyDescent="0.45">
      <c r="A510" s="76"/>
      <c r="B510" s="77"/>
      <c r="C510" s="77"/>
      <c r="D510" s="78"/>
      <c r="E510" s="80"/>
      <c r="F510" s="80"/>
      <c r="G510" s="81"/>
      <c r="H510" s="81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82"/>
      <c r="Z510" s="82"/>
      <c r="AA510" s="82"/>
      <c r="AB510" s="80"/>
      <c r="AC510" s="77"/>
      <c r="AD510" s="77"/>
      <c r="AE510" s="77"/>
      <c r="AF510" s="77"/>
      <c r="AG510" s="77"/>
      <c r="AH510" s="77"/>
      <c r="AI510" s="92"/>
      <c r="AJ510" s="77"/>
      <c r="AK510" s="77"/>
      <c r="AL510" s="77"/>
      <c r="AM510" s="77"/>
      <c r="AN510" s="77"/>
      <c r="AO510" s="77"/>
      <c r="AP510" s="76"/>
      <c r="AQ510" s="81"/>
      <c r="AR510" s="76"/>
      <c r="AS510" s="81"/>
      <c r="AT510" s="76"/>
      <c r="AU510" s="81"/>
      <c r="AV510" s="77"/>
      <c r="AW510" s="81"/>
      <c r="AX510" s="77"/>
      <c r="AY510" s="81"/>
      <c r="AZ510" s="77"/>
      <c r="BA510" s="81"/>
      <c r="BB510" s="77"/>
      <c r="BC510" s="81"/>
      <c r="BD510" s="77"/>
      <c r="BE510" s="81"/>
      <c r="BF510" s="77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77"/>
      <c r="BU510" s="77"/>
      <c r="BV510" s="77"/>
      <c r="BW510" s="77"/>
      <c r="BX510" s="77"/>
      <c r="BY510" s="77"/>
      <c r="BZ510" s="77"/>
      <c r="CA510" s="77"/>
      <c r="CB510" s="77"/>
      <c r="CC510" s="77"/>
      <c r="CD510" s="77"/>
      <c r="CE510" s="77"/>
      <c r="CF510" s="77"/>
      <c r="CG510" s="77"/>
      <c r="CH510" s="77"/>
      <c r="CI510" s="77"/>
      <c r="CJ510" s="77"/>
      <c r="CK510" s="77"/>
      <c r="CL510" s="77"/>
      <c r="CM510" s="77"/>
      <c r="CN510" s="77"/>
      <c r="CO510" s="77"/>
      <c r="CP510" s="77"/>
      <c r="CQ510" s="77"/>
      <c r="CR510" s="77"/>
      <c r="CS510" s="77"/>
      <c r="CT510" s="77"/>
      <c r="CU510" s="77"/>
      <c r="CV510" s="77"/>
      <c r="CW510" s="77"/>
    </row>
    <row r="511" spans="1:101" ht="16.5" x14ac:dyDescent="0.45">
      <c r="A511" s="76"/>
      <c r="B511" s="77"/>
      <c r="C511" s="77"/>
      <c r="D511" s="78"/>
      <c r="E511" s="80"/>
      <c r="F511" s="80"/>
      <c r="G511" s="81"/>
      <c r="H511" s="81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82"/>
      <c r="Z511" s="82"/>
      <c r="AA511" s="82"/>
      <c r="AB511" s="80"/>
      <c r="AC511" s="77"/>
      <c r="AD511" s="77"/>
      <c r="AE511" s="77"/>
      <c r="AF511" s="77"/>
      <c r="AG511" s="77"/>
      <c r="AH511" s="77"/>
      <c r="AI511" s="92"/>
      <c r="AJ511" s="77"/>
      <c r="AK511" s="77"/>
      <c r="AL511" s="77"/>
      <c r="AM511" s="77"/>
      <c r="AN511" s="77"/>
      <c r="AO511" s="77"/>
      <c r="AP511" s="76"/>
      <c r="AQ511" s="81"/>
      <c r="AR511" s="76"/>
      <c r="AS511" s="81"/>
      <c r="AT511" s="76"/>
      <c r="AU511" s="81"/>
      <c r="AV511" s="77"/>
      <c r="AW511" s="81"/>
      <c r="AX511" s="77"/>
      <c r="AY511" s="81"/>
      <c r="AZ511" s="77"/>
      <c r="BA511" s="81"/>
      <c r="BB511" s="77"/>
      <c r="BC511" s="81"/>
      <c r="BD511" s="77"/>
      <c r="BE511" s="81"/>
      <c r="BF511" s="77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77"/>
      <c r="BU511" s="77"/>
      <c r="BV511" s="77"/>
      <c r="BW511" s="77"/>
      <c r="BX511" s="77"/>
      <c r="BY511" s="77"/>
      <c r="BZ511" s="77"/>
      <c r="CA511" s="77"/>
      <c r="CB511" s="77"/>
      <c r="CC511" s="77"/>
      <c r="CD511" s="77"/>
      <c r="CE511" s="77"/>
      <c r="CF511" s="77"/>
      <c r="CG511" s="77"/>
      <c r="CH511" s="77"/>
      <c r="CI511" s="77"/>
      <c r="CJ511" s="77"/>
      <c r="CK511" s="77"/>
      <c r="CL511" s="77"/>
      <c r="CM511" s="77"/>
      <c r="CN511" s="77"/>
      <c r="CO511" s="77"/>
      <c r="CP511" s="77"/>
      <c r="CQ511" s="77"/>
      <c r="CR511" s="77"/>
      <c r="CS511" s="77"/>
      <c r="CT511" s="77"/>
      <c r="CU511" s="77"/>
      <c r="CV511" s="77"/>
      <c r="CW511" s="77"/>
    </row>
    <row r="512" spans="1:101" ht="16.5" x14ac:dyDescent="0.45">
      <c r="A512" s="76"/>
      <c r="B512" s="77"/>
      <c r="C512" s="77"/>
      <c r="D512" s="78"/>
      <c r="E512" s="80"/>
      <c r="F512" s="80"/>
      <c r="G512" s="81"/>
      <c r="H512" s="81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82"/>
      <c r="Z512" s="82"/>
      <c r="AA512" s="82"/>
      <c r="AB512" s="80"/>
      <c r="AC512" s="77"/>
      <c r="AD512" s="77"/>
      <c r="AE512" s="77"/>
      <c r="AF512" s="77"/>
      <c r="AG512" s="77"/>
      <c r="AH512" s="77"/>
      <c r="AI512" s="92"/>
      <c r="AJ512" s="77"/>
      <c r="AK512" s="77"/>
      <c r="AL512" s="77"/>
      <c r="AM512" s="77"/>
      <c r="AN512" s="77"/>
      <c r="AO512" s="77"/>
      <c r="AP512" s="76"/>
      <c r="AQ512" s="81"/>
      <c r="AR512" s="76"/>
      <c r="AS512" s="81"/>
      <c r="AT512" s="76"/>
      <c r="AU512" s="81"/>
      <c r="AV512" s="77"/>
      <c r="AW512" s="81"/>
      <c r="AX512" s="77"/>
      <c r="AY512" s="81"/>
      <c r="AZ512" s="77"/>
      <c r="BA512" s="81"/>
      <c r="BB512" s="77"/>
      <c r="BC512" s="81"/>
      <c r="BD512" s="77"/>
      <c r="BE512" s="81"/>
      <c r="BF512" s="77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77"/>
      <c r="BU512" s="77"/>
      <c r="BV512" s="77"/>
      <c r="BW512" s="77"/>
      <c r="BX512" s="77"/>
      <c r="BY512" s="77"/>
      <c r="BZ512" s="77"/>
      <c r="CA512" s="77"/>
      <c r="CB512" s="77"/>
      <c r="CC512" s="77"/>
      <c r="CD512" s="77"/>
      <c r="CE512" s="77"/>
      <c r="CF512" s="77"/>
      <c r="CG512" s="77"/>
      <c r="CH512" s="77"/>
      <c r="CI512" s="77"/>
      <c r="CJ512" s="77"/>
      <c r="CK512" s="77"/>
      <c r="CL512" s="77"/>
      <c r="CM512" s="77"/>
      <c r="CN512" s="77"/>
      <c r="CO512" s="77"/>
      <c r="CP512" s="77"/>
      <c r="CQ512" s="77"/>
      <c r="CR512" s="77"/>
      <c r="CS512" s="77"/>
      <c r="CT512" s="77"/>
      <c r="CU512" s="77"/>
      <c r="CV512" s="77"/>
      <c r="CW512" s="77"/>
    </row>
    <row r="513" spans="1:101" ht="16.5" x14ac:dyDescent="0.45">
      <c r="A513" s="76"/>
      <c r="B513" s="77"/>
      <c r="C513" s="77"/>
      <c r="D513" s="78"/>
      <c r="E513" s="80"/>
      <c r="F513" s="80"/>
      <c r="G513" s="81"/>
      <c r="H513" s="81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82"/>
      <c r="Z513" s="82"/>
      <c r="AA513" s="82"/>
      <c r="AB513" s="80"/>
      <c r="AC513" s="77"/>
      <c r="AD513" s="77"/>
      <c r="AE513" s="77"/>
      <c r="AF513" s="77"/>
      <c r="AG513" s="77"/>
      <c r="AH513" s="77"/>
      <c r="AI513" s="92"/>
      <c r="AJ513" s="77"/>
      <c r="AK513" s="77"/>
      <c r="AL513" s="77"/>
      <c r="AM513" s="77"/>
      <c r="AN513" s="77"/>
      <c r="AO513" s="77"/>
      <c r="AP513" s="76"/>
      <c r="AQ513" s="81"/>
      <c r="AR513" s="76"/>
      <c r="AS513" s="81"/>
      <c r="AT513" s="76"/>
      <c r="AU513" s="81"/>
      <c r="AV513" s="77"/>
      <c r="AW513" s="81"/>
      <c r="AX513" s="77"/>
      <c r="AY513" s="81"/>
      <c r="AZ513" s="77"/>
      <c r="BA513" s="81"/>
      <c r="BB513" s="77"/>
      <c r="BC513" s="81"/>
      <c r="BD513" s="77"/>
      <c r="BE513" s="81"/>
      <c r="BF513" s="77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77"/>
      <c r="BU513" s="77"/>
      <c r="BV513" s="77"/>
      <c r="BW513" s="77"/>
      <c r="BX513" s="77"/>
      <c r="BY513" s="77"/>
      <c r="BZ513" s="77"/>
      <c r="CA513" s="77"/>
      <c r="CB513" s="77"/>
      <c r="CC513" s="77"/>
      <c r="CD513" s="77"/>
      <c r="CE513" s="77"/>
      <c r="CF513" s="77"/>
      <c r="CG513" s="77"/>
      <c r="CH513" s="77"/>
      <c r="CI513" s="77"/>
      <c r="CJ513" s="77"/>
      <c r="CK513" s="77"/>
      <c r="CL513" s="77"/>
      <c r="CM513" s="77"/>
      <c r="CN513" s="77"/>
      <c r="CO513" s="77"/>
      <c r="CP513" s="77"/>
      <c r="CQ513" s="77"/>
      <c r="CR513" s="77"/>
      <c r="CS513" s="77"/>
      <c r="CT513" s="77"/>
      <c r="CU513" s="77"/>
      <c r="CV513" s="77"/>
      <c r="CW513" s="77"/>
    </row>
    <row r="514" spans="1:101" ht="16.5" x14ac:dyDescent="0.45">
      <c r="A514" s="76"/>
      <c r="B514" s="77"/>
      <c r="C514" s="77"/>
      <c r="D514" s="78"/>
      <c r="E514" s="80"/>
      <c r="F514" s="80"/>
      <c r="G514" s="81"/>
      <c r="H514" s="81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82"/>
      <c r="Z514" s="82"/>
      <c r="AA514" s="82"/>
      <c r="AB514" s="80"/>
      <c r="AC514" s="77"/>
      <c r="AD514" s="77"/>
      <c r="AE514" s="77"/>
      <c r="AF514" s="77"/>
      <c r="AG514" s="77"/>
      <c r="AH514" s="77"/>
      <c r="AI514" s="92"/>
      <c r="AJ514" s="77"/>
      <c r="AK514" s="77"/>
      <c r="AL514" s="77"/>
      <c r="AM514" s="77"/>
      <c r="AN514" s="77"/>
      <c r="AO514" s="77"/>
      <c r="AP514" s="76"/>
      <c r="AQ514" s="81"/>
      <c r="AR514" s="76"/>
      <c r="AS514" s="81"/>
      <c r="AT514" s="76"/>
      <c r="AU514" s="81"/>
      <c r="AV514" s="77"/>
      <c r="AW514" s="81"/>
      <c r="AX514" s="77"/>
      <c r="AY514" s="81"/>
      <c r="AZ514" s="77"/>
      <c r="BA514" s="81"/>
      <c r="BB514" s="77"/>
      <c r="BC514" s="81"/>
      <c r="BD514" s="77"/>
      <c r="BE514" s="81"/>
      <c r="BF514" s="77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77"/>
      <c r="BU514" s="77"/>
      <c r="BV514" s="77"/>
      <c r="BW514" s="77"/>
      <c r="BX514" s="77"/>
      <c r="BY514" s="77"/>
      <c r="BZ514" s="77"/>
      <c r="CA514" s="77"/>
      <c r="CB514" s="77"/>
      <c r="CC514" s="77"/>
      <c r="CD514" s="77"/>
      <c r="CE514" s="77"/>
      <c r="CF514" s="77"/>
      <c r="CG514" s="77"/>
      <c r="CH514" s="77"/>
      <c r="CI514" s="77"/>
      <c r="CJ514" s="77"/>
      <c r="CK514" s="77"/>
      <c r="CL514" s="77"/>
      <c r="CM514" s="77"/>
      <c r="CN514" s="77"/>
      <c r="CO514" s="77"/>
      <c r="CP514" s="77"/>
      <c r="CQ514" s="77"/>
      <c r="CR514" s="77"/>
      <c r="CS514" s="77"/>
      <c r="CT514" s="77"/>
      <c r="CU514" s="77"/>
      <c r="CV514" s="77"/>
      <c r="CW514" s="77"/>
    </row>
    <row r="515" spans="1:101" ht="16.5" x14ac:dyDescent="0.45">
      <c r="A515" s="76"/>
      <c r="B515" s="77"/>
      <c r="C515" s="77"/>
      <c r="D515" s="78"/>
      <c r="E515" s="80"/>
      <c r="F515" s="80"/>
      <c r="G515" s="81"/>
      <c r="H515" s="81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82"/>
      <c r="Z515" s="82"/>
      <c r="AA515" s="82"/>
      <c r="AB515" s="80"/>
      <c r="AC515" s="77"/>
      <c r="AD515" s="77"/>
      <c r="AE515" s="77"/>
      <c r="AF515" s="77"/>
      <c r="AG515" s="77"/>
      <c r="AH515" s="77"/>
      <c r="AI515" s="92"/>
      <c r="AJ515" s="77"/>
      <c r="AK515" s="77"/>
      <c r="AL515" s="77"/>
      <c r="AM515" s="77"/>
      <c r="AN515" s="77"/>
      <c r="AO515" s="77"/>
      <c r="AP515" s="76"/>
      <c r="AQ515" s="81"/>
      <c r="AR515" s="76"/>
      <c r="AS515" s="81"/>
      <c r="AT515" s="76"/>
      <c r="AU515" s="81"/>
      <c r="AV515" s="77"/>
      <c r="AW515" s="81"/>
      <c r="AX515" s="77"/>
      <c r="AY515" s="81"/>
      <c r="AZ515" s="77"/>
      <c r="BA515" s="81"/>
      <c r="BB515" s="77"/>
      <c r="BC515" s="81"/>
      <c r="BD515" s="77"/>
      <c r="BE515" s="81"/>
      <c r="BF515" s="77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77"/>
      <c r="BU515" s="77"/>
      <c r="BV515" s="77"/>
      <c r="BW515" s="77"/>
      <c r="BX515" s="77"/>
      <c r="BY515" s="77"/>
      <c r="BZ515" s="77"/>
      <c r="CA515" s="77"/>
      <c r="CB515" s="77"/>
      <c r="CC515" s="77"/>
      <c r="CD515" s="77"/>
      <c r="CE515" s="77"/>
      <c r="CF515" s="77"/>
      <c r="CG515" s="77"/>
      <c r="CH515" s="77"/>
      <c r="CI515" s="77"/>
      <c r="CJ515" s="77"/>
      <c r="CK515" s="77"/>
      <c r="CL515" s="77"/>
      <c r="CM515" s="77"/>
      <c r="CN515" s="77"/>
      <c r="CO515" s="77"/>
      <c r="CP515" s="77"/>
      <c r="CQ515" s="77"/>
      <c r="CR515" s="77"/>
      <c r="CS515" s="77"/>
      <c r="CT515" s="77"/>
      <c r="CU515" s="77"/>
      <c r="CV515" s="77"/>
      <c r="CW515" s="77"/>
    </row>
    <row r="516" spans="1:101" ht="16.5" x14ac:dyDescent="0.45">
      <c r="A516" s="76"/>
      <c r="B516" s="77"/>
      <c r="C516" s="77"/>
      <c r="D516" s="78"/>
      <c r="E516" s="80"/>
      <c r="F516" s="80"/>
      <c r="G516" s="81"/>
      <c r="H516" s="81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82"/>
      <c r="Z516" s="82"/>
      <c r="AA516" s="82"/>
      <c r="AB516" s="80"/>
      <c r="AC516" s="77"/>
      <c r="AD516" s="77"/>
      <c r="AE516" s="77"/>
      <c r="AF516" s="77"/>
      <c r="AG516" s="77"/>
      <c r="AH516" s="77"/>
      <c r="AI516" s="92"/>
      <c r="AJ516" s="77"/>
      <c r="AK516" s="77"/>
      <c r="AL516" s="77"/>
      <c r="AM516" s="77"/>
      <c r="AN516" s="77"/>
      <c r="AO516" s="77"/>
      <c r="AP516" s="76"/>
      <c r="AQ516" s="81"/>
      <c r="AR516" s="76"/>
      <c r="AS516" s="81"/>
      <c r="AT516" s="76"/>
      <c r="AU516" s="81"/>
      <c r="AV516" s="77"/>
      <c r="AW516" s="81"/>
      <c r="AX516" s="77"/>
      <c r="AY516" s="81"/>
      <c r="AZ516" s="77"/>
      <c r="BA516" s="81"/>
      <c r="BB516" s="77"/>
      <c r="BC516" s="81"/>
      <c r="BD516" s="77"/>
      <c r="BE516" s="81"/>
      <c r="BF516" s="77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77"/>
      <c r="BU516" s="77"/>
      <c r="BV516" s="77"/>
      <c r="BW516" s="77"/>
      <c r="BX516" s="77"/>
      <c r="BY516" s="77"/>
      <c r="BZ516" s="77"/>
      <c r="CA516" s="77"/>
      <c r="CB516" s="77"/>
      <c r="CC516" s="77"/>
      <c r="CD516" s="77"/>
      <c r="CE516" s="77"/>
      <c r="CF516" s="77"/>
      <c r="CG516" s="77"/>
      <c r="CH516" s="77"/>
      <c r="CI516" s="77"/>
      <c r="CJ516" s="77"/>
      <c r="CK516" s="77"/>
      <c r="CL516" s="77"/>
      <c r="CM516" s="77"/>
      <c r="CN516" s="77"/>
      <c r="CO516" s="77"/>
      <c r="CP516" s="77"/>
      <c r="CQ516" s="77"/>
      <c r="CR516" s="77"/>
      <c r="CS516" s="77"/>
      <c r="CT516" s="77"/>
      <c r="CU516" s="77"/>
      <c r="CV516" s="77"/>
      <c r="CW516" s="77"/>
    </row>
    <row r="517" spans="1:101" ht="16.5" x14ac:dyDescent="0.45">
      <c r="A517" s="76"/>
      <c r="B517" s="77"/>
      <c r="C517" s="77"/>
      <c r="D517" s="78"/>
      <c r="E517" s="80"/>
      <c r="F517" s="80"/>
      <c r="G517" s="81"/>
      <c r="H517" s="81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82"/>
      <c r="Z517" s="82"/>
      <c r="AA517" s="82"/>
      <c r="AB517" s="80"/>
      <c r="AC517" s="77"/>
      <c r="AD517" s="77"/>
      <c r="AE517" s="77"/>
      <c r="AF517" s="77"/>
      <c r="AG517" s="77"/>
      <c r="AH517" s="77"/>
      <c r="AI517" s="92"/>
      <c r="AJ517" s="77"/>
      <c r="AK517" s="77"/>
      <c r="AL517" s="77"/>
      <c r="AM517" s="77"/>
      <c r="AN517" s="77"/>
      <c r="AO517" s="77"/>
      <c r="AP517" s="76"/>
      <c r="AQ517" s="81"/>
      <c r="AR517" s="76"/>
      <c r="AS517" s="81"/>
      <c r="AT517" s="76"/>
      <c r="AU517" s="81"/>
      <c r="AV517" s="77"/>
      <c r="AW517" s="81"/>
      <c r="AX517" s="77"/>
      <c r="AY517" s="81"/>
      <c r="AZ517" s="77"/>
      <c r="BA517" s="81"/>
      <c r="BB517" s="77"/>
      <c r="BC517" s="81"/>
      <c r="BD517" s="77"/>
      <c r="BE517" s="81"/>
      <c r="BF517" s="77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77"/>
      <c r="BU517" s="77"/>
      <c r="BV517" s="77"/>
      <c r="BW517" s="77"/>
      <c r="BX517" s="77"/>
      <c r="BY517" s="77"/>
      <c r="BZ517" s="77"/>
      <c r="CA517" s="77"/>
      <c r="CB517" s="77"/>
      <c r="CC517" s="77"/>
      <c r="CD517" s="77"/>
      <c r="CE517" s="77"/>
      <c r="CF517" s="77"/>
      <c r="CG517" s="77"/>
      <c r="CH517" s="77"/>
      <c r="CI517" s="77"/>
      <c r="CJ517" s="77"/>
      <c r="CK517" s="77"/>
      <c r="CL517" s="77"/>
      <c r="CM517" s="77"/>
      <c r="CN517" s="77"/>
      <c r="CO517" s="77"/>
      <c r="CP517" s="77"/>
      <c r="CQ517" s="77"/>
      <c r="CR517" s="77"/>
      <c r="CS517" s="77"/>
      <c r="CT517" s="77"/>
      <c r="CU517" s="77"/>
      <c r="CV517" s="77"/>
      <c r="CW517" s="77"/>
    </row>
    <row r="518" spans="1:101" ht="16.5" x14ac:dyDescent="0.45">
      <c r="A518" s="76"/>
      <c r="B518" s="77"/>
      <c r="C518" s="77"/>
      <c r="D518" s="78"/>
      <c r="E518" s="80"/>
      <c r="F518" s="80"/>
      <c r="G518" s="81"/>
      <c r="H518" s="81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82"/>
      <c r="Z518" s="82"/>
      <c r="AA518" s="82"/>
      <c r="AB518" s="80"/>
      <c r="AC518" s="77"/>
      <c r="AD518" s="77"/>
      <c r="AE518" s="77"/>
      <c r="AF518" s="77"/>
      <c r="AG518" s="77"/>
      <c r="AH518" s="77"/>
      <c r="AI518" s="92"/>
      <c r="AJ518" s="77"/>
      <c r="AK518" s="77"/>
      <c r="AL518" s="77"/>
      <c r="AM518" s="77"/>
      <c r="AN518" s="77"/>
      <c r="AO518" s="77"/>
      <c r="AP518" s="76"/>
      <c r="AQ518" s="81"/>
      <c r="AR518" s="76"/>
      <c r="AS518" s="81"/>
      <c r="AT518" s="76"/>
      <c r="AU518" s="81"/>
      <c r="AV518" s="77"/>
      <c r="AW518" s="81"/>
      <c r="AX518" s="77"/>
      <c r="AY518" s="81"/>
      <c r="AZ518" s="77"/>
      <c r="BA518" s="81"/>
      <c r="BB518" s="77"/>
      <c r="BC518" s="81"/>
      <c r="BD518" s="77"/>
      <c r="BE518" s="81"/>
      <c r="BF518" s="77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77"/>
      <c r="BU518" s="77"/>
      <c r="BV518" s="77"/>
      <c r="BW518" s="77"/>
      <c r="BX518" s="77"/>
      <c r="BY518" s="77"/>
      <c r="BZ518" s="77"/>
      <c r="CA518" s="77"/>
      <c r="CB518" s="77"/>
      <c r="CC518" s="77"/>
      <c r="CD518" s="77"/>
      <c r="CE518" s="77"/>
      <c r="CF518" s="77"/>
      <c r="CG518" s="77"/>
      <c r="CH518" s="77"/>
      <c r="CI518" s="77"/>
      <c r="CJ518" s="77"/>
      <c r="CK518" s="77"/>
      <c r="CL518" s="77"/>
      <c r="CM518" s="77"/>
      <c r="CN518" s="77"/>
      <c r="CO518" s="77"/>
      <c r="CP518" s="77"/>
      <c r="CQ518" s="77"/>
      <c r="CR518" s="77"/>
      <c r="CS518" s="77"/>
      <c r="CT518" s="77"/>
      <c r="CU518" s="77"/>
      <c r="CV518" s="77"/>
      <c r="CW518" s="77"/>
    </row>
    <row r="519" spans="1:101" ht="16.5" x14ac:dyDescent="0.45">
      <c r="A519" s="76"/>
      <c r="B519" s="77"/>
      <c r="C519" s="77"/>
      <c r="D519" s="78"/>
      <c r="E519" s="80"/>
      <c r="F519" s="80"/>
      <c r="G519" s="81"/>
      <c r="H519" s="81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82"/>
      <c r="Z519" s="82"/>
      <c r="AA519" s="82"/>
      <c r="AB519" s="80"/>
      <c r="AC519" s="77"/>
      <c r="AD519" s="77"/>
      <c r="AE519" s="77"/>
      <c r="AF519" s="77"/>
      <c r="AG519" s="77"/>
      <c r="AH519" s="77"/>
      <c r="AI519" s="92"/>
      <c r="AJ519" s="77"/>
      <c r="AK519" s="77"/>
      <c r="AL519" s="77"/>
      <c r="AM519" s="77"/>
      <c r="AN519" s="77"/>
      <c r="AO519" s="77"/>
      <c r="AP519" s="76"/>
      <c r="AQ519" s="81"/>
      <c r="AR519" s="76"/>
      <c r="AS519" s="81"/>
      <c r="AT519" s="76"/>
      <c r="AU519" s="81"/>
      <c r="AV519" s="77"/>
      <c r="AW519" s="81"/>
      <c r="AX519" s="77"/>
      <c r="AY519" s="81"/>
      <c r="AZ519" s="77"/>
      <c r="BA519" s="81"/>
      <c r="BB519" s="77"/>
      <c r="BC519" s="81"/>
      <c r="BD519" s="77"/>
      <c r="BE519" s="81"/>
      <c r="BF519" s="77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77"/>
      <c r="BU519" s="77"/>
      <c r="BV519" s="77"/>
      <c r="BW519" s="77"/>
      <c r="BX519" s="77"/>
      <c r="BY519" s="77"/>
      <c r="BZ519" s="77"/>
      <c r="CA519" s="77"/>
      <c r="CB519" s="77"/>
      <c r="CC519" s="77"/>
      <c r="CD519" s="77"/>
      <c r="CE519" s="77"/>
      <c r="CF519" s="77"/>
      <c r="CG519" s="77"/>
      <c r="CH519" s="77"/>
      <c r="CI519" s="77"/>
      <c r="CJ519" s="77"/>
      <c r="CK519" s="77"/>
      <c r="CL519" s="77"/>
      <c r="CM519" s="77"/>
      <c r="CN519" s="77"/>
      <c r="CO519" s="77"/>
      <c r="CP519" s="77"/>
      <c r="CQ519" s="77"/>
      <c r="CR519" s="77"/>
      <c r="CS519" s="77"/>
      <c r="CT519" s="77"/>
      <c r="CU519" s="77"/>
      <c r="CV519" s="77"/>
      <c r="CW519" s="77"/>
    </row>
    <row r="520" spans="1:101" ht="16.5" x14ac:dyDescent="0.45">
      <c r="A520" s="76"/>
      <c r="B520" s="77"/>
      <c r="C520" s="77"/>
      <c r="D520" s="78"/>
      <c r="E520" s="80"/>
      <c r="F520" s="80"/>
      <c r="G520" s="81"/>
      <c r="H520" s="81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82"/>
      <c r="Z520" s="82"/>
      <c r="AA520" s="82"/>
      <c r="AB520" s="80"/>
      <c r="AC520" s="77"/>
      <c r="AD520" s="77"/>
      <c r="AE520" s="77"/>
      <c r="AF520" s="77"/>
      <c r="AG520" s="77"/>
      <c r="AH520" s="77"/>
      <c r="AI520" s="92"/>
      <c r="AJ520" s="77"/>
      <c r="AK520" s="77"/>
      <c r="AL520" s="77"/>
      <c r="AM520" s="77"/>
      <c r="AN520" s="77"/>
      <c r="AO520" s="77"/>
      <c r="AP520" s="76"/>
      <c r="AQ520" s="81"/>
      <c r="AR520" s="76"/>
      <c r="AS520" s="81"/>
      <c r="AT520" s="76"/>
      <c r="AU520" s="81"/>
      <c r="AV520" s="77"/>
      <c r="AW520" s="81"/>
      <c r="AX520" s="77"/>
      <c r="AY520" s="81"/>
      <c r="AZ520" s="77"/>
      <c r="BA520" s="81"/>
      <c r="BB520" s="77"/>
      <c r="BC520" s="81"/>
      <c r="BD520" s="77"/>
      <c r="BE520" s="81"/>
      <c r="BF520" s="77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77"/>
      <c r="BU520" s="77"/>
      <c r="BV520" s="77"/>
      <c r="BW520" s="77"/>
      <c r="BX520" s="77"/>
      <c r="BY520" s="77"/>
      <c r="BZ520" s="77"/>
      <c r="CA520" s="77"/>
      <c r="CB520" s="77"/>
      <c r="CC520" s="77"/>
      <c r="CD520" s="77"/>
      <c r="CE520" s="77"/>
      <c r="CF520" s="77"/>
      <c r="CG520" s="77"/>
      <c r="CH520" s="77"/>
      <c r="CI520" s="77"/>
      <c r="CJ520" s="77"/>
      <c r="CK520" s="77"/>
      <c r="CL520" s="77"/>
      <c r="CM520" s="77"/>
      <c r="CN520" s="77"/>
      <c r="CO520" s="77"/>
      <c r="CP520" s="77"/>
      <c r="CQ520" s="77"/>
      <c r="CR520" s="77"/>
      <c r="CS520" s="77"/>
      <c r="CT520" s="77"/>
      <c r="CU520" s="77"/>
      <c r="CV520" s="77"/>
      <c r="CW520" s="77"/>
    </row>
    <row r="521" spans="1:101" ht="16.5" x14ac:dyDescent="0.45">
      <c r="A521" s="76"/>
      <c r="B521" s="77"/>
      <c r="C521" s="77"/>
      <c r="D521" s="78"/>
      <c r="E521" s="80"/>
      <c r="F521" s="80"/>
      <c r="G521" s="81"/>
      <c r="H521" s="81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82"/>
      <c r="Z521" s="82"/>
      <c r="AA521" s="82"/>
      <c r="AB521" s="80"/>
      <c r="AC521" s="77"/>
      <c r="AD521" s="77"/>
      <c r="AE521" s="77"/>
      <c r="AF521" s="77"/>
      <c r="AG521" s="77"/>
      <c r="AH521" s="77"/>
      <c r="AI521" s="92"/>
      <c r="AJ521" s="77"/>
      <c r="AK521" s="77"/>
      <c r="AL521" s="77"/>
      <c r="AM521" s="77"/>
      <c r="AN521" s="77"/>
      <c r="AO521" s="77"/>
      <c r="AP521" s="76"/>
      <c r="AQ521" s="81"/>
      <c r="AR521" s="76"/>
      <c r="AS521" s="81"/>
      <c r="AT521" s="76"/>
      <c r="AU521" s="81"/>
      <c r="AV521" s="77"/>
      <c r="AW521" s="81"/>
      <c r="AX521" s="77"/>
      <c r="AY521" s="81"/>
      <c r="AZ521" s="77"/>
      <c r="BA521" s="81"/>
      <c r="BB521" s="77"/>
      <c r="BC521" s="81"/>
      <c r="BD521" s="77"/>
      <c r="BE521" s="81"/>
      <c r="BF521" s="77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77"/>
      <c r="BU521" s="77"/>
      <c r="BV521" s="77"/>
      <c r="BW521" s="77"/>
      <c r="BX521" s="77"/>
      <c r="BY521" s="77"/>
      <c r="BZ521" s="77"/>
      <c r="CA521" s="77"/>
      <c r="CB521" s="77"/>
      <c r="CC521" s="77"/>
      <c r="CD521" s="77"/>
      <c r="CE521" s="77"/>
      <c r="CF521" s="77"/>
      <c r="CG521" s="77"/>
      <c r="CH521" s="77"/>
      <c r="CI521" s="77"/>
      <c r="CJ521" s="77"/>
      <c r="CK521" s="77"/>
      <c r="CL521" s="77"/>
      <c r="CM521" s="77"/>
      <c r="CN521" s="77"/>
      <c r="CO521" s="77"/>
      <c r="CP521" s="77"/>
      <c r="CQ521" s="77"/>
      <c r="CR521" s="77"/>
      <c r="CS521" s="77"/>
      <c r="CT521" s="77"/>
      <c r="CU521" s="77"/>
      <c r="CV521" s="77"/>
      <c r="CW521" s="77"/>
    </row>
    <row r="522" spans="1:101" ht="16.5" x14ac:dyDescent="0.45">
      <c r="A522" s="76"/>
      <c r="B522" s="77"/>
      <c r="C522" s="77"/>
      <c r="D522" s="78"/>
      <c r="E522" s="80"/>
      <c r="F522" s="80"/>
      <c r="G522" s="81"/>
      <c r="H522" s="81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82"/>
      <c r="Z522" s="82"/>
      <c r="AA522" s="82"/>
      <c r="AB522" s="80"/>
      <c r="AC522" s="77"/>
      <c r="AD522" s="77"/>
      <c r="AE522" s="77"/>
      <c r="AF522" s="77"/>
      <c r="AG522" s="77"/>
      <c r="AH522" s="77"/>
      <c r="AI522" s="92"/>
      <c r="AJ522" s="77"/>
      <c r="AK522" s="77"/>
      <c r="AL522" s="77"/>
      <c r="AM522" s="77"/>
      <c r="AN522" s="77"/>
      <c r="AO522" s="77"/>
      <c r="AP522" s="76"/>
      <c r="AQ522" s="81"/>
      <c r="AR522" s="76"/>
      <c r="AS522" s="81"/>
      <c r="AT522" s="76"/>
      <c r="AU522" s="81"/>
      <c r="AV522" s="77"/>
      <c r="AW522" s="81"/>
      <c r="AX522" s="77"/>
      <c r="AY522" s="81"/>
      <c r="AZ522" s="77"/>
      <c r="BA522" s="81"/>
      <c r="BB522" s="77"/>
      <c r="BC522" s="81"/>
      <c r="BD522" s="77"/>
      <c r="BE522" s="81"/>
      <c r="BF522" s="77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77"/>
      <c r="BU522" s="77"/>
      <c r="BV522" s="77"/>
      <c r="BW522" s="77"/>
      <c r="BX522" s="77"/>
      <c r="BY522" s="77"/>
      <c r="BZ522" s="77"/>
      <c r="CA522" s="77"/>
      <c r="CB522" s="77"/>
      <c r="CC522" s="77"/>
      <c r="CD522" s="77"/>
      <c r="CE522" s="77"/>
      <c r="CF522" s="77"/>
      <c r="CG522" s="77"/>
      <c r="CH522" s="77"/>
      <c r="CI522" s="77"/>
      <c r="CJ522" s="77"/>
      <c r="CK522" s="77"/>
      <c r="CL522" s="77"/>
      <c r="CM522" s="77"/>
      <c r="CN522" s="77"/>
      <c r="CO522" s="77"/>
      <c r="CP522" s="77"/>
      <c r="CQ522" s="77"/>
      <c r="CR522" s="77"/>
      <c r="CS522" s="77"/>
      <c r="CT522" s="77"/>
      <c r="CU522" s="77"/>
      <c r="CV522" s="77"/>
      <c r="CW522" s="77"/>
    </row>
    <row r="523" spans="1:101" ht="16.5" x14ac:dyDescent="0.45">
      <c r="A523" s="76"/>
      <c r="B523" s="77"/>
      <c r="C523" s="77"/>
      <c r="D523" s="78"/>
      <c r="E523" s="80"/>
      <c r="F523" s="80"/>
      <c r="G523" s="81"/>
      <c r="H523" s="81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82"/>
      <c r="Z523" s="82"/>
      <c r="AA523" s="82"/>
      <c r="AB523" s="80"/>
      <c r="AC523" s="77"/>
      <c r="AD523" s="77"/>
      <c r="AE523" s="77"/>
      <c r="AF523" s="77"/>
      <c r="AG523" s="77"/>
      <c r="AH523" s="77"/>
      <c r="AI523" s="92"/>
      <c r="AJ523" s="77"/>
      <c r="AK523" s="77"/>
      <c r="AL523" s="77"/>
      <c r="AM523" s="77"/>
      <c r="AN523" s="77"/>
      <c r="AO523" s="77"/>
      <c r="AP523" s="76"/>
      <c r="AQ523" s="81"/>
      <c r="AR523" s="76"/>
      <c r="AS523" s="81"/>
      <c r="AT523" s="76"/>
      <c r="AU523" s="81"/>
      <c r="AV523" s="77"/>
      <c r="AW523" s="81"/>
      <c r="AX523" s="77"/>
      <c r="AY523" s="81"/>
      <c r="AZ523" s="77"/>
      <c r="BA523" s="81"/>
      <c r="BB523" s="77"/>
      <c r="BC523" s="81"/>
      <c r="BD523" s="77"/>
      <c r="BE523" s="81"/>
      <c r="BF523" s="77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77"/>
      <c r="BU523" s="77"/>
      <c r="BV523" s="77"/>
      <c r="BW523" s="77"/>
      <c r="BX523" s="77"/>
      <c r="BY523" s="77"/>
      <c r="BZ523" s="77"/>
      <c r="CA523" s="77"/>
      <c r="CB523" s="77"/>
      <c r="CC523" s="77"/>
      <c r="CD523" s="77"/>
      <c r="CE523" s="77"/>
      <c r="CF523" s="77"/>
      <c r="CG523" s="77"/>
      <c r="CH523" s="77"/>
      <c r="CI523" s="77"/>
      <c r="CJ523" s="77"/>
      <c r="CK523" s="77"/>
      <c r="CL523" s="77"/>
      <c r="CM523" s="77"/>
      <c r="CN523" s="77"/>
      <c r="CO523" s="77"/>
      <c r="CP523" s="77"/>
      <c r="CQ523" s="77"/>
      <c r="CR523" s="77"/>
      <c r="CS523" s="77"/>
      <c r="CT523" s="77"/>
      <c r="CU523" s="77"/>
      <c r="CV523" s="77"/>
      <c r="CW523" s="77"/>
    </row>
    <row r="524" spans="1:101" ht="16.5" x14ac:dyDescent="0.45">
      <c r="A524" s="76"/>
      <c r="B524" s="77"/>
      <c r="C524" s="77"/>
      <c r="D524" s="78"/>
      <c r="E524" s="80"/>
      <c r="F524" s="80"/>
      <c r="G524" s="81"/>
      <c r="H524" s="81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82"/>
      <c r="Z524" s="82"/>
      <c r="AA524" s="82"/>
      <c r="AB524" s="80"/>
      <c r="AC524" s="77"/>
      <c r="AD524" s="77"/>
      <c r="AE524" s="77"/>
      <c r="AF524" s="77"/>
      <c r="AG524" s="77"/>
      <c r="AH524" s="77"/>
      <c r="AI524" s="92"/>
      <c r="AJ524" s="77"/>
      <c r="AK524" s="77"/>
      <c r="AL524" s="77"/>
      <c r="AM524" s="77"/>
      <c r="AN524" s="77"/>
      <c r="AO524" s="77"/>
      <c r="AP524" s="76"/>
      <c r="AQ524" s="81"/>
      <c r="AR524" s="76"/>
      <c r="AS524" s="81"/>
      <c r="AT524" s="76"/>
      <c r="AU524" s="81"/>
      <c r="AV524" s="77"/>
      <c r="AW524" s="81"/>
      <c r="AX524" s="77"/>
      <c r="AY524" s="81"/>
      <c r="AZ524" s="77"/>
      <c r="BA524" s="81"/>
      <c r="BB524" s="77"/>
      <c r="BC524" s="81"/>
      <c r="BD524" s="77"/>
      <c r="BE524" s="81"/>
      <c r="BF524" s="77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77"/>
      <c r="BU524" s="77"/>
      <c r="BV524" s="77"/>
      <c r="BW524" s="77"/>
      <c r="BX524" s="77"/>
      <c r="BY524" s="77"/>
      <c r="BZ524" s="77"/>
      <c r="CA524" s="77"/>
      <c r="CB524" s="77"/>
      <c r="CC524" s="77"/>
      <c r="CD524" s="77"/>
      <c r="CE524" s="77"/>
      <c r="CF524" s="77"/>
      <c r="CG524" s="77"/>
      <c r="CH524" s="77"/>
      <c r="CI524" s="77"/>
      <c r="CJ524" s="77"/>
      <c r="CK524" s="77"/>
      <c r="CL524" s="77"/>
      <c r="CM524" s="77"/>
      <c r="CN524" s="77"/>
      <c r="CO524" s="77"/>
      <c r="CP524" s="77"/>
      <c r="CQ524" s="77"/>
      <c r="CR524" s="77"/>
      <c r="CS524" s="77"/>
      <c r="CT524" s="77"/>
      <c r="CU524" s="77"/>
      <c r="CV524" s="77"/>
      <c r="CW524" s="77"/>
    </row>
    <row r="525" spans="1:101" ht="16.5" x14ac:dyDescent="0.45">
      <c r="A525" s="76"/>
      <c r="B525" s="77"/>
      <c r="C525" s="77"/>
      <c r="D525" s="78"/>
      <c r="E525" s="80"/>
      <c r="F525" s="80"/>
      <c r="G525" s="81"/>
      <c r="H525" s="81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82"/>
      <c r="Z525" s="82"/>
      <c r="AA525" s="82"/>
      <c r="AB525" s="80"/>
      <c r="AC525" s="77"/>
      <c r="AD525" s="77"/>
      <c r="AE525" s="77"/>
      <c r="AF525" s="77"/>
      <c r="AG525" s="77"/>
      <c r="AH525" s="77"/>
      <c r="AI525" s="92"/>
      <c r="AJ525" s="77"/>
      <c r="AK525" s="77"/>
      <c r="AL525" s="77"/>
      <c r="AM525" s="77"/>
      <c r="AN525" s="77"/>
      <c r="AO525" s="77"/>
      <c r="AP525" s="76"/>
      <c r="AQ525" s="81"/>
      <c r="AR525" s="76"/>
      <c r="AS525" s="81"/>
      <c r="AT525" s="76"/>
      <c r="AU525" s="81"/>
      <c r="AV525" s="77"/>
      <c r="AW525" s="81"/>
      <c r="AX525" s="77"/>
      <c r="AY525" s="81"/>
      <c r="AZ525" s="77"/>
      <c r="BA525" s="81"/>
      <c r="BB525" s="77"/>
      <c r="BC525" s="81"/>
      <c r="BD525" s="77"/>
      <c r="BE525" s="81"/>
      <c r="BF525" s="77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77"/>
      <c r="BU525" s="77"/>
      <c r="BV525" s="77"/>
      <c r="BW525" s="77"/>
      <c r="BX525" s="77"/>
      <c r="BY525" s="77"/>
      <c r="BZ525" s="77"/>
      <c r="CA525" s="77"/>
      <c r="CB525" s="77"/>
      <c r="CC525" s="77"/>
      <c r="CD525" s="77"/>
      <c r="CE525" s="77"/>
      <c r="CF525" s="77"/>
      <c r="CG525" s="77"/>
      <c r="CH525" s="77"/>
      <c r="CI525" s="77"/>
      <c r="CJ525" s="77"/>
      <c r="CK525" s="77"/>
      <c r="CL525" s="77"/>
      <c r="CM525" s="77"/>
      <c r="CN525" s="77"/>
      <c r="CO525" s="77"/>
      <c r="CP525" s="77"/>
      <c r="CQ525" s="77"/>
      <c r="CR525" s="77"/>
      <c r="CS525" s="77"/>
      <c r="CT525" s="77"/>
      <c r="CU525" s="77"/>
      <c r="CV525" s="77"/>
      <c r="CW525" s="77"/>
    </row>
    <row r="526" spans="1:101" ht="16.5" x14ac:dyDescent="0.45">
      <c r="A526" s="76"/>
      <c r="B526" s="77"/>
      <c r="C526" s="77"/>
      <c r="D526" s="78"/>
      <c r="E526" s="80"/>
      <c r="F526" s="80"/>
      <c r="G526" s="81"/>
      <c r="H526" s="81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82"/>
      <c r="Z526" s="82"/>
      <c r="AA526" s="82"/>
      <c r="AB526" s="80"/>
      <c r="AC526" s="77"/>
      <c r="AD526" s="77"/>
      <c r="AE526" s="77"/>
      <c r="AF526" s="77"/>
      <c r="AG526" s="77"/>
      <c r="AH526" s="77"/>
      <c r="AI526" s="92"/>
      <c r="AJ526" s="77"/>
      <c r="AK526" s="77"/>
      <c r="AL526" s="77"/>
      <c r="AM526" s="77"/>
      <c r="AN526" s="77"/>
      <c r="AO526" s="77"/>
      <c r="AP526" s="76"/>
      <c r="AQ526" s="81"/>
      <c r="AR526" s="76"/>
      <c r="AS526" s="81"/>
      <c r="AT526" s="76"/>
      <c r="AU526" s="81"/>
      <c r="AV526" s="77"/>
      <c r="AW526" s="81"/>
      <c r="AX526" s="77"/>
      <c r="AY526" s="81"/>
      <c r="AZ526" s="77"/>
      <c r="BA526" s="81"/>
      <c r="BB526" s="77"/>
      <c r="BC526" s="81"/>
      <c r="BD526" s="77"/>
      <c r="BE526" s="81"/>
      <c r="BF526" s="77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77"/>
      <c r="BU526" s="77"/>
      <c r="BV526" s="77"/>
      <c r="BW526" s="77"/>
      <c r="BX526" s="77"/>
      <c r="BY526" s="77"/>
      <c r="BZ526" s="77"/>
      <c r="CA526" s="77"/>
      <c r="CB526" s="77"/>
      <c r="CC526" s="77"/>
      <c r="CD526" s="77"/>
      <c r="CE526" s="77"/>
      <c r="CF526" s="77"/>
      <c r="CG526" s="77"/>
      <c r="CH526" s="77"/>
      <c r="CI526" s="77"/>
      <c r="CJ526" s="77"/>
      <c r="CK526" s="77"/>
      <c r="CL526" s="77"/>
      <c r="CM526" s="77"/>
      <c r="CN526" s="77"/>
      <c r="CO526" s="77"/>
      <c r="CP526" s="77"/>
      <c r="CQ526" s="77"/>
      <c r="CR526" s="77"/>
      <c r="CS526" s="77"/>
      <c r="CT526" s="77"/>
      <c r="CU526" s="77"/>
      <c r="CV526" s="77"/>
      <c r="CW526" s="77"/>
    </row>
    <row r="527" spans="1:101" ht="16.5" x14ac:dyDescent="0.45">
      <c r="A527" s="76"/>
      <c r="B527" s="77"/>
      <c r="C527" s="77"/>
      <c r="D527" s="78"/>
      <c r="E527" s="80"/>
      <c r="F527" s="80"/>
      <c r="G527" s="81"/>
      <c r="H527" s="81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82"/>
      <c r="Z527" s="82"/>
      <c r="AA527" s="82"/>
      <c r="AB527" s="80"/>
      <c r="AC527" s="77"/>
      <c r="AD527" s="77"/>
      <c r="AE527" s="77"/>
      <c r="AF527" s="77"/>
      <c r="AG527" s="77"/>
      <c r="AH527" s="77"/>
      <c r="AI527" s="92"/>
      <c r="AJ527" s="77"/>
      <c r="AK527" s="77"/>
      <c r="AL527" s="77"/>
      <c r="AM527" s="77"/>
      <c r="AN527" s="77"/>
      <c r="AO527" s="77"/>
      <c r="AP527" s="76"/>
      <c r="AQ527" s="81"/>
      <c r="AR527" s="76"/>
      <c r="AS527" s="81"/>
      <c r="AT527" s="76"/>
      <c r="AU527" s="81"/>
      <c r="AV527" s="77"/>
      <c r="AW527" s="81"/>
      <c r="AX527" s="77"/>
      <c r="AY527" s="81"/>
      <c r="AZ527" s="77"/>
      <c r="BA527" s="81"/>
      <c r="BB527" s="77"/>
      <c r="BC527" s="81"/>
      <c r="BD527" s="77"/>
      <c r="BE527" s="81"/>
      <c r="BF527" s="77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77"/>
      <c r="BU527" s="77"/>
      <c r="BV527" s="77"/>
      <c r="BW527" s="77"/>
      <c r="BX527" s="77"/>
      <c r="BY527" s="77"/>
      <c r="BZ527" s="77"/>
      <c r="CA527" s="77"/>
      <c r="CB527" s="77"/>
      <c r="CC527" s="77"/>
      <c r="CD527" s="77"/>
      <c r="CE527" s="77"/>
      <c r="CF527" s="77"/>
      <c r="CG527" s="77"/>
      <c r="CH527" s="77"/>
      <c r="CI527" s="77"/>
      <c r="CJ527" s="77"/>
      <c r="CK527" s="77"/>
      <c r="CL527" s="77"/>
      <c r="CM527" s="77"/>
      <c r="CN527" s="77"/>
      <c r="CO527" s="77"/>
      <c r="CP527" s="77"/>
      <c r="CQ527" s="77"/>
      <c r="CR527" s="77"/>
      <c r="CS527" s="77"/>
      <c r="CT527" s="77"/>
      <c r="CU527" s="77"/>
      <c r="CV527" s="77"/>
      <c r="CW527" s="77"/>
    </row>
    <row r="528" spans="1:101" ht="16.5" x14ac:dyDescent="0.45">
      <c r="A528" s="76"/>
      <c r="B528" s="77"/>
      <c r="C528" s="77"/>
      <c r="D528" s="78"/>
      <c r="E528" s="80"/>
      <c r="F528" s="80"/>
      <c r="G528" s="81"/>
      <c r="H528" s="81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82"/>
      <c r="Z528" s="82"/>
      <c r="AA528" s="82"/>
      <c r="AB528" s="80"/>
      <c r="AC528" s="77"/>
      <c r="AD528" s="77"/>
      <c r="AE528" s="77"/>
      <c r="AF528" s="77"/>
      <c r="AG528" s="77"/>
      <c r="AH528" s="77"/>
      <c r="AI528" s="92"/>
      <c r="AJ528" s="77"/>
      <c r="AK528" s="77"/>
      <c r="AL528" s="77"/>
      <c r="AM528" s="77"/>
      <c r="AN528" s="77"/>
      <c r="AO528" s="77"/>
      <c r="AP528" s="76"/>
      <c r="AQ528" s="81"/>
      <c r="AR528" s="76"/>
      <c r="AS528" s="81"/>
      <c r="AT528" s="76"/>
      <c r="AU528" s="81"/>
      <c r="AV528" s="77"/>
      <c r="AW528" s="81"/>
      <c r="AX528" s="77"/>
      <c r="AY528" s="81"/>
      <c r="AZ528" s="77"/>
      <c r="BA528" s="81"/>
      <c r="BB528" s="77"/>
      <c r="BC528" s="81"/>
      <c r="BD528" s="77"/>
      <c r="BE528" s="81"/>
      <c r="BF528" s="77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77"/>
      <c r="BU528" s="77"/>
      <c r="BV528" s="77"/>
      <c r="BW528" s="77"/>
      <c r="BX528" s="77"/>
      <c r="BY528" s="77"/>
      <c r="BZ528" s="77"/>
      <c r="CA528" s="77"/>
      <c r="CB528" s="77"/>
      <c r="CC528" s="77"/>
      <c r="CD528" s="77"/>
      <c r="CE528" s="77"/>
      <c r="CF528" s="77"/>
      <c r="CG528" s="77"/>
      <c r="CH528" s="77"/>
      <c r="CI528" s="77"/>
      <c r="CJ528" s="77"/>
      <c r="CK528" s="77"/>
      <c r="CL528" s="77"/>
      <c r="CM528" s="77"/>
      <c r="CN528" s="77"/>
      <c r="CO528" s="77"/>
      <c r="CP528" s="77"/>
      <c r="CQ528" s="77"/>
      <c r="CR528" s="77"/>
      <c r="CS528" s="77"/>
      <c r="CT528" s="77"/>
      <c r="CU528" s="77"/>
      <c r="CV528" s="77"/>
      <c r="CW528" s="77"/>
    </row>
    <row r="529" spans="1:101" ht="16.5" x14ac:dyDescent="0.45">
      <c r="A529" s="76"/>
      <c r="B529" s="77"/>
      <c r="C529" s="77"/>
      <c r="D529" s="78"/>
      <c r="E529" s="80"/>
      <c r="F529" s="80"/>
      <c r="G529" s="81"/>
      <c r="H529" s="81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82"/>
      <c r="Z529" s="82"/>
      <c r="AA529" s="82"/>
      <c r="AB529" s="80"/>
      <c r="AC529" s="77"/>
      <c r="AD529" s="77"/>
      <c r="AE529" s="77"/>
      <c r="AF529" s="77"/>
      <c r="AG529" s="77"/>
      <c r="AH529" s="77"/>
      <c r="AI529" s="92"/>
      <c r="AJ529" s="77"/>
      <c r="AK529" s="77"/>
      <c r="AL529" s="77"/>
      <c r="AM529" s="77"/>
      <c r="AN529" s="77"/>
      <c r="AO529" s="77"/>
      <c r="AP529" s="76"/>
      <c r="AQ529" s="81"/>
      <c r="AR529" s="76"/>
      <c r="AS529" s="81"/>
      <c r="AT529" s="76"/>
      <c r="AU529" s="81"/>
      <c r="AV529" s="77"/>
      <c r="AW529" s="81"/>
      <c r="AX529" s="77"/>
      <c r="AY529" s="81"/>
      <c r="AZ529" s="77"/>
      <c r="BA529" s="81"/>
      <c r="BB529" s="77"/>
      <c r="BC529" s="81"/>
      <c r="BD529" s="77"/>
      <c r="BE529" s="81"/>
      <c r="BF529" s="77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77"/>
      <c r="BU529" s="77"/>
      <c r="BV529" s="77"/>
      <c r="BW529" s="77"/>
      <c r="BX529" s="77"/>
      <c r="BY529" s="77"/>
      <c r="BZ529" s="77"/>
      <c r="CA529" s="77"/>
      <c r="CB529" s="77"/>
      <c r="CC529" s="77"/>
      <c r="CD529" s="77"/>
      <c r="CE529" s="77"/>
      <c r="CF529" s="77"/>
      <c r="CG529" s="77"/>
      <c r="CH529" s="77"/>
      <c r="CI529" s="77"/>
      <c r="CJ529" s="77"/>
      <c r="CK529" s="77"/>
      <c r="CL529" s="77"/>
      <c r="CM529" s="77"/>
      <c r="CN529" s="77"/>
      <c r="CO529" s="77"/>
      <c r="CP529" s="77"/>
      <c r="CQ529" s="77"/>
      <c r="CR529" s="77"/>
      <c r="CS529" s="77"/>
      <c r="CT529" s="77"/>
      <c r="CU529" s="77"/>
      <c r="CV529" s="77"/>
      <c r="CW529" s="77"/>
    </row>
    <row r="530" spans="1:101" ht="16.5" x14ac:dyDescent="0.45">
      <c r="A530" s="76"/>
      <c r="B530" s="77"/>
      <c r="C530" s="77"/>
      <c r="D530" s="78"/>
      <c r="E530" s="80"/>
      <c r="F530" s="80"/>
      <c r="G530" s="81"/>
      <c r="H530" s="81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82"/>
      <c r="Z530" s="82"/>
      <c r="AA530" s="82"/>
      <c r="AB530" s="80"/>
      <c r="AC530" s="77"/>
      <c r="AD530" s="77"/>
      <c r="AE530" s="77"/>
      <c r="AF530" s="77"/>
      <c r="AG530" s="77"/>
      <c r="AH530" s="77"/>
      <c r="AI530" s="92"/>
      <c r="AJ530" s="77"/>
      <c r="AK530" s="77"/>
      <c r="AL530" s="77"/>
      <c r="AM530" s="77"/>
      <c r="AN530" s="77"/>
      <c r="AO530" s="77"/>
      <c r="AP530" s="76"/>
      <c r="AQ530" s="81"/>
      <c r="AR530" s="76"/>
      <c r="AS530" s="81"/>
      <c r="AT530" s="76"/>
      <c r="AU530" s="81"/>
      <c r="AV530" s="77"/>
      <c r="AW530" s="81"/>
      <c r="AX530" s="77"/>
      <c r="AY530" s="81"/>
      <c r="AZ530" s="77"/>
      <c r="BA530" s="81"/>
      <c r="BB530" s="77"/>
      <c r="BC530" s="81"/>
      <c r="BD530" s="77"/>
      <c r="BE530" s="81"/>
      <c r="BF530" s="77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77"/>
      <c r="BU530" s="77"/>
      <c r="BV530" s="77"/>
      <c r="BW530" s="77"/>
      <c r="BX530" s="77"/>
      <c r="BY530" s="77"/>
      <c r="BZ530" s="77"/>
      <c r="CA530" s="77"/>
      <c r="CB530" s="77"/>
      <c r="CC530" s="77"/>
      <c r="CD530" s="77"/>
      <c r="CE530" s="77"/>
      <c r="CF530" s="77"/>
      <c r="CG530" s="77"/>
      <c r="CH530" s="77"/>
      <c r="CI530" s="77"/>
      <c r="CJ530" s="77"/>
      <c r="CK530" s="77"/>
      <c r="CL530" s="77"/>
      <c r="CM530" s="77"/>
      <c r="CN530" s="77"/>
      <c r="CO530" s="77"/>
      <c r="CP530" s="77"/>
      <c r="CQ530" s="77"/>
      <c r="CR530" s="77"/>
      <c r="CS530" s="77"/>
      <c r="CT530" s="77"/>
      <c r="CU530" s="77"/>
      <c r="CV530" s="77"/>
      <c r="CW530" s="77"/>
    </row>
    <row r="531" spans="1:101" ht="16.5" x14ac:dyDescent="0.45">
      <c r="A531" s="76"/>
      <c r="B531" s="77"/>
      <c r="C531" s="77"/>
      <c r="D531" s="78"/>
      <c r="E531" s="80"/>
      <c r="F531" s="80"/>
      <c r="G531" s="81"/>
      <c r="H531" s="81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82"/>
      <c r="Z531" s="82"/>
      <c r="AA531" s="82"/>
      <c r="AB531" s="80"/>
      <c r="AC531" s="77"/>
      <c r="AD531" s="77"/>
      <c r="AE531" s="77"/>
      <c r="AF531" s="77"/>
      <c r="AG531" s="77"/>
      <c r="AH531" s="77"/>
      <c r="AI531" s="92"/>
      <c r="AJ531" s="77"/>
      <c r="AK531" s="77"/>
      <c r="AL531" s="77"/>
      <c r="AM531" s="77"/>
      <c r="AN531" s="77"/>
      <c r="AO531" s="77"/>
      <c r="AP531" s="76"/>
      <c r="AQ531" s="81"/>
      <c r="AR531" s="76"/>
      <c r="AS531" s="81"/>
      <c r="AT531" s="76"/>
      <c r="AU531" s="81"/>
      <c r="AV531" s="77"/>
      <c r="AW531" s="81"/>
      <c r="AX531" s="77"/>
      <c r="AY531" s="81"/>
      <c r="AZ531" s="77"/>
      <c r="BA531" s="81"/>
      <c r="BB531" s="77"/>
      <c r="BC531" s="81"/>
      <c r="BD531" s="77"/>
      <c r="BE531" s="81"/>
      <c r="BF531" s="77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77"/>
      <c r="BU531" s="77"/>
      <c r="BV531" s="77"/>
      <c r="BW531" s="77"/>
      <c r="BX531" s="77"/>
      <c r="BY531" s="77"/>
      <c r="BZ531" s="77"/>
      <c r="CA531" s="77"/>
      <c r="CB531" s="77"/>
      <c r="CC531" s="77"/>
      <c r="CD531" s="77"/>
      <c r="CE531" s="77"/>
      <c r="CF531" s="77"/>
      <c r="CG531" s="77"/>
      <c r="CH531" s="77"/>
      <c r="CI531" s="77"/>
      <c r="CJ531" s="77"/>
      <c r="CK531" s="77"/>
      <c r="CL531" s="77"/>
      <c r="CM531" s="77"/>
      <c r="CN531" s="77"/>
      <c r="CO531" s="77"/>
      <c r="CP531" s="77"/>
      <c r="CQ531" s="77"/>
      <c r="CR531" s="77"/>
      <c r="CS531" s="77"/>
      <c r="CT531" s="77"/>
      <c r="CU531" s="77"/>
      <c r="CV531" s="77"/>
      <c r="CW531" s="77"/>
    </row>
    <row r="532" spans="1:101" ht="16.5" x14ac:dyDescent="0.45">
      <c r="A532" s="76"/>
      <c r="B532" s="77"/>
      <c r="C532" s="77"/>
      <c r="D532" s="78"/>
      <c r="E532" s="80"/>
      <c r="F532" s="80"/>
      <c r="G532" s="81"/>
      <c r="H532" s="81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82"/>
      <c r="Z532" s="82"/>
      <c r="AA532" s="82"/>
      <c r="AB532" s="80"/>
      <c r="AC532" s="77"/>
      <c r="AD532" s="77"/>
      <c r="AE532" s="77"/>
      <c r="AF532" s="77"/>
      <c r="AG532" s="77"/>
      <c r="AH532" s="77"/>
      <c r="AI532" s="92"/>
      <c r="AJ532" s="77"/>
      <c r="AK532" s="77"/>
      <c r="AL532" s="77"/>
      <c r="AM532" s="77"/>
      <c r="AN532" s="77"/>
      <c r="AO532" s="77"/>
      <c r="AP532" s="76"/>
      <c r="AQ532" s="81"/>
      <c r="AR532" s="76"/>
      <c r="AS532" s="81"/>
      <c r="AT532" s="76"/>
      <c r="AU532" s="81"/>
      <c r="AV532" s="77"/>
      <c r="AW532" s="81"/>
      <c r="AX532" s="77"/>
      <c r="AY532" s="81"/>
      <c r="AZ532" s="77"/>
      <c r="BA532" s="81"/>
      <c r="BB532" s="77"/>
      <c r="BC532" s="81"/>
      <c r="BD532" s="77"/>
      <c r="BE532" s="81"/>
      <c r="BF532" s="77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77"/>
      <c r="BU532" s="77"/>
      <c r="BV532" s="77"/>
      <c r="BW532" s="77"/>
      <c r="BX532" s="77"/>
      <c r="BY532" s="77"/>
      <c r="BZ532" s="77"/>
      <c r="CA532" s="77"/>
      <c r="CB532" s="77"/>
      <c r="CC532" s="77"/>
      <c r="CD532" s="77"/>
      <c r="CE532" s="77"/>
      <c r="CF532" s="77"/>
      <c r="CG532" s="77"/>
      <c r="CH532" s="77"/>
      <c r="CI532" s="77"/>
      <c r="CJ532" s="77"/>
      <c r="CK532" s="77"/>
      <c r="CL532" s="77"/>
      <c r="CM532" s="77"/>
      <c r="CN532" s="77"/>
      <c r="CO532" s="77"/>
      <c r="CP532" s="77"/>
      <c r="CQ532" s="77"/>
      <c r="CR532" s="77"/>
      <c r="CS532" s="77"/>
      <c r="CT532" s="77"/>
      <c r="CU532" s="77"/>
      <c r="CV532" s="77"/>
      <c r="CW532" s="77"/>
    </row>
    <row r="533" spans="1:101" ht="16.5" x14ac:dyDescent="0.45">
      <c r="A533" s="76"/>
      <c r="B533" s="77"/>
      <c r="C533" s="77"/>
      <c r="D533" s="78"/>
      <c r="E533" s="80"/>
      <c r="F533" s="80"/>
      <c r="G533" s="81"/>
      <c r="H533" s="81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82"/>
      <c r="Z533" s="82"/>
      <c r="AA533" s="82"/>
      <c r="AB533" s="80"/>
      <c r="AC533" s="77"/>
      <c r="AD533" s="77"/>
      <c r="AE533" s="77"/>
      <c r="AF533" s="77"/>
      <c r="AG533" s="77"/>
      <c r="AH533" s="77"/>
      <c r="AI533" s="92"/>
      <c r="AJ533" s="77"/>
      <c r="AK533" s="77"/>
      <c r="AL533" s="77"/>
      <c r="AM533" s="77"/>
      <c r="AN533" s="77"/>
      <c r="AO533" s="77"/>
      <c r="AP533" s="76"/>
      <c r="AQ533" s="81"/>
      <c r="AR533" s="76"/>
      <c r="AS533" s="81"/>
      <c r="AT533" s="76"/>
      <c r="AU533" s="81"/>
      <c r="AV533" s="77"/>
      <c r="AW533" s="81"/>
      <c r="AX533" s="77"/>
      <c r="AY533" s="81"/>
      <c r="AZ533" s="77"/>
      <c r="BA533" s="81"/>
      <c r="BB533" s="77"/>
      <c r="BC533" s="81"/>
      <c r="BD533" s="77"/>
      <c r="BE533" s="81"/>
      <c r="BF533" s="77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77"/>
      <c r="BU533" s="77"/>
      <c r="BV533" s="77"/>
      <c r="BW533" s="77"/>
      <c r="BX533" s="77"/>
      <c r="BY533" s="77"/>
      <c r="BZ533" s="77"/>
      <c r="CA533" s="77"/>
      <c r="CB533" s="77"/>
      <c r="CC533" s="77"/>
      <c r="CD533" s="77"/>
      <c r="CE533" s="77"/>
      <c r="CF533" s="77"/>
      <c r="CG533" s="77"/>
      <c r="CH533" s="77"/>
      <c r="CI533" s="77"/>
      <c r="CJ533" s="77"/>
      <c r="CK533" s="77"/>
      <c r="CL533" s="77"/>
      <c r="CM533" s="77"/>
      <c r="CN533" s="77"/>
      <c r="CO533" s="77"/>
      <c r="CP533" s="77"/>
      <c r="CQ533" s="77"/>
      <c r="CR533" s="77"/>
      <c r="CS533" s="77"/>
      <c r="CT533" s="77"/>
      <c r="CU533" s="77"/>
      <c r="CV533" s="77"/>
      <c r="CW533" s="77"/>
    </row>
    <row r="534" spans="1:101" ht="16.5" x14ac:dyDescent="0.45">
      <c r="A534" s="76"/>
      <c r="B534" s="77"/>
      <c r="C534" s="77"/>
      <c r="D534" s="78"/>
      <c r="E534" s="80"/>
      <c r="F534" s="80"/>
      <c r="G534" s="81"/>
      <c r="H534" s="81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82"/>
      <c r="Z534" s="82"/>
      <c r="AA534" s="82"/>
      <c r="AB534" s="80"/>
      <c r="AC534" s="77"/>
      <c r="AD534" s="77"/>
      <c r="AE534" s="77"/>
      <c r="AF534" s="77"/>
      <c r="AG534" s="77"/>
      <c r="AH534" s="77"/>
      <c r="AI534" s="92"/>
      <c r="AJ534" s="77"/>
      <c r="AK534" s="77"/>
      <c r="AL534" s="77"/>
      <c r="AM534" s="77"/>
      <c r="AN534" s="77"/>
      <c r="AO534" s="77"/>
      <c r="AP534" s="76"/>
      <c r="AQ534" s="81"/>
      <c r="AR534" s="76"/>
      <c r="AS534" s="81"/>
      <c r="AT534" s="76"/>
      <c r="AU534" s="81"/>
      <c r="AV534" s="77"/>
      <c r="AW534" s="81"/>
      <c r="AX534" s="77"/>
      <c r="AY534" s="81"/>
      <c r="AZ534" s="77"/>
      <c r="BA534" s="81"/>
      <c r="BB534" s="77"/>
      <c r="BC534" s="81"/>
      <c r="BD534" s="77"/>
      <c r="BE534" s="81"/>
      <c r="BF534" s="77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77"/>
      <c r="BU534" s="77"/>
      <c r="BV534" s="77"/>
      <c r="BW534" s="77"/>
      <c r="BX534" s="77"/>
      <c r="BY534" s="77"/>
      <c r="BZ534" s="77"/>
      <c r="CA534" s="77"/>
      <c r="CB534" s="77"/>
      <c r="CC534" s="77"/>
      <c r="CD534" s="77"/>
      <c r="CE534" s="77"/>
      <c r="CF534" s="77"/>
      <c r="CG534" s="77"/>
      <c r="CH534" s="77"/>
      <c r="CI534" s="77"/>
      <c r="CJ534" s="77"/>
      <c r="CK534" s="77"/>
      <c r="CL534" s="77"/>
      <c r="CM534" s="77"/>
      <c r="CN534" s="77"/>
      <c r="CO534" s="77"/>
      <c r="CP534" s="77"/>
      <c r="CQ534" s="77"/>
      <c r="CR534" s="77"/>
      <c r="CS534" s="77"/>
      <c r="CT534" s="77"/>
      <c r="CU534" s="77"/>
      <c r="CV534" s="77"/>
      <c r="CW534" s="77"/>
    </row>
    <row r="535" spans="1:101" ht="16.5" x14ac:dyDescent="0.45">
      <c r="A535" s="76"/>
      <c r="B535" s="77"/>
      <c r="C535" s="77"/>
      <c r="D535" s="78"/>
      <c r="E535" s="80"/>
      <c r="F535" s="80"/>
      <c r="G535" s="81"/>
      <c r="H535" s="81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82"/>
      <c r="Z535" s="82"/>
      <c r="AA535" s="82"/>
      <c r="AB535" s="80"/>
      <c r="AC535" s="77"/>
      <c r="AD535" s="77"/>
      <c r="AE535" s="77"/>
      <c r="AF535" s="77"/>
      <c r="AG535" s="77"/>
      <c r="AH535" s="77"/>
      <c r="AI535" s="92"/>
      <c r="AJ535" s="77"/>
      <c r="AK535" s="77"/>
      <c r="AL535" s="77"/>
      <c r="AM535" s="77"/>
      <c r="AN535" s="77"/>
      <c r="AO535" s="77"/>
      <c r="AP535" s="76"/>
      <c r="AQ535" s="81"/>
      <c r="AR535" s="76"/>
      <c r="AS535" s="81"/>
      <c r="AT535" s="76"/>
      <c r="AU535" s="81"/>
      <c r="AV535" s="77"/>
      <c r="AW535" s="81"/>
      <c r="AX535" s="77"/>
      <c r="AY535" s="81"/>
      <c r="AZ535" s="77"/>
      <c r="BA535" s="81"/>
      <c r="BB535" s="77"/>
      <c r="BC535" s="81"/>
      <c r="BD535" s="77"/>
      <c r="BE535" s="81"/>
      <c r="BF535" s="77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77"/>
      <c r="BU535" s="77"/>
      <c r="BV535" s="77"/>
      <c r="BW535" s="77"/>
      <c r="BX535" s="77"/>
      <c r="BY535" s="77"/>
      <c r="BZ535" s="77"/>
      <c r="CA535" s="77"/>
      <c r="CB535" s="77"/>
      <c r="CC535" s="77"/>
      <c r="CD535" s="77"/>
      <c r="CE535" s="77"/>
      <c r="CF535" s="77"/>
      <c r="CG535" s="77"/>
      <c r="CH535" s="77"/>
      <c r="CI535" s="77"/>
      <c r="CJ535" s="77"/>
      <c r="CK535" s="77"/>
      <c r="CL535" s="77"/>
      <c r="CM535" s="77"/>
      <c r="CN535" s="77"/>
      <c r="CO535" s="77"/>
      <c r="CP535" s="77"/>
      <c r="CQ535" s="77"/>
      <c r="CR535" s="77"/>
      <c r="CS535" s="77"/>
      <c r="CT535" s="77"/>
      <c r="CU535" s="77"/>
      <c r="CV535" s="77"/>
      <c r="CW535" s="77"/>
    </row>
    <row r="536" spans="1:101" ht="16.5" x14ac:dyDescent="0.45">
      <c r="A536" s="76"/>
      <c r="B536" s="77"/>
      <c r="C536" s="77"/>
      <c r="D536" s="78"/>
      <c r="E536" s="80"/>
      <c r="F536" s="80"/>
      <c r="G536" s="81"/>
      <c r="H536" s="81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82"/>
      <c r="Z536" s="82"/>
      <c r="AA536" s="82"/>
      <c r="AB536" s="80"/>
      <c r="AC536" s="77"/>
      <c r="AD536" s="77"/>
      <c r="AE536" s="77"/>
      <c r="AF536" s="77"/>
      <c r="AG536" s="77"/>
      <c r="AH536" s="77"/>
      <c r="AI536" s="92"/>
      <c r="AJ536" s="77"/>
      <c r="AK536" s="77"/>
      <c r="AL536" s="77"/>
      <c r="AM536" s="77"/>
      <c r="AN536" s="77"/>
      <c r="AO536" s="77"/>
      <c r="AP536" s="76"/>
      <c r="AQ536" s="81"/>
      <c r="AR536" s="76"/>
      <c r="AS536" s="81"/>
      <c r="AT536" s="76"/>
      <c r="AU536" s="81"/>
      <c r="AV536" s="77"/>
      <c r="AW536" s="81"/>
      <c r="AX536" s="77"/>
      <c r="AY536" s="81"/>
      <c r="AZ536" s="77"/>
      <c r="BA536" s="81"/>
      <c r="BB536" s="77"/>
      <c r="BC536" s="81"/>
      <c r="BD536" s="77"/>
      <c r="BE536" s="81"/>
      <c r="BF536" s="77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77"/>
      <c r="BU536" s="77"/>
      <c r="BV536" s="77"/>
      <c r="BW536" s="77"/>
      <c r="BX536" s="77"/>
      <c r="BY536" s="77"/>
      <c r="BZ536" s="77"/>
      <c r="CA536" s="77"/>
      <c r="CB536" s="77"/>
      <c r="CC536" s="77"/>
      <c r="CD536" s="77"/>
      <c r="CE536" s="77"/>
      <c r="CF536" s="77"/>
      <c r="CG536" s="77"/>
      <c r="CH536" s="77"/>
      <c r="CI536" s="77"/>
      <c r="CJ536" s="77"/>
      <c r="CK536" s="77"/>
      <c r="CL536" s="77"/>
      <c r="CM536" s="77"/>
      <c r="CN536" s="77"/>
      <c r="CO536" s="77"/>
      <c r="CP536" s="77"/>
      <c r="CQ536" s="77"/>
      <c r="CR536" s="77"/>
      <c r="CS536" s="77"/>
      <c r="CT536" s="77"/>
      <c r="CU536" s="77"/>
      <c r="CV536" s="77"/>
      <c r="CW536" s="77"/>
    </row>
    <row r="537" spans="1:101" ht="16.5" x14ac:dyDescent="0.45">
      <c r="A537" s="76"/>
      <c r="B537" s="77"/>
      <c r="C537" s="77"/>
      <c r="D537" s="78"/>
      <c r="E537" s="80"/>
      <c r="F537" s="80"/>
      <c r="G537" s="81"/>
      <c r="H537" s="81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82"/>
      <c r="Z537" s="82"/>
      <c r="AA537" s="82"/>
      <c r="AB537" s="80"/>
      <c r="AC537" s="77"/>
      <c r="AD537" s="77"/>
      <c r="AE537" s="77"/>
      <c r="AF537" s="77"/>
      <c r="AG537" s="77"/>
      <c r="AH537" s="77"/>
      <c r="AI537" s="92"/>
      <c r="AJ537" s="77"/>
      <c r="AK537" s="77"/>
      <c r="AL537" s="77"/>
      <c r="AM537" s="77"/>
      <c r="AN537" s="77"/>
      <c r="AO537" s="77"/>
      <c r="AP537" s="76"/>
      <c r="AQ537" s="81"/>
      <c r="AR537" s="76"/>
      <c r="AS537" s="81"/>
      <c r="AT537" s="76"/>
      <c r="AU537" s="81"/>
      <c r="AV537" s="77"/>
      <c r="AW537" s="81"/>
      <c r="AX537" s="77"/>
      <c r="AY537" s="81"/>
      <c r="AZ537" s="77"/>
      <c r="BA537" s="81"/>
      <c r="BB537" s="77"/>
      <c r="BC537" s="81"/>
      <c r="BD537" s="77"/>
      <c r="BE537" s="81"/>
      <c r="BF537" s="77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77"/>
      <c r="BU537" s="77"/>
      <c r="BV537" s="77"/>
      <c r="BW537" s="77"/>
      <c r="BX537" s="77"/>
      <c r="BY537" s="77"/>
      <c r="BZ537" s="77"/>
      <c r="CA537" s="77"/>
      <c r="CB537" s="77"/>
      <c r="CC537" s="77"/>
      <c r="CD537" s="77"/>
      <c r="CE537" s="77"/>
      <c r="CF537" s="77"/>
      <c r="CG537" s="77"/>
      <c r="CH537" s="77"/>
      <c r="CI537" s="77"/>
      <c r="CJ537" s="77"/>
      <c r="CK537" s="77"/>
      <c r="CL537" s="77"/>
      <c r="CM537" s="77"/>
      <c r="CN537" s="77"/>
      <c r="CO537" s="77"/>
      <c r="CP537" s="77"/>
      <c r="CQ537" s="77"/>
      <c r="CR537" s="77"/>
      <c r="CS537" s="77"/>
      <c r="CT537" s="77"/>
      <c r="CU537" s="77"/>
      <c r="CV537" s="77"/>
      <c r="CW537" s="77"/>
    </row>
    <row r="538" spans="1:101" ht="16.5" x14ac:dyDescent="0.45">
      <c r="A538" s="76"/>
      <c r="B538" s="77"/>
      <c r="C538" s="77"/>
      <c r="D538" s="78"/>
      <c r="E538" s="80"/>
      <c r="F538" s="80"/>
      <c r="G538" s="81"/>
      <c r="H538" s="81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82"/>
      <c r="Z538" s="82"/>
      <c r="AA538" s="82"/>
      <c r="AB538" s="80"/>
      <c r="AC538" s="77"/>
      <c r="AD538" s="77"/>
      <c r="AE538" s="77"/>
      <c r="AF538" s="77"/>
      <c r="AG538" s="77"/>
      <c r="AH538" s="77"/>
      <c r="AI538" s="92"/>
      <c r="AJ538" s="77"/>
      <c r="AK538" s="77"/>
      <c r="AL538" s="77"/>
      <c r="AM538" s="77"/>
      <c r="AN538" s="77"/>
      <c r="AO538" s="77"/>
      <c r="AP538" s="76"/>
      <c r="AQ538" s="81"/>
      <c r="AR538" s="76"/>
      <c r="AS538" s="81"/>
      <c r="AT538" s="76"/>
      <c r="AU538" s="81"/>
      <c r="AV538" s="77"/>
      <c r="AW538" s="81"/>
      <c r="AX538" s="77"/>
      <c r="AY538" s="81"/>
      <c r="AZ538" s="77"/>
      <c r="BA538" s="81"/>
      <c r="BB538" s="77"/>
      <c r="BC538" s="81"/>
      <c r="BD538" s="77"/>
      <c r="BE538" s="81"/>
      <c r="BF538" s="77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77"/>
      <c r="BU538" s="77"/>
      <c r="BV538" s="77"/>
      <c r="BW538" s="77"/>
      <c r="BX538" s="77"/>
      <c r="BY538" s="77"/>
      <c r="BZ538" s="77"/>
      <c r="CA538" s="77"/>
      <c r="CB538" s="77"/>
      <c r="CC538" s="77"/>
      <c r="CD538" s="77"/>
      <c r="CE538" s="77"/>
      <c r="CF538" s="77"/>
      <c r="CG538" s="77"/>
      <c r="CH538" s="77"/>
      <c r="CI538" s="77"/>
      <c r="CJ538" s="77"/>
      <c r="CK538" s="77"/>
      <c r="CL538" s="77"/>
      <c r="CM538" s="77"/>
      <c r="CN538" s="77"/>
      <c r="CO538" s="77"/>
      <c r="CP538" s="77"/>
      <c r="CQ538" s="77"/>
      <c r="CR538" s="77"/>
      <c r="CS538" s="77"/>
      <c r="CT538" s="77"/>
      <c r="CU538" s="77"/>
      <c r="CV538" s="77"/>
      <c r="CW538" s="77"/>
    </row>
    <row r="539" spans="1:101" ht="16.5" x14ac:dyDescent="0.45">
      <c r="A539" s="76"/>
      <c r="B539" s="77"/>
      <c r="C539" s="77"/>
      <c r="D539" s="78"/>
      <c r="E539" s="80"/>
      <c r="F539" s="80"/>
      <c r="G539" s="81"/>
      <c r="H539" s="81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82"/>
      <c r="Z539" s="82"/>
      <c r="AA539" s="82"/>
      <c r="AB539" s="80"/>
      <c r="AC539" s="77"/>
      <c r="AD539" s="77"/>
      <c r="AE539" s="77"/>
      <c r="AF539" s="77"/>
      <c r="AG539" s="77"/>
      <c r="AH539" s="77"/>
      <c r="AI539" s="92"/>
      <c r="AJ539" s="77"/>
      <c r="AK539" s="77"/>
      <c r="AL539" s="77"/>
      <c r="AM539" s="77"/>
      <c r="AN539" s="77"/>
      <c r="AO539" s="77"/>
      <c r="AP539" s="76"/>
      <c r="AQ539" s="81"/>
      <c r="AR539" s="76"/>
      <c r="AS539" s="81"/>
      <c r="AT539" s="76"/>
      <c r="AU539" s="81"/>
      <c r="AV539" s="77"/>
      <c r="AW539" s="81"/>
      <c r="AX539" s="77"/>
      <c r="AY539" s="81"/>
      <c r="AZ539" s="77"/>
      <c r="BA539" s="81"/>
      <c r="BB539" s="77"/>
      <c r="BC539" s="81"/>
      <c r="BD539" s="77"/>
      <c r="BE539" s="81"/>
      <c r="BF539" s="77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77"/>
      <c r="BU539" s="77"/>
      <c r="BV539" s="77"/>
      <c r="BW539" s="77"/>
      <c r="BX539" s="77"/>
      <c r="BY539" s="77"/>
      <c r="BZ539" s="77"/>
      <c r="CA539" s="77"/>
      <c r="CB539" s="77"/>
      <c r="CC539" s="77"/>
      <c r="CD539" s="77"/>
      <c r="CE539" s="77"/>
      <c r="CF539" s="77"/>
      <c r="CG539" s="77"/>
      <c r="CH539" s="77"/>
      <c r="CI539" s="77"/>
      <c r="CJ539" s="77"/>
      <c r="CK539" s="77"/>
      <c r="CL539" s="77"/>
      <c r="CM539" s="77"/>
      <c r="CN539" s="77"/>
      <c r="CO539" s="77"/>
      <c r="CP539" s="77"/>
      <c r="CQ539" s="77"/>
      <c r="CR539" s="77"/>
      <c r="CS539" s="77"/>
      <c r="CT539" s="77"/>
      <c r="CU539" s="77"/>
      <c r="CV539" s="77"/>
      <c r="CW539" s="77"/>
    </row>
    <row r="540" spans="1:101" ht="16.5" x14ac:dyDescent="0.45">
      <c r="A540" s="76"/>
      <c r="B540" s="77"/>
      <c r="C540" s="77"/>
      <c r="D540" s="78"/>
      <c r="E540" s="80"/>
      <c r="F540" s="80"/>
      <c r="G540" s="81"/>
      <c r="H540" s="81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82"/>
      <c r="Z540" s="82"/>
      <c r="AA540" s="82"/>
      <c r="AB540" s="80"/>
      <c r="AC540" s="77"/>
      <c r="AD540" s="77"/>
      <c r="AE540" s="77"/>
      <c r="AF540" s="77"/>
      <c r="AG540" s="77"/>
      <c r="AH540" s="77"/>
      <c r="AI540" s="92"/>
      <c r="AJ540" s="77"/>
      <c r="AK540" s="77"/>
      <c r="AL540" s="77"/>
      <c r="AM540" s="77"/>
      <c r="AN540" s="77"/>
      <c r="AO540" s="77"/>
      <c r="AP540" s="76"/>
      <c r="AQ540" s="81"/>
      <c r="AR540" s="76"/>
      <c r="AS540" s="81"/>
      <c r="AT540" s="76"/>
      <c r="AU540" s="81"/>
      <c r="AV540" s="77"/>
      <c r="AW540" s="81"/>
      <c r="AX540" s="77"/>
      <c r="AY540" s="81"/>
      <c r="AZ540" s="77"/>
      <c r="BA540" s="81"/>
      <c r="BB540" s="77"/>
      <c r="BC540" s="81"/>
      <c r="BD540" s="77"/>
      <c r="BE540" s="81"/>
      <c r="BF540" s="77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77"/>
      <c r="BU540" s="77"/>
      <c r="BV540" s="77"/>
      <c r="BW540" s="77"/>
      <c r="BX540" s="77"/>
      <c r="BY540" s="77"/>
      <c r="BZ540" s="77"/>
      <c r="CA540" s="77"/>
      <c r="CB540" s="77"/>
      <c r="CC540" s="77"/>
      <c r="CD540" s="77"/>
      <c r="CE540" s="77"/>
      <c r="CF540" s="77"/>
      <c r="CG540" s="77"/>
      <c r="CH540" s="77"/>
      <c r="CI540" s="77"/>
      <c r="CJ540" s="77"/>
      <c r="CK540" s="77"/>
      <c r="CL540" s="77"/>
      <c r="CM540" s="77"/>
      <c r="CN540" s="77"/>
      <c r="CO540" s="77"/>
      <c r="CP540" s="77"/>
      <c r="CQ540" s="77"/>
      <c r="CR540" s="77"/>
      <c r="CS540" s="77"/>
      <c r="CT540" s="77"/>
      <c r="CU540" s="77"/>
      <c r="CV540" s="77"/>
      <c r="CW540" s="77"/>
    </row>
    <row r="541" spans="1:101" ht="16.5" x14ac:dyDescent="0.45">
      <c r="A541" s="76"/>
      <c r="B541" s="77"/>
      <c r="C541" s="77"/>
      <c r="D541" s="78"/>
      <c r="E541" s="80"/>
      <c r="F541" s="80"/>
      <c r="G541" s="81"/>
      <c r="H541" s="81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82"/>
      <c r="Z541" s="82"/>
      <c r="AA541" s="82"/>
      <c r="AB541" s="80"/>
      <c r="AC541" s="77"/>
      <c r="AD541" s="77"/>
      <c r="AE541" s="77"/>
      <c r="AF541" s="77"/>
      <c r="AG541" s="77"/>
      <c r="AH541" s="77"/>
      <c r="AI541" s="92"/>
      <c r="AJ541" s="77"/>
      <c r="AK541" s="77"/>
      <c r="AL541" s="77"/>
      <c r="AM541" s="77"/>
      <c r="AN541" s="77"/>
      <c r="AO541" s="77"/>
      <c r="AP541" s="76"/>
      <c r="AQ541" s="81"/>
      <c r="AR541" s="76"/>
      <c r="AS541" s="81"/>
      <c r="AT541" s="76"/>
      <c r="AU541" s="81"/>
      <c r="AV541" s="77"/>
      <c r="AW541" s="81"/>
      <c r="AX541" s="77"/>
      <c r="AY541" s="81"/>
      <c r="AZ541" s="77"/>
      <c r="BA541" s="81"/>
      <c r="BB541" s="77"/>
      <c r="BC541" s="81"/>
      <c r="BD541" s="77"/>
      <c r="BE541" s="81"/>
      <c r="BF541" s="77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77"/>
      <c r="BU541" s="77"/>
      <c r="BV541" s="77"/>
      <c r="BW541" s="77"/>
      <c r="BX541" s="77"/>
      <c r="BY541" s="77"/>
      <c r="BZ541" s="77"/>
      <c r="CA541" s="77"/>
      <c r="CB541" s="77"/>
      <c r="CC541" s="77"/>
      <c r="CD541" s="77"/>
      <c r="CE541" s="77"/>
      <c r="CF541" s="77"/>
      <c r="CG541" s="77"/>
      <c r="CH541" s="77"/>
      <c r="CI541" s="77"/>
      <c r="CJ541" s="77"/>
      <c r="CK541" s="77"/>
      <c r="CL541" s="77"/>
      <c r="CM541" s="77"/>
      <c r="CN541" s="77"/>
      <c r="CO541" s="77"/>
      <c r="CP541" s="77"/>
      <c r="CQ541" s="77"/>
      <c r="CR541" s="77"/>
      <c r="CS541" s="77"/>
      <c r="CT541" s="77"/>
      <c r="CU541" s="77"/>
      <c r="CV541" s="77"/>
      <c r="CW541" s="77"/>
    </row>
    <row r="542" spans="1:101" ht="16.5" x14ac:dyDescent="0.45">
      <c r="A542" s="76"/>
      <c r="B542" s="77"/>
      <c r="C542" s="77"/>
      <c r="D542" s="78"/>
      <c r="E542" s="80"/>
      <c r="F542" s="80"/>
      <c r="G542" s="81"/>
      <c r="H542" s="81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82"/>
      <c r="Z542" s="82"/>
      <c r="AA542" s="82"/>
      <c r="AB542" s="80"/>
      <c r="AC542" s="77"/>
      <c r="AD542" s="77"/>
      <c r="AE542" s="77"/>
      <c r="AF542" s="77"/>
      <c r="AG542" s="77"/>
      <c r="AH542" s="77"/>
      <c r="AI542" s="92"/>
      <c r="AJ542" s="77"/>
      <c r="AK542" s="77"/>
      <c r="AL542" s="77"/>
      <c r="AM542" s="77"/>
      <c r="AN542" s="77"/>
      <c r="AO542" s="77"/>
      <c r="AP542" s="76"/>
      <c r="AQ542" s="81"/>
      <c r="AR542" s="76"/>
      <c r="AS542" s="81"/>
      <c r="AT542" s="76"/>
      <c r="AU542" s="81"/>
      <c r="AV542" s="77"/>
      <c r="AW542" s="81"/>
      <c r="AX542" s="77"/>
      <c r="AY542" s="81"/>
      <c r="AZ542" s="77"/>
      <c r="BA542" s="81"/>
      <c r="BB542" s="77"/>
      <c r="BC542" s="81"/>
      <c r="BD542" s="77"/>
      <c r="BE542" s="81"/>
      <c r="BF542" s="77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77"/>
      <c r="BU542" s="77"/>
      <c r="BV542" s="77"/>
      <c r="BW542" s="77"/>
      <c r="BX542" s="77"/>
      <c r="BY542" s="77"/>
      <c r="BZ542" s="77"/>
      <c r="CA542" s="77"/>
      <c r="CB542" s="77"/>
      <c r="CC542" s="77"/>
      <c r="CD542" s="77"/>
      <c r="CE542" s="77"/>
      <c r="CF542" s="77"/>
      <c r="CG542" s="77"/>
      <c r="CH542" s="77"/>
      <c r="CI542" s="77"/>
      <c r="CJ542" s="77"/>
      <c r="CK542" s="77"/>
      <c r="CL542" s="77"/>
      <c r="CM542" s="77"/>
      <c r="CN542" s="77"/>
      <c r="CO542" s="77"/>
      <c r="CP542" s="77"/>
      <c r="CQ542" s="77"/>
      <c r="CR542" s="77"/>
      <c r="CS542" s="77"/>
      <c r="CT542" s="77"/>
      <c r="CU542" s="77"/>
      <c r="CV542" s="77"/>
      <c r="CW542" s="77"/>
    </row>
    <row r="543" spans="1:101" ht="16.5" x14ac:dyDescent="0.45">
      <c r="A543" s="76"/>
      <c r="B543" s="77"/>
      <c r="C543" s="77"/>
      <c r="D543" s="78"/>
      <c r="E543" s="80"/>
      <c r="F543" s="80"/>
      <c r="G543" s="81"/>
      <c r="H543" s="81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82"/>
      <c r="Z543" s="82"/>
      <c r="AA543" s="82"/>
      <c r="AB543" s="80"/>
      <c r="AC543" s="77"/>
      <c r="AD543" s="77"/>
      <c r="AE543" s="77"/>
      <c r="AF543" s="77"/>
      <c r="AG543" s="77"/>
      <c r="AH543" s="77"/>
      <c r="AI543" s="92"/>
      <c r="AJ543" s="77"/>
      <c r="AK543" s="77"/>
      <c r="AL543" s="77"/>
      <c r="AM543" s="77"/>
      <c r="AN543" s="77"/>
      <c r="AO543" s="77"/>
      <c r="AP543" s="76"/>
      <c r="AQ543" s="81"/>
      <c r="AR543" s="76"/>
      <c r="AS543" s="81"/>
      <c r="AT543" s="76"/>
      <c r="AU543" s="81"/>
      <c r="AV543" s="77"/>
      <c r="AW543" s="81"/>
      <c r="AX543" s="77"/>
      <c r="AY543" s="81"/>
      <c r="AZ543" s="77"/>
      <c r="BA543" s="81"/>
      <c r="BB543" s="77"/>
      <c r="BC543" s="81"/>
      <c r="BD543" s="77"/>
      <c r="BE543" s="81"/>
      <c r="BF543" s="77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77"/>
      <c r="BU543" s="77"/>
      <c r="BV543" s="77"/>
      <c r="BW543" s="77"/>
      <c r="BX543" s="77"/>
      <c r="BY543" s="77"/>
      <c r="BZ543" s="77"/>
      <c r="CA543" s="77"/>
      <c r="CB543" s="77"/>
      <c r="CC543" s="77"/>
      <c r="CD543" s="77"/>
      <c r="CE543" s="77"/>
      <c r="CF543" s="77"/>
      <c r="CG543" s="77"/>
      <c r="CH543" s="77"/>
      <c r="CI543" s="77"/>
      <c r="CJ543" s="77"/>
      <c r="CK543" s="77"/>
      <c r="CL543" s="77"/>
      <c r="CM543" s="77"/>
      <c r="CN543" s="77"/>
      <c r="CO543" s="77"/>
      <c r="CP543" s="77"/>
      <c r="CQ543" s="77"/>
      <c r="CR543" s="77"/>
      <c r="CS543" s="77"/>
      <c r="CT543" s="77"/>
      <c r="CU543" s="77"/>
      <c r="CV543" s="77"/>
      <c r="CW543" s="77"/>
    </row>
    <row r="544" spans="1:101" ht="16.5" x14ac:dyDescent="0.45">
      <c r="A544" s="76"/>
      <c r="B544" s="77"/>
      <c r="C544" s="77"/>
      <c r="D544" s="78"/>
      <c r="E544" s="80"/>
      <c r="F544" s="80"/>
      <c r="G544" s="81"/>
      <c r="H544" s="81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82"/>
      <c r="Z544" s="82"/>
      <c r="AA544" s="82"/>
      <c r="AB544" s="80"/>
      <c r="AC544" s="77"/>
      <c r="AD544" s="77"/>
      <c r="AE544" s="77"/>
      <c r="AF544" s="77"/>
      <c r="AG544" s="77"/>
      <c r="AH544" s="77"/>
      <c r="AI544" s="92"/>
      <c r="AJ544" s="77"/>
      <c r="AK544" s="77"/>
      <c r="AL544" s="77"/>
      <c r="AM544" s="77"/>
      <c r="AN544" s="77"/>
      <c r="AO544" s="77"/>
      <c r="AP544" s="76"/>
      <c r="AQ544" s="81"/>
      <c r="AR544" s="76"/>
      <c r="AS544" s="81"/>
      <c r="AT544" s="76"/>
      <c r="AU544" s="81"/>
      <c r="AV544" s="77"/>
      <c r="AW544" s="81"/>
      <c r="AX544" s="77"/>
      <c r="AY544" s="81"/>
      <c r="AZ544" s="77"/>
      <c r="BA544" s="81"/>
      <c r="BB544" s="77"/>
      <c r="BC544" s="81"/>
      <c r="BD544" s="77"/>
      <c r="BE544" s="81"/>
      <c r="BF544" s="77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77"/>
      <c r="BU544" s="77"/>
      <c r="BV544" s="77"/>
      <c r="BW544" s="77"/>
      <c r="BX544" s="77"/>
      <c r="BY544" s="77"/>
      <c r="BZ544" s="77"/>
      <c r="CA544" s="77"/>
      <c r="CB544" s="77"/>
      <c r="CC544" s="77"/>
      <c r="CD544" s="77"/>
      <c r="CE544" s="77"/>
      <c r="CF544" s="77"/>
      <c r="CG544" s="77"/>
      <c r="CH544" s="77"/>
      <c r="CI544" s="77"/>
      <c r="CJ544" s="77"/>
      <c r="CK544" s="77"/>
      <c r="CL544" s="77"/>
      <c r="CM544" s="77"/>
      <c r="CN544" s="77"/>
      <c r="CO544" s="77"/>
      <c r="CP544" s="77"/>
      <c r="CQ544" s="77"/>
      <c r="CR544" s="77"/>
      <c r="CS544" s="77"/>
      <c r="CT544" s="77"/>
      <c r="CU544" s="77"/>
      <c r="CV544" s="77"/>
      <c r="CW544" s="77"/>
    </row>
    <row r="545" spans="1:101" ht="16.5" x14ac:dyDescent="0.45">
      <c r="A545" s="76"/>
      <c r="B545" s="77"/>
      <c r="C545" s="77"/>
      <c r="D545" s="78"/>
      <c r="E545" s="80"/>
      <c r="F545" s="80"/>
      <c r="G545" s="81"/>
      <c r="H545" s="81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82"/>
      <c r="Z545" s="82"/>
      <c r="AA545" s="82"/>
      <c r="AB545" s="80"/>
      <c r="AC545" s="77"/>
      <c r="AD545" s="77"/>
      <c r="AE545" s="77"/>
      <c r="AF545" s="77"/>
      <c r="AG545" s="77"/>
      <c r="AH545" s="77"/>
      <c r="AI545" s="92"/>
      <c r="AJ545" s="77"/>
      <c r="AK545" s="77"/>
      <c r="AL545" s="77"/>
      <c r="AM545" s="77"/>
      <c r="AN545" s="77"/>
      <c r="AO545" s="77"/>
      <c r="AP545" s="76"/>
      <c r="AQ545" s="81"/>
      <c r="AR545" s="76"/>
      <c r="AS545" s="81"/>
      <c r="AT545" s="76"/>
      <c r="AU545" s="81"/>
      <c r="AV545" s="77"/>
      <c r="AW545" s="81"/>
      <c r="AX545" s="77"/>
      <c r="AY545" s="81"/>
      <c r="AZ545" s="77"/>
      <c r="BA545" s="81"/>
      <c r="BB545" s="77"/>
      <c r="BC545" s="81"/>
      <c r="BD545" s="77"/>
      <c r="BE545" s="81"/>
      <c r="BF545" s="77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77"/>
      <c r="BU545" s="77"/>
      <c r="BV545" s="77"/>
      <c r="BW545" s="77"/>
      <c r="BX545" s="77"/>
      <c r="BY545" s="77"/>
      <c r="BZ545" s="77"/>
      <c r="CA545" s="77"/>
      <c r="CB545" s="77"/>
      <c r="CC545" s="77"/>
      <c r="CD545" s="77"/>
      <c r="CE545" s="77"/>
      <c r="CF545" s="77"/>
      <c r="CG545" s="77"/>
      <c r="CH545" s="77"/>
      <c r="CI545" s="77"/>
      <c r="CJ545" s="77"/>
      <c r="CK545" s="77"/>
      <c r="CL545" s="77"/>
      <c r="CM545" s="77"/>
      <c r="CN545" s="77"/>
      <c r="CO545" s="77"/>
      <c r="CP545" s="77"/>
      <c r="CQ545" s="77"/>
      <c r="CR545" s="77"/>
      <c r="CS545" s="77"/>
      <c r="CT545" s="77"/>
      <c r="CU545" s="77"/>
      <c r="CV545" s="77"/>
      <c r="CW545" s="77"/>
    </row>
    <row r="546" spans="1:101" ht="16.5" x14ac:dyDescent="0.45">
      <c r="A546" s="76"/>
      <c r="B546" s="77"/>
      <c r="C546" s="77"/>
      <c r="D546" s="78"/>
      <c r="E546" s="80"/>
      <c r="F546" s="80"/>
      <c r="G546" s="81"/>
      <c r="H546" s="81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82"/>
      <c r="Z546" s="82"/>
      <c r="AA546" s="82"/>
      <c r="AB546" s="80"/>
      <c r="AC546" s="77"/>
      <c r="AD546" s="77"/>
      <c r="AE546" s="77"/>
      <c r="AF546" s="77"/>
      <c r="AG546" s="77"/>
      <c r="AH546" s="77"/>
      <c r="AI546" s="92"/>
      <c r="AJ546" s="77"/>
      <c r="AK546" s="77"/>
      <c r="AL546" s="77"/>
      <c r="AM546" s="77"/>
      <c r="AN546" s="77"/>
      <c r="AO546" s="77"/>
      <c r="AP546" s="76"/>
      <c r="AQ546" s="81"/>
      <c r="AR546" s="76"/>
      <c r="AS546" s="81"/>
      <c r="AT546" s="76"/>
      <c r="AU546" s="81"/>
      <c r="AV546" s="77"/>
      <c r="AW546" s="81"/>
      <c r="AX546" s="77"/>
      <c r="AY546" s="81"/>
      <c r="AZ546" s="77"/>
      <c r="BA546" s="81"/>
      <c r="BB546" s="77"/>
      <c r="BC546" s="81"/>
      <c r="BD546" s="77"/>
      <c r="BE546" s="81"/>
      <c r="BF546" s="77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77"/>
      <c r="BU546" s="77"/>
      <c r="BV546" s="77"/>
      <c r="BW546" s="77"/>
      <c r="BX546" s="77"/>
      <c r="BY546" s="77"/>
      <c r="BZ546" s="77"/>
      <c r="CA546" s="77"/>
      <c r="CB546" s="77"/>
      <c r="CC546" s="77"/>
      <c r="CD546" s="77"/>
      <c r="CE546" s="77"/>
      <c r="CF546" s="77"/>
      <c r="CG546" s="77"/>
      <c r="CH546" s="77"/>
      <c r="CI546" s="77"/>
      <c r="CJ546" s="77"/>
      <c r="CK546" s="77"/>
      <c r="CL546" s="77"/>
      <c r="CM546" s="77"/>
      <c r="CN546" s="77"/>
      <c r="CO546" s="77"/>
      <c r="CP546" s="77"/>
      <c r="CQ546" s="77"/>
      <c r="CR546" s="77"/>
      <c r="CS546" s="77"/>
      <c r="CT546" s="77"/>
      <c r="CU546" s="77"/>
      <c r="CV546" s="77"/>
      <c r="CW546" s="77"/>
    </row>
    <row r="547" spans="1:101" ht="16.5" x14ac:dyDescent="0.45">
      <c r="A547" s="76"/>
      <c r="B547" s="77"/>
      <c r="C547" s="77"/>
      <c r="D547" s="78"/>
      <c r="E547" s="80"/>
      <c r="F547" s="80"/>
      <c r="G547" s="81"/>
      <c r="H547" s="81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82"/>
      <c r="Z547" s="82"/>
      <c r="AA547" s="82"/>
      <c r="AB547" s="80"/>
      <c r="AC547" s="77"/>
      <c r="AD547" s="77"/>
      <c r="AE547" s="77"/>
      <c r="AF547" s="77"/>
      <c r="AG547" s="77"/>
      <c r="AH547" s="77"/>
      <c r="AI547" s="92"/>
      <c r="AJ547" s="77"/>
      <c r="AK547" s="77"/>
      <c r="AL547" s="77"/>
      <c r="AM547" s="77"/>
      <c r="AN547" s="77"/>
      <c r="AO547" s="77"/>
      <c r="AP547" s="76"/>
      <c r="AQ547" s="81"/>
      <c r="AR547" s="76"/>
      <c r="AS547" s="81"/>
      <c r="AT547" s="76"/>
      <c r="AU547" s="81"/>
      <c r="AV547" s="77"/>
      <c r="AW547" s="81"/>
      <c r="AX547" s="77"/>
      <c r="AY547" s="81"/>
      <c r="AZ547" s="77"/>
      <c r="BA547" s="81"/>
      <c r="BB547" s="77"/>
      <c r="BC547" s="81"/>
      <c r="BD547" s="77"/>
      <c r="BE547" s="81"/>
      <c r="BF547" s="77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77"/>
      <c r="BU547" s="77"/>
      <c r="BV547" s="77"/>
      <c r="BW547" s="77"/>
      <c r="BX547" s="77"/>
      <c r="BY547" s="77"/>
      <c r="BZ547" s="77"/>
      <c r="CA547" s="77"/>
      <c r="CB547" s="77"/>
      <c r="CC547" s="77"/>
      <c r="CD547" s="77"/>
      <c r="CE547" s="77"/>
      <c r="CF547" s="77"/>
      <c r="CG547" s="77"/>
      <c r="CH547" s="77"/>
      <c r="CI547" s="77"/>
      <c r="CJ547" s="77"/>
      <c r="CK547" s="77"/>
      <c r="CL547" s="77"/>
      <c r="CM547" s="77"/>
      <c r="CN547" s="77"/>
      <c r="CO547" s="77"/>
      <c r="CP547" s="77"/>
      <c r="CQ547" s="77"/>
      <c r="CR547" s="77"/>
      <c r="CS547" s="77"/>
      <c r="CT547" s="77"/>
      <c r="CU547" s="77"/>
      <c r="CV547" s="77"/>
      <c r="CW547" s="77"/>
    </row>
    <row r="548" spans="1:101" ht="16.5" x14ac:dyDescent="0.45">
      <c r="A548" s="76"/>
      <c r="B548" s="77"/>
      <c r="C548" s="77"/>
      <c r="D548" s="78"/>
      <c r="E548" s="80"/>
      <c r="F548" s="80"/>
      <c r="G548" s="81"/>
      <c r="H548" s="81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82"/>
      <c r="Z548" s="82"/>
      <c r="AA548" s="82"/>
      <c r="AB548" s="80"/>
      <c r="AC548" s="77"/>
      <c r="AD548" s="77"/>
      <c r="AE548" s="77"/>
      <c r="AF548" s="77"/>
      <c r="AG548" s="77"/>
      <c r="AH548" s="77"/>
      <c r="AI548" s="92"/>
      <c r="AJ548" s="77"/>
      <c r="AK548" s="77"/>
      <c r="AL548" s="77"/>
      <c r="AM548" s="77"/>
      <c r="AN548" s="77"/>
      <c r="AO548" s="77"/>
      <c r="AP548" s="76"/>
      <c r="AQ548" s="81"/>
      <c r="AR548" s="76"/>
      <c r="AS548" s="81"/>
      <c r="AT548" s="76"/>
      <c r="AU548" s="81"/>
      <c r="AV548" s="77"/>
      <c r="AW548" s="81"/>
      <c r="AX548" s="77"/>
      <c r="AY548" s="81"/>
      <c r="AZ548" s="77"/>
      <c r="BA548" s="81"/>
      <c r="BB548" s="77"/>
      <c r="BC548" s="81"/>
      <c r="BD548" s="77"/>
      <c r="BE548" s="81"/>
      <c r="BF548" s="77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77"/>
      <c r="BU548" s="77"/>
      <c r="BV548" s="77"/>
      <c r="BW548" s="77"/>
      <c r="BX548" s="77"/>
      <c r="BY548" s="77"/>
      <c r="BZ548" s="77"/>
      <c r="CA548" s="77"/>
      <c r="CB548" s="77"/>
      <c r="CC548" s="77"/>
      <c r="CD548" s="77"/>
      <c r="CE548" s="77"/>
      <c r="CF548" s="77"/>
      <c r="CG548" s="77"/>
      <c r="CH548" s="77"/>
      <c r="CI548" s="77"/>
      <c r="CJ548" s="77"/>
      <c r="CK548" s="77"/>
      <c r="CL548" s="77"/>
      <c r="CM548" s="77"/>
      <c r="CN548" s="77"/>
      <c r="CO548" s="77"/>
      <c r="CP548" s="77"/>
      <c r="CQ548" s="77"/>
      <c r="CR548" s="77"/>
      <c r="CS548" s="77"/>
      <c r="CT548" s="77"/>
      <c r="CU548" s="77"/>
      <c r="CV548" s="77"/>
      <c r="CW548" s="77"/>
    </row>
    <row r="549" spans="1:101" ht="16.5" x14ac:dyDescent="0.45">
      <c r="A549" s="76"/>
      <c r="B549" s="77"/>
      <c r="C549" s="77"/>
      <c r="D549" s="78"/>
      <c r="E549" s="80"/>
      <c r="F549" s="80"/>
      <c r="G549" s="81"/>
      <c r="H549" s="81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82"/>
      <c r="Z549" s="82"/>
      <c r="AA549" s="82"/>
      <c r="AB549" s="80"/>
      <c r="AC549" s="77"/>
      <c r="AD549" s="77"/>
      <c r="AE549" s="77"/>
      <c r="AF549" s="77"/>
      <c r="AG549" s="77"/>
      <c r="AH549" s="77"/>
      <c r="AI549" s="92"/>
      <c r="AJ549" s="77"/>
      <c r="AK549" s="77"/>
      <c r="AL549" s="77"/>
      <c r="AM549" s="77"/>
      <c r="AN549" s="77"/>
      <c r="AO549" s="77"/>
      <c r="AP549" s="76"/>
      <c r="AQ549" s="81"/>
      <c r="AR549" s="76"/>
      <c r="AS549" s="81"/>
      <c r="AT549" s="76"/>
      <c r="AU549" s="81"/>
      <c r="AV549" s="77"/>
      <c r="AW549" s="81"/>
      <c r="AX549" s="77"/>
      <c r="AY549" s="81"/>
      <c r="AZ549" s="77"/>
      <c r="BA549" s="81"/>
      <c r="BB549" s="77"/>
      <c r="BC549" s="81"/>
      <c r="BD549" s="77"/>
      <c r="BE549" s="81"/>
      <c r="BF549" s="77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77"/>
      <c r="BU549" s="77"/>
      <c r="BV549" s="77"/>
      <c r="BW549" s="77"/>
      <c r="BX549" s="77"/>
      <c r="BY549" s="77"/>
      <c r="BZ549" s="77"/>
      <c r="CA549" s="77"/>
      <c r="CB549" s="77"/>
      <c r="CC549" s="77"/>
      <c r="CD549" s="77"/>
      <c r="CE549" s="77"/>
      <c r="CF549" s="77"/>
      <c r="CG549" s="77"/>
      <c r="CH549" s="77"/>
      <c r="CI549" s="77"/>
      <c r="CJ549" s="77"/>
      <c r="CK549" s="77"/>
      <c r="CL549" s="77"/>
      <c r="CM549" s="77"/>
      <c r="CN549" s="77"/>
      <c r="CO549" s="77"/>
      <c r="CP549" s="77"/>
      <c r="CQ549" s="77"/>
      <c r="CR549" s="77"/>
      <c r="CS549" s="77"/>
      <c r="CT549" s="77"/>
      <c r="CU549" s="77"/>
      <c r="CV549" s="77"/>
      <c r="CW549" s="77"/>
    </row>
    <row r="550" spans="1:101" ht="16.5" x14ac:dyDescent="0.45">
      <c r="A550" s="76"/>
      <c r="B550" s="77"/>
      <c r="C550" s="77"/>
      <c r="D550" s="78"/>
      <c r="E550" s="80"/>
      <c r="F550" s="80"/>
      <c r="G550" s="81"/>
      <c r="H550" s="81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82"/>
      <c r="Z550" s="82"/>
      <c r="AA550" s="82"/>
      <c r="AB550" s="80"/>
      <c r="AC550" s="77"/>
      <c r="AD550" s="77"/>
      <c r="AE550" s="77"/>
      <c r="AF550" s="77"/>
      <c r="AG550" s="77"/>
      <c r="AH550" s="77"/>
      <c r="AI550" s="92"/>
      <c r="AJ550" s="77"/>
      <c r="AK550" s="77"/>
      <c r="AL550" s="77"/>
      <c r="AM550" s="77"/>
      <c r="AN550" s="77"/>
      <c r="AO550" s="77"/>
      <c r="AP550" s="76"/>
      <c r="AQ550" s="81"/>
      <c r="AR550" s="76"/>
      <c r="AS550" s="81"/>
      <c r="AT550" s="76"/>
      <c r="AU550" s="81"/>
      <c r="AV550" s="77"/>
      <c r="AW550" s="81"/>
      <c r="AX550" s="77"/>
      <c r="AY550" s="81"/>
      <c r="AZ550" s="77"/>
      <c r="BA550" s="81"/>
      <c r="BB550" s="77"/>
      <c r="BC550" s="81"/>
      <c r="BD550" s="77"/>
      <c r="BE550" s="81"/>
      <c r="BF550" s="77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77"/>
      <c r="BU550" s="77"/>
      <c r="BV550" s="77"/>
      <c r="BW550" s="77"/>
      <c r="BX550" s="77"/>
      <c r="BY550" s="77"/>
      <c r="BZ550" s="77"/>
      <c r="CA550" s="77"/>
      <c r="CB550" s="77"/>
      <c r="CC550" s="77"/>
      <c r="CD550" s="77"/>
      <c r="CE550" s="77"/>
      <c r="CF550" s="77"/>
      <c r="CG550" s="77"/>
      <c r="CH550" s="77"/>
      <c r="CI550" s="77"/>
      <c r="CJ550" s="77"/>
      <c r="CK550" s="77"/>
      <c r="CL550" s="77"/>
      <c r="CM550" s="77"/>
      <c r="CN550" s="77"/>
      <c r="CO550" s="77"/>
      <c r="CP550" s="77"/>
      <c r="CQ550" s="77"/>
      <c r="CR550" s="77"/>
      <c r="CS550" s="77"/>
      <c r="CT550" s="77"/>
      <c r="CU550" s="77"/>
      <c r="CV550" s="77"/>
      <c r="CW550" s="77"/>
    </row>
    <row r="551" spans="1:101" ht="16.5" x14ac:dyDescent="0.45">
      <c r="A551" s="76"/>
      <c r="B551" s="77"/>
      <c r="C551" s="77"/>
      <c r="D551" s="78"/>
      <c r="E551" s="80"/>
      <c r="F551" s="80"/>
      <c r="G551" s="81"/>
      <c r="H551" s="81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82"/>
      <c r="Z551" s="82"/>
      <c r="AA551" s="82"/>
      <c r="AB551" s="80"/>
      <c r="AC551" s="77"/>
      <c r="AD551" s="77"/>
      <c r="AE551" s="77"/>
      <c r="AF551" s="77"/>
      <c r="AG551" s="77"/>
      <c r="AH551" s="77"/>
      <c r="AI551" s="92"/>
      <c r="AJ551" s="77"/>
      <c r="AK551" s="77"/>
      <c r="AL551" s="77"/>
      <c r="AM551" s="77"/>
      <c r="AN551" s="77"/>
      <c r="AO551" s="77"/>
      <c r="AP551" s="76"/>
      <c r="AQ551" s="81"/>
      <c r="AR551" s="76"/>
      <c r="AS551" s="81"/>
      <c r="AT551" s="76"/>
      <c r="AU551" s="81"/>
      <c r="AV551" s="77"/>
      <c r="AW551" s="81"/>
      <c r="AX551" s="77"/>
      <c r="AY551" s="81"/>
      <c r="AZ551" s="77"/>
      <c r="BA551" s="81"/>
      <c r="BB551" s="77"/>
      <c r="BC551" s="81"/>
      <c r="BD551" s="77"/>
      <c r="BE551" s="81"/>
      <c r="BF551" s="77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77"/>
      <c r="BU551" s="77"/>
      <c r="BV551" s="77"/>
      <c r="BW551" s="77"/>
      <c r="BX551" s="77"/>
      <c r="BY551" s="77"/>
      <c r="BZ551" s="77"/>
      <c r="CA551" s="77"/>
      <c r="CB551" s="77"/>
      <c r="CC551" s="77"/>
      <c r="CD551" s="77"/>
      <c r="CE551" s="77"/>
      <c r="CF551" s="77"/>
      <c r="CG551" s="77"/>
      <c r="CH551" s="77"/>
      <c r="CI551" s="77"/>
      <c r="CJ551" s="77"/>
      <c r="CK551" s="77"/>
      <c r="CL551" s="77"/>
      <c r="CM551" s="77"/>
      <c r="CN551" s="77"/>
      <c r="CO551" s="77"/>
      <c r="CP551" s="77"/>
      <c r="CQ551" s="77"/>
      <c r="CR551" s="77"/>
      <c r="CS551" s="77"/>
      <c r="CT551" s="77"/>
      <c r="CU551" s="77"/>
      <c r="CV551" s="77"/>
      <c r="CW551" s="77"/>
    </row>
    <row r="552" spans="1:101" ht="16.5" x14ac:dyDescent="0.45">
      <c r="A552" s="76"/>
      <c r="B552" s="77"/>
      <c r="C552" s="77"/>
      <c r="D552" s="78"/>
      <c r="E552" s="80"/>
      <c r="F552" s="80"/>
      <c r="G552" s="81"/>
      <c r="H552" s="81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82"/>
      <c r="Z552" s="82"/>
      <c r="AA552" s="82"/>
      <c r="AB552" s="80"/>
      <c r="AC552" s="77"/>
      <c r="AD552" s="77"/>
      <c r="AE552" s="77"/>
      <c r="AF552" s="77"/>
      <c r="AG552" s="77"/>
      <c r="AH552" s="77"/>
      <c r="AI552" s="92"/>
      <c r="AJ552" s="77"/>
      <c r="AK552" s="77"/>
      <c r="AL552" s="77"/>
      <c r="AM552" s="77"/>
      <c r="AN552" s="77"/>
      <c r="AO552" s="77"/>
      <c r="AP552" s="76"/>
      <c r="AQ552" s="81"/>
      <c r="AR552" s="76"/>
      <c r="AS552" s="81"/>
      <c r="AT552" s="76"/>
      <c r="AU552" s="81"/>
      <c r="AV552" s="77"/>
      <c r="AW552" s="81"/>
      <c r="AX552" s="77"/>
      <c r="AY552" s="81"/>
      <c r="AZ552" s="77"/>
      <c r="BA552" s="81"/>
      <c r="BB552" s="77"/>
      <c r="BC552" s="81"/>
      <c r="BD552" s="77"/>
      <c r="BE552" s="81"/>
      <c r="BF552" s="77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77"/>
      <c r="BU552" s="77"/>
      <c r="BV552" s="77"/>
      <c r="BW552" s="77"/>
      <c r="BX552" s="77"/>
      <c r="BY552" s="77"/>
      <c r="BZ552" s="77"/>
      <c r="CA552" s="77"/>
      <c r="CB552" s="77"/>
      <c r="CC552" s="77"/>
      <c r="CD552" s="77"/>
      <c r="CE552" s="77"/>
      <c r="CF552" s="77"/>
      <c r="CG552" s="77"/>
      <c r="CH552" s="77"/>
      <c r="CI552" s="77"/>
      <c r="CJ552" s="77"/>
      <c r="CK552" s="77"/>
      <c r="CL552" s="77"/>
      <c r="CM552" s="77"/>
      <c r="CN552" s="77"/>
      <c r="CO552" s="77"/>
      <c r="CP552" s="77"/>
      <c r="CQ552" s="77"/>
      <c r="CR552" s="77"/>
      <c r="CS552" s="77"/>
      <c r="CT552" s="77"/>
      <c r="CU552" s="77"/>
      <c r="CV552" s="77"/>
      <c r="CW552" s="77"/>
    </row>
    <row r="553" spans="1:101" ht="16.5" x14ac:dyDescent="0.45">
      <c r="A553" s="76"/>
      <c r="B553" s="77"/>
      <c r="C553" s="77"/>
      <c r="D553" s="78"/>
      <c r="E553" s="80"/>
      <c r="F553" s="80"/>
      <c r="G553" s="81"/>
      <c r="H553" s="81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82"/>
      <c r="Z553" s="82"/>
      <c r="AA553" s="82"/>
      <c r="AB553" s="80"/>
      <c r="AC553" s="77"/>
      <c r="AD553" s="77"/>
      <c r="AE553" s="77"/>
      <c r="AF553" s="77"/>
      <c r="AG553" s="77"/>
      <c r="AH553" s="77"/>
      <c r="AI553" s="92"/>
      <c r="AJ553" s="77"/>
      <c r="AK553" s="77"/>
      <c r="AL553" s="77"/>
      <c r="AM553" s="77"/>
      <c r="AN553" s="77"/>
      <c r="AO553" s="77"/>
      <c r="AP553" s="76"/>
      <c r="AQ553" s="81"/>
      <c r="AR553" s="76"/>
      <c r="AS553" s="81"/>
      <c r="AT553" s="76"/>
      <c r="AU553" s="81"/>
      <c r="AV553" s="77"/>
      <c r="AW553" s="81"/>
      <c r="AX553" s="77"/>
      <c r="AY553" s="81"/>
      <c r="AZ553" s="77"/>
      <c r="BA553" s="81"/>
      <c r="BB553" s="77"/>
      <c r="BC553" s="81"/>
      <c r="BD553" s="77"/>
      <c r="BE553" s="81"/>
      <c r="BF553" s="77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77"/>
      <c r="BU553" s="77"/>
      <c r="BV553" s="77"/>
      <c r="BW553" s="77"/>
      <c r="BX553" s="77"/>
      <c r="BY553" s="77"/>
      <c r="BZ553" s="77"/>
      <c r="CA553" s="77"/>
      <c r="CB553" s="77"/>
      <c r="CC553" s="77"/>
      <c r="CD553" s="77"/>
      <c r="CE553" s="77"/>
      <c r="CF553" s="77"/>
      <c r="CG553" s="77"/>
      <c r="CH553" s="77"/>
      <c r="CI553" s="77"/>
      <c r="CJ553" s="77"/>
      <c r="CK553" s="77"/>
      <c r="CL553" s="77"/>
      <c r="CM553" s="77"/>
      <c r="CN553" s="77"/>
      <c r="CO553" s="77"/>
      <c r="CP553" s="77"/>
      <c r="CQ553" s="77"/>
      <c r="CR553" s="77"/>
      <c r="CS553" s="77"/>
      <c r="CT553" s="77"/>
      <c r="CU553" s="77"/>
      <c r="CV553" s="77"/>
      <c r="CW553" s="77"/>
    </row>
    <row r="554" spans="1:101" ht="16.5" x14ac:dyDescent="0.45">
      <c r="A554" s="76"/>
      <c r="B554" s="77"/>
      <c r="C554" s="77"/>
      <c r="D554" s="78"/>
      <c r="E554" s="80"/>
      <c r="F554" s="80"/>
      <c r="G554" s="81"/>
      <c r="H554" s="81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82"/>
      <c r="Z554" s="82"/>
      <c r="AA554" s="82"/>
      <c r="AB554" s="80"/>
      <c r="AC554" s="77"/>
      <c r="AD554" s="77"/>
      <c r="AE554" s="77"/>
      <c r="AF554" s="77"/>
      <c r="AG554" s="77"/>
      <c r="AH554" s="77"/>
      <c r="AI554" s="92"/>
      <c r="AJ554" s="77"/>
      <c r="AK554" s="77"/>
      <c r="AL554" s="77"/>
      <c r="AM554" s="77"/>
      <c r="AN554" s="77"/>
      <c r="AO554" s="77"/>
      <c r="AP554" s="76"/>
      <c r="AQ554" s="81"/>
      <c r="AR554" s="76"/>
      <c r="AS554" s="81"/>
      <c r="AT554" s="76"/>
      <c r="AU554" s="81"/>
      <c r="AV554" s="77"/>
      <c r="AW554" s="81"/>
      <c r="AX554" s="77"/>
      <c r="AY554" s="81"/>
      <c r="AZ554" s="77"/>
      <c r="BA554" s="81"/>
      <c r="BB554" s="77"/>
      <c r="BC554" s="81"/>
      <c r="BD554" s="77"/>
      <c r="BE554" s="81"/>
      <c r="BF554" s="77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77"/>
      <c r="BU554" s="77"/>
      <c r="BV554" s="77"/>
      <c r="BW554" s="77"/>
      <c r="BX554" s="77"/>
      <c r="BY554" s="77"/>
      <c r="BZ554" s="77"/>
      <c r="CA554" s="77"/>
      <c r="CB554" s="77"/>
      <c r="CC554" s="77"/>
      <c r="CD554" s="77"/>
      <c r="CE554" s="77"/>
      <c r="CF554" s="77"/>
      <c r="CG554" s="77"/>
      <c r="CH554" s="77"/>
      <c r="CI554" s="77"/>
      <c r="CJ554" s="77"/>
      <c r="CK554" s="77"/>
      <c r="CL554" s="77"/>
      <c r="CM554" s="77"/>
      <c r="CN554" s="77"/>
      <c r="CO554" s="77"/>
      <c r="CP554" s="77"/>
      <c r="CQ554" s="77"/>
      <c r="CR554" s="77"/>
      <c r="CS554" s="77"/>
      <c r="CT554" s="77"/>
      <c r="CU554" s="77"/>
      <c r="CV554" s="77"/>
      <c r="CW554" s="77"/>
    </row>
    <row r="555" spans="1:101" ht="16.5" x14ac:dyDescent="0.45">
      <c r="A555" s="76"/>
      <c r="B555" s="77"/>
      <c r="C555" s="77"/>
      <c r="D555" s="78"/>
      <c r="E555" s="80"/>
      <c r="F555" s="80"/>
      <c r="G555" s="81"/>
      <c r="H555" s="81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82"/>
      <c r="Z555" s="82"/>
      <c r="AA555" s="82"/>
      <c r="AB555" s="80"/>
      <c r="AC555" s="77"/>
      <c r="AD555" s="77"/>
      <c r="AE555" s="77"/>
      <c r="AF555" s="77"/>
      <c r="AG555" s="77"/>
      <c r="AH555" s="77"/>
      <c r="AI555" s="92"/>
      <c r="AJ555" s="77"/>
      <c r="AK555" s="77"/>
      <c r="AL555" s="77"/>
      <c r="AM555" s="77"/>
      <c r="AN555" s="77"/>
      <c r="AO555" s="77"/>
      <c r="AP555" s="76"/>
      <c r="AQ555" s="81"/>
      <c r="AR555" s="76"/>
      <c r="AS555" s="81"/>
      <c r="AT555" s="76"/>
      <c r="AU555" s="81"/>
      <c r="AV555" s="77"/>
      <c r="AW555" s="81"/>
      <c r="AX555" s="77"/>
      <c r="AY555" s="81"/>
      <c r="AZ555" s="77"/>
      <c r="BA555" s="81"/>
      <c r="BB555" s="77"/>
      <c r="BC555" s="81"/>
      <c r="BD555" s="77"/>
      <c r="BE555" s="81"/>
      <c r="BF555" s="77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77"/>
      <c r="BU555" s="77"/>
      <c r="BV555" s="77"/>
      <c r="BW555" s="77"/>
      <c r="BX555" s="77"/>
      <c r="BY555" s="77"/>
      <c r="BZ555" s="77"/>
      <c r="CA555" s="77"/>
      <c r="CB555" s="77"/>
      <c r="CC555" s="77"/>
      <c r="CD555" s="77"/>
      <c r="CE555" s="77"/>
      <c r="CF555" s="77"/>
      <c r="CG555" s="77"/>
      <c r="CH555" s="77"/>
      <c r="CI555" s="77"/>
      <c r="CJ555" s="77"/>
      <c r="CK555" s="77"/>
      <c r="CL555" s="77"/>
      <c r="CM555" s="77"/>
      <c r="CN555" s="77"/>
      <c r="CO555" s="77"/>
      <c r="CP555" s="77"/>
      <c r="CQ555" s="77"/>
      <c r="CR555" s="77"/>
      <c r="CS555" s="77"/>
      <c r="CT555" s="77"/>
      <c r="CU555" s="77"/>
      <c r="CV555" s="77"/>
      <c r="CW555" s="77"/>
    </row>
    <row r="556" spans="1:101" ht="16.5" x14ac:dyDescent="0.45">
      <c r="A556" s="76"/>
      <c r="B556" s="77"/>
      <c r="C556" s="77"/>
      <c r="D556" s="78"/>
      <c r="E556" s="80"/>
      <c r="F556" s="80"/>
      <c r="G556" s="81"/>
      <c r="H556" s="81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82"/>
      <c r="Z556" s="82"/>
      <c r="AA556" s="82"/>
      <c r="AB556" s="80"/>
      <c r="AC556" s="77"/>
      <c r="AD556" s="77"/>
      <c r="AE556" s="77"/>
      <c r="AF556" s="77"/>
      <c r="AG556" s="77"/>
      <c r="AH556" s="77"/>
      <c r="AI556" s="92"/>
      <c r="AJ556" s="77"/>
      <c r="AK556" s="77"/>
      <c r="AL556" s="77"/>
      <c r="AM556" s="77"/>
      <c r="AN556" s="77"/>
      <c r="AO556" s="77"/>
      <c r="AP556" s="76"/>
      <c r="AQ556" s="81"/>
      <c r="AR556" s="76"/>
      <c r="AS556" s="81"/>
      <c r="AT556" s="76"/>
      <c r="AU556" s="81"/>
      <c r="AV556" s="77"/>
      <c r="AW556" s="81"/>
      <c r="AX556" s="77"/>
      <c r="AY556" s="81"/>
      <c r="AZ556" s="77"/>
      <c r="BA556" s="81"/>
      <c r="BB556" s="77"/>
      <c r="BC556" s="81"/>
      <c r="BD556" s="77"/>
      <c r="BE556" s="81"/>
      <c r="BF556" s="77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77"/>
      <c r="BU556" s="77"/>
      <c r="BV556" s="77"/>
      <c r="BW556" s="77"/>
      <c r="BX556" s="77"/>
      <c r="BY556" s="77"/>
      <c r="BZ556" s="77"/>
      <c r="CA556" s="77"/>
      <c r="CB556" s="77"/>
      <c r="CC556" s="77"/>
      <c r="CD556" s="77"/>
      <c r="CE556" s="77"/>
      <c r="CF556" s="77"/>
      <c r="CG556" s="77"/>
      <c r="CH556" s="77"/>
      <c r="CI556" s="77"/>
      <c r="CJ556" s="77"/>
      <c r="CK556" s="77"/>
      <c r="CL556" s="77"/>
      <c r="CM556" s="77"/>
      <c r="CN556" s="77"/>
      <c r="CO556" s="77"/>
      <c r="CP556" s="77"/>
      <c r="CQ556" s="77"/>
      <c r="CR556" s="77"/>
      <c r="CS556" s="77"/>
      <c r="CT556" s="77"/>
      <c r="CU556" s="77"/>
      <c r="CV556" s="77"/>
      <c r="CW556" s="77"/>
    </row>
    <row r="557" spans="1:101" ht="16.5" x14ac:dyDescent="0.45">
      <c r="A557" s="76"/>
      <c r="B557" s="77"/>
      <c r="C557" s="77"/>
      <c r="D557" s="78"/>
      <c r="E557" s="80"/>
      <c r="F557" s="80"/>
      <c r="G557" s="81"/>
      <c r="H557" s="81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82"/>
      <c r="Z557" s="82"/>
      <c r="AA557" s="82"/>
      <c r="AB557" s="80"/>
      <c r="AC557" s="77"/>
      <c r="AD557" s="77"/>
      <c r="AE557" s="77"/>
      <c r="AF557" s="77"/>
      <c r="AG557" s="77"/>
      <c r="AH557" s="77"/>
      <c r="AI557" s="92"/>
      <c r="AJ557" s="77"/>
      <c r="AK557" s="77"/>
      <c r="AL557" s="77"/>
      <c r="AM557" s="77"/>
      <c r="AN557" s="77"/>
      <c r="AO557" s="77"/>
      <c r="AP557" s="76"/>
      <c r="AQ557" s="81"/>
      <c r="AR557" s="76"/>
      <c r="AS557" s="81"/>
      <c r="AT557" s="76"/>
      <c r="AU557" s="81"/>
      <c r="AV557" s="77"/>
      <c r="AW557" s="81"/>
      <c r="AX557" s="77"/>
      <c r="AY557" s="81"/>
      <c r="AZ557" s="77"/>
      <c r="BA557" s="81"/>
      <c r="BB557" s="77"/>
      <c r="BC557" s="81"/>
      <c r="BD557" s="77"/>
      <c r="BE557" s="81"/>
      <c r="BF557" s="77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77"/>
      <c r="BU557" s="77"/>
      <c r="BV557" s="77"/>
      <c r="BW557" s="77"/>
      <c r="BX557" s="77"/>
      <c r="BY557" s="77"/>
      <c r="BZ557" s="77"/>
      <c r="CA557" s="77"/>
      <c r="CB557" s="77"/>
      <c r="CC557" s="77"/>
      <c r="CD557" s="77"/>
      <c r="CE557" s="77"/>
      <c r="CF557" s="77"/>
      <c r="CG557" s="77"/>
      <c r="CH557" s="77"/>
      <c r="CI557" s="77"/>
      <c r="CJ557" s="77"/>
      <c r="CK557" s="77"/>
      <c r="CL557" s="77"/>
      <c r="CM557" s="77"/>
      <c r="CN557" s="77"/>
      <c r="CO557" s="77"/>
      <c r="CP557" s="77"/>
      <c r="CQ557" s="77"/>
      <c r="CR557" s="77"/>
      <c r="CS557" s="77"/>
      <c r="CT557" s="77"/>
      <c r="CU557" s="77"/>
      <c r="CV557" s="77"/>
      <c r="CW557" s="77"/>
    </row>
    <row r="558" spans="1:101" ht="16.5" x14ac:dyDescent="0.45">
      <c r="A558" s="76"/>
      <c r="B558" s="77"/>
      <c r="C558" s="77"/>
      <c r="D558" s="78"/>
      <c r="E558" s="80"/>
      <c r="F558" s="80"/>
      <c r="G558" s="81"/>
      <c r="H558" s="81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82"/>
      <c r="Z558" s="82"/>
      <c r="AA558" s="82"/>
      <c r="AB558" s="80"/>
      <c r="AC558" s="77"/>
      <c r="AD558" s="77"/>
      <c r="AE558" s="77"/>
      <c r="AF558" s="77"/>
      <c r="AG558" s="77"/>
      <c r="AH558" s="77"/>
      <c r="AI558" s="92"/>
      <c r="AJ558" s="77"/>
      <c r="AK558" s="77"/>
      <c r="AL558" s="77"/>
      <c r="AM558" s="77"/>
      <c r="AN558" s="77"/>
      <c r="AO558" s="77"/>
      <c r="AP558" s="76"/>
      <c r="AQ558" s="81"/>
      <c r="AR558" s="76"/>
      <c r="AS558" s="81"/>
      <c r="AT558" s="76"/>
      <c r="AU558" s="81"/>
      <c r="AV558" s="77"/>
      <c r="AW558" s="81"/>
      <c r="AX558" s="77"/>
      <c r="AY558" s="81"/>
      <c r="AZ558" s="77"/>
      <c r="BA558" s="81"/>
      <c r="BB558" s="77"/>
      <c r="BC558" s="81"/>
      <c r="BD558" s="77"/>
      <c r="BE558" s="81"/>
      <c r="BF558" s="77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77"/>
      <c r="BU558" s="77"/>
      <c r="BV558" s="77"/>
      <c r="BW558" s="77"/>
      <c r="BX558" s="77"/>
      <c r="BY558" s="77"/>
      <c r="BZ558" s="77"/>
      <c r="CA558" s="77"/>
      <c r="CB558" s="77"/>
      <c r="CC558" s="77"/>
      <c r="CD558" s="77"/>
      <c r="CE558" s="77"/>
      <c r="CF558" s="77"/>
      <c r="CG558" s="77"/>
      <c r="CH558" s="77"/>
      <c r="CI558" s="77"/>
      <c r="CJ558" s="77"/>
      <c r="CK558" s="77"/>
      <c r="CL558" s="77"/>
      <c r="CM558" s="77"/>
      <c r="CN558" s="77"/>
      <c r="CO558" s="77"/>
      <c r="CP558" s="77"/>
      <c r="CQ558" s="77"/>
      <c r="CR558" s="77"/>
      <c r="CS558" s="77"/>
      <c r="CT558" s="77"/>
      <c r="CU558" s="77"/>
      <c r="CV558" s="77"/>
      <c r="CW558" s="77"/>
    </row>
    <row r="559" spans="1:101" ht="16.5" x14ac:dyDescent="0.45">
      <c r="A559" s="76"/>
      <c r="B559" s="77"/>
      <c r="C559" s="77"/>
      <c r="D559" s="78"/>
      <c r="E559" s="80"/>
      <c r="F559" s="80"/>
      <c r="G559" s="81"/>
      <c r="H559" s="81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82"/>
      <c r="Z559" s="82"/>
      <c r="AA559" s="82"/>
      <c r="AB559" s="80"/>
      <c r="AC559" s="77"/>
      <c r="AD559" s="77"/>
      <c r="AE559" s="77"/>
      <c r="AF559" s="77"/>
      <c r="AG559" s="77"/>
      <c r="AH559" s="77"/>
      <c r="AI559" s="92"/>
      <c r="AJ559" s="77"/>
      <c r="AK559" s="77"/>
      <c r="AL559" s="77"/>
      <c r="AM559" s="77"/>
      <c r="AN559" s="77"/>
      <c r="AO559" s="77"/>
      <c r="AP559" s="76"/>
      <c r="AQ559" s="81"/>
      <c r="AR559" s="76"/>
      <c r="AS559" s="81"/>
      <c r="AT559" s="76"/>
      <c r="AU559" s="81"/>
      <c r="AV559" s="77"/>
      <c r="AW559" s="81"/>
      <c r="AX559" s="77"/>
      <c r="AY559" s="81"/>
      <c r="AZ559" s="77"/>
      <c r="BA559" s="81"/>
      <c r="BB559" s="77"/>
      <c r="BC559" s="81"/>
      <c r="BD559" s="77"/>
      <c r="BE559" s="81"/>
      <c r="BF559" s="77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77"/>
      <c r="BU559" s="77"/>
      <c r="BV559" s="77"/>
      <c r="BW559" s="77"/>
      <c r="BX559" s="77"/>
      <c r="BY559" s="77"/>
      <c r="BZ559" s="77"/>
      <c r="CA559" s="77"/>
      <c r="CB559" s="77"/>
      <c r="CC559" s="77"/>
      <c r="CD559" s="77"/>
      <c r="CE559" s="77"/>
      <c r="CF559" s="77"/>
      <c r="CG559" s="77"/>
      <c r="CH559" s="77"/>
      <c r="CI559" s="77"/>
      <c r="CJ559" s="77"/>
      <c r="CK559" s="77"/>
      <c r="CL559" s="77"/>
      <c r="CM559" s="77"/>
      <c r="CN559" s="77"/>
      <c r="CO559" s="77"/>
      <c r="CP559" s="77"/>
      <c r="CQ559" s="77"/>
      <c r="CR559" s="77"/>
      <c r="CS559" s="77"/>
      <c r="CT559" s="77"/>
      <c r="CU559" s="77"/>
      <c r="CV559" s="77"/>
      <c r="CW559" s="77"/>
    </row>
    <row r="560" spans="1:101" ht="16.5" x14ac:dyDescent="0.45">
      <c r="A560" s="76"/>
      <c r="B560" s="77"/>
      <c r="C560" s="77"/>
      <c r="D560" s="78"/>
      <c r="E560" s="80"/>
      <c r="F560" s="80"/>
      <c r="G560" s="81"/>
      <c r="H560" s="81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82"/>
      <c r="Z560" s="82"/>
      <c r="AA560" s="82"/>
      <c r="AB560" s="80"/>
      <c r="AC560" s="77"/>
      <c r="AD560" s="77"/>
      <c r="AE560" s="77"/>
      <c r="AF560" s="77"/>
      <c r="AG560" s="77"/>
      <c r="AH560" s="77"/>
      <c r="AI560" s="92"/>
      <c r="AJ560" s="77"/>
      <c r="AK560" s="77"/>
      <c r="AL560" s="77"/>
      <c r="AM560" s="77"/>
      <c r="AN560" s="77"/>
      <c r="AO560" s="77"/>
      <c r="AP560" s="76"/>
      <c r="AQ560" s="81"/>
      <c r="AR560" s="76"/>
      <c r="AS560" s="81"/>
      <c r="AT560" s="76"/>
      <c r="AU560" s="81"/>
      <c r="AV560" s="77"/>
      <c r="AW560" s="81"/>
      <c r="AX560" s="77"/>
      <c r="AY560" s="81"/>
      <c r="AZ560" s="77"/>
      <c r="BA560" s="81"/>
      <c r="BB560" s="77"/>
      <c r="BC560" s="81"/>
      <c r="BD560" s="77"/>
      <c r="BE560" s="81"/>
      <c r="BF560" s="77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77"/>
      <c r="BU560" s="77"/>
      <c r="BV560" s="77"/>
      <c r="BW560" s="77"/>
      <c r="BX560" s="77"/>
      <c r="BY560" s="77"/>
      <c r="BZ560" s="77"/>
      <c r="CA560" s="77"/>
      <c r="CB560" s="77"/>
      <c r="CC560" s="77"/>
      <c r="CD560" s="77"/>
      <c r="CE560" s="77"/>
      <c r="CF560" s="77"/>
      <c r="CG560" s="77"/>
      <c r="CH560" s="77"/>
      <c r="CI560" s="77"/>
      <c r="CJ560" s="77"/>
      <c r="CK560" s="77"/>
      <c r="CL560" s="77"/>
      <c r="CM560" s="77"/>
      <c r="CN560" s="77"/>
      <c r="CO560" s="77"/>
      <c r="CP560" s="77"/>
      <c r="CQ560" s="77"/>
      <c r="CR560" s="77"/>
      <c r="CS560" s="77"/>
      <c r="CT560" s="77"/>
      <c r="CU560" s="77"/>
      <c r="CV560" s="77"/>
      <c r="CW560" s="77"/>
    </row>
    <row r="561" spans="1:101" ht="16.5" x14ac:dyDescent="0.45">
      <c r="A561" s="76"/>
      <c r="B561" s="77"/>
      <c r="C561" s="77"/>
      <c r="D561" s="78"/>
      <c r="E561" s="80"/>
      <c r="F561" s="80"/>
      <c r="G561" s="81"/>
      <c r="H561" s="81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82"/>
      <c r="Z561" s="82"/>
      <c r="AA561" s="82"/>
      <c r="AB561" s="80"/>
      <c r="AC561" s="77"/>
      <c r="AD561" s="77"/>
      <c r="AE561" s="77"/>
      <c r="AF561" s="77"/>
      <c r="AG561" s="77"/>
      <c r="AH561" s="77"/>
      <c r="AI561" s="92"/>
      <c r="AJ561" s="77"/>
      <c r="AK561" s="77"/>
      <c r="AL561" s="77"/>
      <c r="AM561" s="77"/>
      <c r="AN561" s="77"/>
      <c r="AO561" s="77"/>
      <c r="AP561" s="76"/>
      <c r="AQ561" s="81"/>
      <c r="AR561" s="76"/>
      <c r="AS561" s="81"/>
      <c r="AT561" s="76"/>
      <c r="AU561" s="81"/>
      <c r="AV561" s="77"/>
      <c r="AW561" s="81"/>
      <c r="AX561" s="77"/>
      <c r="AY561" s="81"/>
      <c r="AZ561" s="77"/>
      <c r="BA561" s="81"/>
      <c r="BB561" s="77"/>
      <c r="BC561" s="81"/>
      <c r="BD561" s="77"/>
      <c r="BE561" s="81"/>
      <c r="BF561" s="77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77"/>
      <c r="BU561" s="77"/>
      <c r="BV561" s="77"/>
      <c r="BW561" s="77"/>
      <c r="BX561" s="77"/>
      <c r="BY561" s="77"/>
      <c r="BZ561" s="77"/>
      <c r="CA561" s="77"/>
      <c r="CB561" s="77"/>
      <c r="CC561" s="77"/>
      <c r="CD561" s="77"/>
      <c r="CE561" s="77"/>
      <c r="CF561" s="77"/>
      <c r="CG561" s="77"/>
      <c r="CH561" s="77"/>
      <c r="CI561" s="77"/>
      <c r="CJ561" s="77"/>
      <c r="CK561" s="77"/>
      <c r="CL561" s="77"/>
      <c r="CM561" s="77"/>
      <c r="CN561" s="77"/>
      <c r="CO561" s="77"/>
      <c r="CP561" s="77"/>
      <c r="CQ561" s="77"/>
      <c r="CR561" s="77"/>
      <c r="CS561" s="77"/>
      <c r="CT561" s="77"/>
      <c r="CU561" s="77"/>
      <c r="CV561" s="77"/>
      <c r="CW561" s="77"/>
    </row>
    <row r="562" spans="1:101" ht="16.5" x14ac:dyDescent="0.45">
      <c r="A562" s="76"/>
      <c r="B562" s="77"/>
      <c r="C562" s="77"/>
      <c r="D562" s="78"/>
      <c r="E562" s="80"/>
      <c r="F562" s="80"/>
      <c r="G562" s="81"/>
      <c r="H562" s="81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82"/>
      <c r="Z562" s="82"/>
      <c r="AA562" s="82"/>
      <c r="AB562" s="80"/>
      <c r="AC562" s="77"/>
      <c r="AD562" s="77"/>
      <c r="AE562" s="77"/>
      <c r="AF562" s="77"/>
      <c r="AG562" s="77"/>
      <c r="AH562" s="77"/>
      <c r="AI562" s="92"/>
      <c r="AJ562" s="77"/>
      <c r="AK562" s="77"/>
      <c r="AL562" s="77"/>
      <c r="AM562" s="77"/>
      <c r="AN562" s="77"/>
      <c r="AO562" s="77"/>
      <c r="AP562" s="76"/>
      <c r="AQ562" s="81"/>
      <c r="AR562" s="76"/>
      <c r="AS562" s="81"/>
      <c r="AT562" s="76"/>
      <c r="AU562" s="81"/>
      <c r="AV562" s="77"/>
      <c r="AW562" s="81"/>
      <c r="AX562" s="77"/>
      <c r="AY562" s="81"/>
      <c r="AZ562" s="77"/>
      <c r="BA562" s="81"/>
      <c r="BB562" s="77"/>
      <c r="BC562" s="81"/>
      <c r="BD562" s="77"/>
      <c r="BE562" s="81"/>
      <c r="BF562" s="77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77"/>
      <c r="BU562" s="77"/>
      <c r="BV562" s="77"/>
      <c r="BW562" s="77"/>
      <c r="BX562" s="77"/>
      <c r="BY562" s="77"/>
      <c r="BZ562" s="77"/>
      <c r="CA562" s="77"/>
      <c r="CB562" s="77"/>
      <c r="CC562" s="77"/>
      <c r="CD562" s="77"/>
      <c r="CE562" s="77"/>
      <c r="CF562" s="77"/>
      <c r="CG562" s="77"/>
      <c r="CH562" s="77"/>
      <c r="CI562" s="77"/>
      <c r="CJ562" s="77"/>
      <c r="CK562" s="77"/>
      <c r="CL562" s="77"/>
      <c r="CM562" s="77"/>
      <c r="CN562" s="77"/>
      <c r="CO562" s="77"/>
      <c r="CP562" s="77"/>
      <c r="CQ562" s="77"/>
      <c r="CR562" s="77"/>
      <c r="CS562" s="77"/>
      <c r="CT562" s="77"/>
      <c r="CU562" s="77"/>
      <c r="CV562" s="77"/>
      <c r="CW562" s="77"/>
    </row>
    <row r="563" spans="1:101" ht="16.5" x14ac:dyDescent="0.45">
      <c r="A563" s="76"/>
      <c r="B563" s="77"/>
      <c r="C563" s="77"/>
      <c r="D563" s="78"/>
      <c r="E563" s="80"/>
      <c r="F563" s="80"/>
      <c r="G563" s="81"/>
      <c r="H563" s="81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82"/>
      <c r="Z563" s="82"/>
      <c r="AA563" s="82"/>
      <c r="AB563" s="80"/>
      <c r="AC563" s="77"/>
      <c r="AD563" s="77"/>
      <c r="AE563" s="77"/>
      <c r="AF563" s="77"/>
      <c r="AG563" s="77"/>
      <c r="AH563" s="77"/>
      <c r="AI563" s="92"/>
      <c r="AJ563" s="77"/>
      <c r="AK563" s="77"/>
      <c r="AL563" s="77"/>
      <c r="AM563" s="77"/>
      <c r="AN563" s="77"/>
      <c r="AO563" s="77"/>
      <c r="AP563" s="76"/>
      <c r="AQ563" s="81"/>
      <c r="AR563" s="76"/>
      <c r="AS563" s="81"/>
      <c r="AT563" s="76"/>
      <c r="AU563" s="81"/>
      <c r="AV563" s="77"/>
      <c r="AW563" s="81"/>
      <c r="AX563" s="77"/>
      <c r="AY563" s="81"/>
      <c r="AZ563" s="77"/>
      <c r="BA563" s="81"/>
      <c r="BB563" s="77"/>
      <c r="BC563" s="81"/>
      <c r="BD563" s="77"/>
      <c r="BE563" s="81"/>
      <c r="BF563" s="77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77"/>
      <c r="BU563" s="77"/>
      <c r="BV563" s="77"/>
      <c r="BW563" s="77"/>
      <c r="BX563" s="77"/>
      <c r="BY563" s="77"/>
      <c r="BZ563" s="77"/>
      <c r="CA563" s="77"/>
      <c r="CB563" s="77"/>
      <c r="CC563" s="77"/>
      <c r="CD563" s="77"/>
      <c r="CE563" s="77"/>
      <c r="CF563" s="77"/>
      <c r="CG563" s="77"/>
      <c r="CH563" s="77"/>
      <c r="CI563" s="77"/>
      <c r="CJ563" s="77"/>
      <c r="CK563" s="77"/>
      <c r="CL563" s="77"/>
      <c r="CM563" s="77"/>
      <c r="CN563" s="77"/>
      <c r="CO563" s="77"/>
      <c r="CP563" s="77"/>
      <c r="CQ563" s="77"/>
      <c r="CR563" s="77"/>
      <c r="CS563" s="77"/>
      <c r="CT563" s="77"/>
      <c r="CU563" s="77"/>
      <c r="CV563" s="77"/>
      <c r="CW563" s="77"/>
    </row>
    <row r="564" spans="1:101" ht="16.5" x14ac:dyDescent="0.45">
      <c r="A564" s="76"/>
      <c r="B564" s="77"/>
      <c r="C564" s="77"/>
      <c r="D564" s="78"/>
      <c r="E564" s="80"/>
      <c r="F564" s="80"/>
      <c r="G564" s="81"/>
      <c r="H564" s="81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82"/>
      <c r="Z564" s="82"/>
      <c r="AA564" s="82"/>
      <c r="AB564" s="80"/>
      <c r="AC564" s="77"/>
      <c r="AD564" s="77"/>
      <c r="AE564" s="77"/>
      <c r="AF564" s="77"/>
      <c r="AG564" s="77"/>
      <c r="AH564" s="77"/>
      <c r="AI564" s="92"/>
      <c r="AJ564" s="77"/>
      <c r="AK564" s="77"/>
      <c r="AL564" s="77"/>
      <c r="AM564" s="77"/>
      <c r="AN564" s="77"/>
      <c r="AO564" s="77"/>
      <c r="AP564" s="76"/>
      <c r="AQ564" s="81"/>
      <c r="AR564" s="76"/>
      <c r="AS564" s="81"/>
      <c r="AT564" s="76"/>
      <c r="AU564" s="81"/>
      <c r="AV564" s="77"/>
      <c r="AW564" s="81"/>
      <c r="AX564" s="77"/>
      <c r="AY564" s="81"/>
      <c r="AZ564" s="77"/>
      <c r="BA564" s="81"/>
      <c r="BB564" s="77"/>
      <c r="BC564" s="81"/>
      <c r="BD564" s="77"/>
      <c r="BE564" s="81"/>
      <c r="BF564" s="77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77"/>
      <c r="BU564" s="77"/>
      <c r="BV564" s="77"/>
      <c r="BW564" s="77"/>
      <c r="BX564" s="77"/>
      <c r="BY564" s="77"/>
      <c r="BZ564" s="77"/>
      <c r="CA564" s="77"/>
      <c r="CB564" s="77"/>
      <c r="CC564" s="77"/>
      <c r="CD564" s="77"/>
      <c r="CE564" s="77"/>
      <c r="CF564" s="77"/>
      <c r="CG564" s="77"/>
      <c r="CH564" s="77"/>
      <c r="CI564" s="77"/>
      <c r="CJ564" s="77"/>
      <c r="CK564" s="77"/>
      <c r="CL564" s="77"/>
      <c r="CM564" s="77"/>
      <c r="CN564" s="77"/>
      <c r="CO564" s="77"/>
      <c r="CP564" s="77"/>
      <c r="CQ564" s="77"/>
      <c r="CR564" s="77"/>
      <c r="CS564" s="77"/>
      <c r="CT564" s="77"/>
      <c r="CU564" s="77"/>
      <c r="CV564" s="77"/>
      <c r="CW564" s="77"/>
    </row>
    <row r="565" spans="1:101" ht="16.5" x14ac:dyDescent="0.45">
      <c r="A565" s="76"/>
      <c r="B565" s="77"/>
      <c r="C565" s="77"/>
      <c r="D565" s="78"/>
      <c r="E565" s="80"/>
      <c r="F565" s="80"/>
      <c r="G565" s="81"/>
      <c r="H565" s="81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82"/>
      <c r="Z565" s="82"/>
      <c r="AA565" s="82"/>
      <c r="AB565" s="80"/>
      <c r="AC565" s="77"/>
      <c r="AD565" s="77"/>
      <c r="AE565" s="77"/>
      <c r="AF565" s="77"/>
      <c r="AG565" s="77"/>
      <c r="AH565" s="77"/>
      <c r="AI565" s="92"/>
      <c r="AJ565" s="77"/>
      <c r="AK565" s="77"/>
      <c r="AL565" s="77"/>
      <c r="AM565" s="77"/>
      <c r="AN565" s="77"/>
      <c r="AO565" s="77"/>
      <c r="AP565" s="76"/>
      <c r="AQ565" s="81"/>
      <c r="AR565" s="76"/>
      <c r="AS565" s="81"/>
      <c r="AT565" s="76"/>
      <c r="AU565" s="81"/>
      <c r="AV565" s="77"/>
      <c r="AW565" s="81"/>
      <c r="AX565" s="77"/>
      <c r="AY565" s="81"/>
      <c r="AZ565" s="77"/>
      <c r="BA565" s="81"/>
      <c r="BB565" s="77"/>
      <c r="BC565" s="81"/>
      <c r="BD565" s="77"/>
      <c r="BE565" s="81"/>
      <c r="BF565" s="77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77"/>
      <c r="BU565" s="77"/>
      <c r="BV565" s="77"/>
      <c r="BW565" s="77"/>
      <c r="BX565" s="77"/>
      <c r="BY565" s="77"/>
      <c r="BZ565" s="77"/>
      <c r="CA565" s="77"/>
      <c r="CB565" s="77"/>
      <c r="CC565" s="77"/>
      <c r="CD565" s="77"/>
      <c r="CE565" s="77"/>
      <c r="CF565" s="77"/>
      <c r="CG565" s="77"/>
      <c r="CH565" s="77"/>
      <c r="CI565" s="77"/>
      <c r="CJ565" s="77"/>
      <c r="CK565" s="77"/>
      <c r="CL565" s="77"/>
      <c r="CM565" s="77"/>
      <c r="CN565" s="77"/>
      <c r="CO565" s="77"/>
      <c r="CP565" s="77"/>
      <c r="CQ565" s="77"/>
      <c r="CR565" s="77"/>
      <c r="CS565" s="77"/>
      <c r="CT565" s="77"/>
      <c r="CU565" s="77"/>
      <c r="CV565" s="77"/>
      <c r="CW565" s="77"/>
    </row>
    <row r="566" spans="1:101" ht="16.5" x14ac:dyDescent="0.45">
      <c r="A566" s="76"/>
      <c r="B566" s="77"/>
      <c r="C566" s="77"/>
      <c r="D566" s="78"/>
      <c r="E566" s="80"/>
      <c r="F566" s="80"/>
      <c r="G566" s="81"/>
      <c r="H566" s="81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82"/>
      <c r="Z566" s="82"/>
      <c r="AA566" s="82"/>
      <c r="AB566" s="80"/>
      <c r="AC566" s="77"/>
      <c r="AD566" s="77"/>
      <c r="AE566" s="77"/>
      <c r="AF566" s="77"/>
      <c r="AG566" s="77"/>
      <c r="AH566" s="77"/>
      <c r="AI566" s="92"/>
      <c r="AJ566" s="77"/>
      <c r="AK566" s="77"/>
      <c r="AL566" s="77"/>
      <c r="AM566" s="77"/>
      <c r="AN566" s="77"/>
      <c r="AO566" s="77"/>
      <c r="AP566" s="76"/>
      <c r="AQ566" s="81"/>
      <c r="AR566" s="76"/>
      <c r="AS566" s="81"/>
      <c r="AT566" s="76"/>
      <c r="AU566" s="81"/>
      <c r="AV566" s="77"/>
      <c r="AW566" s="81"/>
      <c r="AX566" s="77"/>
      <c r="AY566" s="81"/>
      <c r="AZ566" s="77"/>
      <c r="BA566" s="81"/>
      <c r="BB566" s="77"/>
      <c r="BC566" s="81"/>
      <c r="BD566" s="77"/>
      <c r="BE566" s="81"/>
      <c r="BF566" s="77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77"/>
      <c r="BU566" s="77"/>
      <c r="BV566" s="77"/>
      <c r="BW566" s="77"/>
      <c r="BX566" s="77"/>
      <c r="BY566" s="77"/>
      <c r="BZ566" s="77"/>
      <c r="CA566" s="77"/>
      <c r="CB566" s="77"/>
      <c r="CC566" s="77"/>
      <c r="CD566" s="77"/>
      <c r="CE566" s="77"/>
      <c r="CF566" s="77"/>
      <c r="CG566" s="77"/>
      <c r="CH566" s="77"/>
      <c r="CI566" s="77"/>
      <c r="CJ566" s="77"/>
      <c r="CK566" s="77"/>
      <c r="CL566" s="77"/>
      <c r="CM566" s="77"/>
      <c r="CN566" s="77"/>
      <c r="CO566" s="77"/>
      <c r="CP566" s="77"/>
      <c r="CQ566" s="77"/>
      <c r="CR566" s="77"/>
      <c r="CS566" s="77"/>
      <c r="CT566" s="77"/>
      <c r="CU566" s="77"/>
      <c r="CV566" s="77"/>
      <c r="CW566" s="77"/>
    </row>
    <row r="567" spans="1:101" ht="16.5" x14ac:dyDescent="0.45">
      <c r="A567" s="76"/>
      <c r="B567" s="77"/>
      <c r="C567" s="77"/>
      <c r="D567" s="78"/>
      <c r="E567" s="80"/>
      <c r="F567" s="80"/>
      <c r="G567" s="81"/>
      <c r="H567" s="81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82"/>
      <c r="Z567" s="82"/>
      <c r="AA567" s="82"/>
      <c r="AB567" s="80"/>
      <c r="AC567" s="77"/>
      <c r="AD567" s="77"/>
      <c r="AE567" s="77"/>
      <c r="AF567" s="77"/>
      <c r="AG567" s="77"/>
      <c r="AH567" s="77"/>
      <c r="AI567" s="92"/>
      <c r="AJ567" s="77"/>
      <c r="AK567" s="77"/>
      <c r="AL567" s="77"/>
      <c r="AM567" s="77"/>
      <c r="AN567" s="77"/>
      <c r="AO567" s="77"/>
      <c r="AP567" s="76"/>
      <c r="AQ567" s="81"/>
      <c r="AR567" s="76"/>
      <c r="AS567" s="81"/>
      <c r="AT567" s="76"/>
      <c r="AU567" s="81"/>
      <c r="AV567" s="77"/>
      <c r="AW567" s="81"/>
      <c r="AX567" s="77"/>
      <c r="AY567" s="81"/>
      <c r="AZ567" s="77"/>
      <c r="BA567" s="81"/>
      <c r="BB567" s="77"/>
      <c r="BC567" s="81"/>
      <c r="BD567" s="77"/>
      <c r="BE567" s="81"/>
      <c r="BF567" s="77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77"/>
      <c r="BU567" s="77"/>
      <c r="BV567" s="77"/>
      <c r="BW567" s="77"/>
      <c r="BX567" s="77"/>
      <c r="BY567" s="77"/>
      <c r="BZ567" s="77"/>
      <c r="CA567" s="77"/>
      <c r="CB567" s="77"/>
      <c r="CC567" s="77"/>
      <c r="CD567" s="77"/>
      <c r="CE567" s="77"/>
      <c r="CF567" s="77"/>
      <c r="CG567" s="77"/>
      <c r="CH567" s="77"/>
      <c r="CI567" s="77"/>
      <c r="CJ567" s="77"/>
      <c r="CK567" s="77"/>
      <c r="CL567" s="77"/>
      <c r="CM567" s="77"/>
      <c r="CN567" s="77"/>
      <c r="CO567" s="77"/>
      <c r="CP567" s="77"/>
      <c r="CQ567" s="77"/>
      <c r="CR567" s="77"/>
      <c r="CS567" s="77"/>
      <c r="CT567" s="77"/>
      <c r="CU567" s="77"/>
      <c r="CV567" s="77"/>
      <c r="CW567" s="77"/>
    </row>
    <row r="568" spans="1:101" ht="16.5" x14ac:dyDescent="0.45">
      <c r="A568" s="76"/>
      <c r="B568" s="77"/>
      <c r="C568" s="77"/>
      <c r="D568" s="78"/>
      <c r="E568" s="80"/>
      <c r="F568" s="80"/>
      <c r="G568" s="81"/>
      <c r="H568" s="81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82"/>
      <c r="Z568" s="82"/>
      <c r="AA568" s="82"/>
      <c r="AB568" s="80"/>
      <c r="AC568" s="77"/>
      <c r="AD568" s="77"/>
      <c r="AE568" s="77"/>
      <c r="AF568" s="77"/>
      <c r="AG568" s="77"/>
      <c r="AH568" s="77"/>
      <c r="AI568" s="92"/>
      <c r="AJ568" s="77"/>
      <c r="AK568" s="77"/>
      <c r="AL568" s="77"/>
      <c r="AM568" s="77"/>
      <c r="AN568" s="77"/>
      <c r="AO568" s="77"/>
      <c r="AP568" s="76"/>
      <c r="AQ568" s="81"/>
      <c r="AR568" s="76"/>
      <c r="AS568" s="81"/>
      <c r="AT568" s="76"/>
      <c r="AU568" s="81"/>
      <c r="AV568" s="77"/>
      <c r="AW568" s="81"/>
      <c r="AX568" s="77"/>
      <c r="AY568" s="81"/>
      <c r="AZ568" s="77"/>
      <c r="BA568" s="81"/>
      <c r="BB568" s="77"/>
      <c r="BC568" s="81"/>
      <c r="BD568" s="77"/>
      <c r="BE568" s="81"/>
      <c r="BF568" s="77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77"/>
      <c r="BU568" s="77"/>
      <c r="BV568" s="77"/>
      <c r="BW568" s="77"/>
      <c r="BX568" s="77"/>
      <c r="BY568" s="77"/>
      <c r="BZ568" s="77"/>
      <c r="CA568" s="77"/>
      <c r="CB568" s="77"/>
      <c r="CC568" s="77"/>
      <c r="CD568" s="77"/>
      <c r="CE568" s="77"/>
      <c r="CF568" s="77"/>
      <c r="CG568" s="77"/>
      <c r="CH568" s="77"/>
      <c r="CI568" s="77"/>
      <c r="CJ568" s="77"/>
      <c r="CK568" s="77"/>
      <c r="CL568" s="77"/>
      <c r="CM568" s="77"/>
      <c r="CN568" s="77"/>
      <c r="CO568" s="77"/>
      <c r="CP568" s="77"/>
      <c r="CQ568" s="77"/>
      <c r="CR568" s="77"/>
      <c r="CS568" s="77"/>
      <c r="CT568" s="77"/>
      <c r="CU568" s="77"/>
      <c r="CV568" s="77"/>
      <c r="CW568" s="77"/>
    </row>
    <row r="569" spans="1:101" ht="16.5" x14ac:dyDescent="0.45">
      <c r="A569" s="76"/>
      <c r="B569" s="77"/>
      <c r="C569" s="77"/>
      <c r="D569" s="78"/>
      <c r="E569" s="80"/>
      <c r="F569" s="80"/>
      <c r="G569" s="81"/>
      <c r="H569" s="81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82"/>
      <c r="Z569" s="82"/>
      <c r="AA569" s="82"/>
      <c r="AB569" s="80"/>
      <c r="AC569" s="77"/>
      <c r="AD569" s="77"/>
      <c r="AE569" s="77"/>
      <c r="AF569" s="77"/>
      <c r="AG569" s="77"/>
      <c r="AH569" s="77"/>
      <c r="AI569" s="92"/>
      <c r="AJ569" s="77"/>
      <c r="AK569" s="77"/>
      <c r="AL569" s="77"/>
      <c r="AM569" s="77"/>
      <c r="AN569" s="77"/>
      <c r="AO569" s="77"/>
      <c r="AP569" s="76"/>
      <c r="AQ569" s="81"/>
      <c r="AR569" s="76"/>
      <c r="AS569" s="81"/>
      <c r="AT569" s="76"/>
      <c r="AU569" s="81"/>
      <c r="AV569" s="77"/>
      <c r="AW569" s="81"/>
      <c r="AX569" s="77"/>
      <c r="AY569" s="81"/>
      <c r="AZ569" s="77"/>
      <c r="BA569" s="81"/>
      <c r="BB569" s="77"/>
      <c r="BC569" s="81"/>
      <c r="BD569" s="77"/>
      <c r="BE569" s="81"/>
      <c r="BF569" s="77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77"/>
      <c r="BU569" s="77"/>
      <c r="BV569" s="77"/>
      <c r="BW569" s="77"/>
      <c r="BX569" s="77"/>
      <c r="BY569" s="77"/>
      <c r="BZ569" s="77"/>
      <c r="CA569" s="77"/>
      <c r="CB569" s="77"/>
      <c r="CC569" s="77"/>
      <c r="CD569" s="77"/>
      <c r="CE569" s="77"/>
      <c r="CF569" s="77"/>
      <c r="CG569" s="77"/>
      <c r="CH569" s="77"/>
      <c r="CI569" s="77"/>
      <c r="CJ569" s="77"/>
      <c r="CK569" s="77"/>
      <c r="CL569" s="77"/>
      <c r="CM569" s="77"/>
      <c r="CN569" s="77"/>
      <c r="CO569" s="77"/>
      <c r="CP569" s="77"/>
      <c r="CQ569" s="77"/>
      <c r="CR569" s="77"/>
      <c r="CS569" s="77"/>
      <c r="CT569" s="77"/>
      <c r="CU569" s="77"/>
      <c r="CV569" s="77"/>
      <c r="CW569" s="77"/>
    </row>
    <row r="570" spans="1:101" ht="16.5" x14ac:dyDescent="0.45">
      <c r="A570" s="76"/>
      <c r="B570" s="77"/>
      <c r="C570" s="77"/>
      <c r="D570" s="78"/>
      <c r="E570" s="80"/>
      <c r="F570" s="80"/>
      <c r="G570" s="81"/>
      <c r="H570" s="81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82"/>
      <c r="Z570" s="82"/>
      <c r="AA570" s="82"/>
      <c r="AB570" s="80"/>
      <c r="AC570" s="77"/>
      <c r="AD570" s="77"/>
      <c r="AE570" s="77"/>
      <c r="AF570" s="77"/>
      <c r="AG570" s="77"/>
      <c r="AH570" s="77"/>
      <c r="AI570" s="92"/>
      <c r="AJ570" s="77"/>
      <c r="AK570" s="77"/>
      <c r="AL570" s="77"/>
      <c r="AM570" s="77"/>
      <c r="AN570" s="77"/>
      <c r="AO570" s="77"/>
      <c r="AP570" s="76"/>
      <c r="AQ570" s="81"/>
      <c r="AR570" s="76"/>
      <c r="AS570" s="81"/>
      <c r="AT570" s="76"/>
      <c r="AU570" s="81"/>
      <c r="AV570" s="77"/>
      <c r="AW570" s="81"/>
      <c r="AX570" s="77"/>
      <c r="AY570" s="81"/>
      <c r="AZ570" s="77"/>
      <c r="BA570" s="81"/>
      <c r="BB570" s="77"/>
      <c r="BC570" s="81"/>
      <c r="BD570" s="77"/>
      <c r="BE570" s="81"/>
      <c r="BF570" s="77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77"/>
      <c r="BU570" s="77"/>
      <c r="BV570" s="77"/>
      <c r="BW570" s="77"/>
      <c r="BX570" s="77"/>
      <c r="BY570" s="77"/>
      <c r="BZ570" s="77"/>
      <c r="CA570" s="77"/>
      <c r="CB570" s="77"/>
      <c r="CC570" s="77"/>
      <c r="CD570" s="77"/>
      <c r="CE570" s="77"/>
      <c r="CF570" s="77"/>
      <c r="CG570" s="77"/>
      <c r="CH570" s="77"/>
      <c r="CI570" s="77"/>
      <c r="CJ570" s="77"/>
      <c r="CK570" s="77"/>
      <c r="CL570" s="77"/>
      <c r="CM570" s="77"/>
      <c r="CN570" s="77"/>
      <c r="CO570" s="77"/>
      <c r="CP570" s="77"/>
      <c r="CQ570" s="77"/>
      <c r="CR570" s="77"/>
      <c r="CS570" s="77"/>
      <c r="CT570" s="77"/>
      <c r="CU570" s="77"/>
      <c r="CV570" s="77"/>
      <c r="CW570" s="77"/>
    </row>
    <row r="571" spans="1:101" ht="16.5" x14ac:dyDescent="0.45">
      <c r="A571" s="76"/>
      <c r="B571" s="77"/>
      <c r="C571" s="77"/>
      <c r="D571" s="78"/>
      <c r="E571" s="80"/>
      <c r="F571" s="80"/>
      <c r="G571" s="81"/>
      <c r="H571" s="81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82"/>
      <c r="Z571" s="82"/>
      <c r="AA571" s="82"/>
      <c r="AB571" s="80"/>
      <c r="AC571" s="77"/>
      <c r="AD571" s="77"/>
      <c r="AE571" s="77"/>
      <c r="AF571" s="77"/>
      <c r="AG571" s="77"/>
      <c r="AH571" s="77"/>
      <c r="AI571" s="92"/>
      <c r="AJ571" s="77"/>
      <c r="AK571" s="77"/>
      <c r="AL571" s="77"/>
      <c r="AM571" s="77"/>
      <c r="AN571" s="77"/>
      <c r="AO571" s="77"/>
      <c r="AP571" s="76"/>
      <c r="AQ571" s="81"/>
      <c r="AR571" s="76"/>
      <c r="AS571" s="81"/>
      <c r="AT571" s="76"/>
      <c r="AU571" s="81"/>
      <c r="AV571" s="77"/>
      <c r="AW571" s="81"/>
      <c r="AX571" s="77"/>
      <c r="AY571" s="81"/>
      <c r="AZ571" s="77"/>
      <c r="BA571" s="81"/>
      <c r="BB571" s="77"/>
      <c r="BC571" s="81"/>
      <c r="BD571" s="77"/>
      <c r="BE571" s="81"/>
      <c r="BF571" s="77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77"/>
      <c r="BU571" s="77"/>
      <c r="BV571" s="77"/>
      <c r="BW571" s="77"/>
      <c r="BX571" s="77"/>
      <c r="BY571" s="77"/>
      <c r="BZ571" s="77"/>
      <c r="CA571" s="77"/>
      <c r="CB571" s="77"/>
      <c r="CC571" s="77"/>
      <c r="CD571" s="77"/>
      <c r="CE571" s="77"/>
      <c r="CF571" s="77"/>
      <c r="CG571" s="77"/>
      <c r="CH571" s="77"/>
      <c r="CI571" s="77"/>
      <c r="CJ571" s="77"/>
      <c r="CK571" s="77"/>
      <c r="CL571" s="77"/>
      <c r="CM571" s="77"/>
      <c r="CN571" s="77"/>
      <c r="CO571" s="77"/>
      <c r="CP571" s="77"/>
      <c r="CQ571" s="77"/>
      <c r="CR571" s="77"/>
      <c r="CS571" s="77"/>
      <c r="CT571" s="77"/>
      <c r="CU571" s="77"/>
      <c r="CV571" s="77"/>
      <c r="CW571" s="77"/>
    </row>
    <row r="572" spans="1:101" ht="16.5" x14ac:dyDescent="0.45">
      <c r="A572" s="76"/>
      <c r="B572" s="77"/>
      <c r="C572" s="77"/>
      <c r="D572" s="78"/>
      <c r="E572" s="80"/>
      <c r="F572" s="80"/>
      <c r="G572" s="81"/>
      <c r="H572" s="81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82"/>
      <c r="Z572" s="82"/>
      <c r="AA572" s="82"/>
      <c r="AB572" s="80"/>
      <c r="AC572" s="77"/>
      <c r="AD572" s="77"/>
      <c r="AE572" s="77"/>
      <c r="AF572" s="77"/>
      <c r="AG572" s="77"/>
      <c r="AH572" s="77"/>
      <c r="AI572" s="92"/>
      <c r="AJ572" s="77"/>
      <c r="AK572" s="77"/>
      <c r="AL572" s="77"/>
      <c r="AM572" s="77"/>
      <c r="AN572" s="77"/>
      <c r="AO572" s="77"/>
      <c r="AP572" s="76"/>
      <c r="AQ572" s="81"/>
      <c r="AR572" s="76"/>
      <c r="AS572" s="81"/>
      <c r="AT572" s="76"/>
      <c r="AU572" s="81"/>
      <c r="AV572" s="77"/>
      <c r="AW572" s="81"/>
      <c r="AX572" s="77"/>
      <c r="AY572" s="81"/>
      <c r="AZ572" s="77"/>
      <c r="BA572" s="81"/>
      <c r="BB572" s="77"/>
      <c r="BC572" s="81"/>
      <c r="BD572" s="77"/>
      <c r="BE572" s="81"/>
      <c r="BF572" s="77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77"/>
      <c r="BU572" s="77"/>
      <c r="BV572" s="77"/>
      <c r="BW572" s="77"/>
      <c r="BX572" s="77"/>
      <c r="BY572" s="77"/>
      <c r="BZ572" s="77"/>
      <c r="CA572" s="77"/>
      <c r="CB572" s="77"/>
      <c r="CC572" s="77"/>
      <c r="CD572" s="77"/>
      <c r="CE572" s="77"/>
      <c r="CF572" s="77"/>
      <c r="CG572" s="77"/>
      <c r="CH572" s="77"/>
      <c r="CI572" s="77"/>
      <c r="CJ572" s="77"/>
      <c r="CK572" s="77"/>
      <c r="CL572" s="77"/>
      <c r="CM572" s="77"/>
      <c r="CN572" s="77"/>
      <c r="CO572" s="77"/>
      <c r="CP572" s="77"/>
      <c r="CQ572" s="77"/>
      <c r="CR572" s="77"/>
      <c r="CS572" s="77"/>
      <c r="CT572" s="77"/>
      <c r="CU572" s="77"/>
      <c r="CV572" s="77"/>
      <c r="CW572" s="77"/>
    </row>
    <row r="573" spans="1:101" ht="16.5" x14ac:dyDescent="0.45">
      <c r="A573" s="76"/>
      <c r="B573" s="77"/>
      <c r="C573" s="77"/>
      <c r="D573" s="78"/>
      <c r="E573" s="80"/>
      <c r="F573" s="80"/>
      <c r="G573" s="81"/>
      <c r="H573" s="81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82"/>
      <c r="Z573" s="82"/>
      <c r="AA573" s="82"/>
      <c r="AB573" s="80"/>
      <c r="AC573" s="77"/>
      <c r="AD573" s="77"/>
      <c r="AE573" s="77"/>
      <c r="AF573" s="77"/>
      <c r="AG573" s="77"/>
      <c r="AH573" s="77"/>
      <c r="AI573" s="92"/>
      <c r="AJ573" s="77"/>
      <c r="AK573" s="77"/>
      <c r="AL573" s="77"/>
      <c r="AM573" s="77"/>
      <c r="AN573" s="77"/>
      <c r="AO573" s="77"/>
      <c r="AP573" s="76"/>
      <c r="AQ573" s="81"/>
      <c r="AR573" s="76"/>
      <c r="AS573" s="81"/>
      <c r="AT573" s="76"/>
      <c r="AU573" s="81"/>
      <c r="AV573" s="77"/>
      <c r="AW573" s="81"/>
      <c r="AX573" s="77"/>
      <c r="AY573" s="81"/>
      <c r="AZ573" s="77"/>
      <c r="BA573" s="81"/>
      <c r="BB573" s="77"/>
      <c r="BC573" s="81"/>
      <c r="BD573" s="77"/>
      <c r="BE573" s="81"/>
      <c r="BF573" s="77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77"/>
      <c r="BU573" s="77"/>
      <c r="BV573" s="77"/>
      <c r="BW573" s="77"/>
      <c r="BX573" s="77"/>
      <c r="BY573" s="77"/>
      <c r="BZ573" s="77"/>
      <c r="CA573" s="77"/>
      <c r="CB573" s="77"/>
      <c r="CC573" s="77"/>
      <c r="CD573" s="77"/>
      <c r="CE573" s="77"/>
      <c r="CF573" s="77"/>
      <c r="CG573" s="77"/>
      <c r="CH573" s="77"/>
      <c r="CI573" s="77"/>
      <c r="CJ573" s="77"/>
      <c r="CK573" s="77"/>
      <c r="CL573" s="77"/>
      <c r="CM573" s="77"/>
      <c r="CN573" s="77"/>
      <c r="CO573" s="77"/>
      <c r="CP573" s="77"/>
      <c r="CQ573" s="77"/>
      <c r="CR573" s="77"/>
      <c r="CS573" s="77"/>
      <c r="CT573" s="77"/>
      <c r="CU573" s="77"/>
      <c r="CV573" s="77"/>
      <c r="CW573" s="77"/>
    </row>
    <row r="574" spans="1:101" ht="16.5" x14ac:dyDescent="0.45">
      <c r="A574" s="76"/>
      <c r="B574" s="77"/>
      <c r="C574" s="77"/>
      <c r="D574" s="78"/>
      <c r="E574" s="80"/>
      <c r="F574" s="80"/>
      <c r="G574" s="81"/>
      <c r="H574" s="81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82"/>
      <c r="Z574" s="82"/>
      <c r="AA574" s="82"/>
      <c r="AB574" s="80"/>
      <c r="AC574" s="77"/>
      <c r="AD574" s="77"/>
      <c r="AE574" s="77"/>
      <c r="AF574" s="77"/>
      <c r="AG574" s="77"/>
      <c r="AH574" s="77"/>
      <c r="AI574" s="92"/>
      <c r="AJ574" s="77"/>
      <c r="AK574" s="77"/>
      <c r="AL574" s="77"/>
      <c r="AM574" s="77"/>
      <c r="AN574" s="77"/>
      <c r="AO574" s="77"/>
      <c r="AP574" s="76"/>
      <c r="AQ574" s="81"/>
      <c r="AR574" s="76"/>
      <c r="AS574" s="81"/>
      <c r="AT574" s="76"/>
      <c r="AU574" s="81"/>
      <c r="AV574" s="77"/>
      <c r="AW574" s="81"/>
      <c r="AX574" s="77"/>
      <c r="AY574" s="81"/>
      <c r="AZ574" s="77"/>
      <c r="BA574" s="81"/>
      <c r="BB574" s="77"/>
      <c r="BC574" s="81"/>
      <c r="BD574" s="77"/>
      <c r="BE574" s="81"/>
      <c r="BF574" s="77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77"/>
      <c r="CH574" s="77"/>
      <c r="CI574" s="77"/>
      <c r="CJ574" s="77"/>
      <c r="CK574" s="77"/>
      <c r="CL574" s="77"/>
      <c r="CM574" s="77"/>
      <c r="CN574" s="77"/>
      <c r="CO574" s="77"/>
      <c r="CP574" s="77"/>
      <c r="CQ574" s="77"/>
      <c r="CR574" s="77"/>
      <c r="CS574" s="77"/>
      <c r="CT574" s="77"/>
      <c r="CU574" s="77"/>
      <c r="CV574" s="77"/>
      <c r="CW574" s="77"/>
    </row>
    <row r="575" spans="1:101" ht="16.5" x14ac:dyDescent="0.45">
      <c r="A575" s="76"/>
      <c r="B575" s="77"/>
      <c r="C575" s="77"/>
      <c r="D575" s="78"/>
      <c r="E575" s="80"/>
      <c r="F575" s="80"/>
      <c r="G575" s="81"/>
      <c r="H575" s="81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82"/>
      <c r="Z575" s="82"/>
      <c r="AA575" s="82"/>
      <c r="AB575" s="80"/>
      <c r="AC575" s="77"/>
      <c r="AD575" s="77"/>
      <c r="AE575" s="77"/>
      <c r="AF575" s="77"/>
      <c r="AG575" s="77"/>
      <c r="AH575" s="77"/>
      <c r="AI575" s="92"/>
      <c r="AJ575" s="77"/>
      <c r="AK575" s="77"/>
      <c r="AL575" s="77"/>
      <c r="AM575" s="77"/>
      <c r="AN575" s="77"/>
      <c r="AO575" s="77"/>
      <c r="AP575" s="76"/>
      <c r="AQ575" s="81"/>
      <c r="AR575" s="76"/>
      <c r="AS575" s="81"/>
      <c r="AT575" s="76"/>
      <c r="AU575" s="81"/>
      <c r="AV575" s="77"/>
      <c r="AW575" s="81"/>
      <c r="AX575" s="77"/>
      <c r="AY575" s="81"/>
      <c r="AZ575" s="77"/>
      <c r="BA575" s="81"/>
      <c r="BB575" s="77"/>
      <c r="BC575" s="81"/>
      <c r="BD575" s="77"/>
      <c r="BE575" s="81"/>
      <c r="BF575" s="77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77"/>
      <c r="CH575" s="77"/>
      <c r="CI575" s="77"/>
      <c r="CJ575" s="77"/>
      <c r="CK575" s="77"/>
      <c r="CL575" s="77"/>
      <c r="CM575" s="77"/>
      <c r="CN575" s="77"/>
      <c r="CO575" s="77"/>
      <c r="CP575" s="77"/>
      <c r="CQ575" s="77"/>
      <c r="CR575" s="77"/>
      <c r="CS575" s="77"/>
      <c r="CT575" s="77"/>
      <c r="CU575" s="77"/>
      <c r="CV575" s="77"/>
      <c r="CW575" s="77"/>
    </row>
    <row r="576" spans="1:101" ht="16.5" x14ac:dyDescent="0.45">
      <c r="A576" s="76"/>
      <c r="B576" s="77"/>
      <c r="C576" s="77"/>
      <c r="D576" s="78"/>
      <c r="E576" s="80"/>
      <c r="F576" s="80"/>
      <c r="G576" s="81"/>
      <c r="H576" s="81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82"/>
      <c r="Z576" s="82"/>
      <c r="AA576" s="82"/>
      <c r="AB576" s="80"/>
      <c r="AC576" s="77"/>
      <c r="AD576" s="77"/>
      <c r="AE576" s="77"/>
      <c r="AF576" s="77"/>
      <c r="AG576" s="77"/>
      <c r="AH576" s="77"/>
      <c r="AI576" s="92"/>
      <c r="AJ576" s="77"/>
      <c r="AK576" s="77"/>
      <c r="AL576" s="77"/>
      <c r="AM576" s="77"/>
      <c r="AN576" s="77"/>
      <c r="AO576" s="77"/>
      <c r="AP576" s="76"/>
      <c r="AQ576" s="81"/>
      <c r="AR576" s="76"/>
      <c r="AS576" s="81"/>
      <c r="AT576" s="76"/>
      <c r="AU576" s="81"/>
      <c r="AV576" s="77"/>
      <c r="AW576" s="81"/>
      <c r="AX576" s="77"/>
      <c r="AY576" s="81"/>
      <c r="AZ576" s="77"/>
      <c r="BA576" s="81"/>
      <c r="BB576" s="77"/>
      <c r="BC576" s="81"/>
      <c r="BD576" s="77"/>
      <c r="BE576" s="81"/>
      <c r="BF576" s="77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77"/>
      <c r="CH576" s="77"/>
      <c r="CI576" s="77"/>
      <c r="CJ576" s="77"/>
      <c r="CK576" s="77"/>
      <c r="CL576" s="77"/>
      <c r="CM576" s="77"/>
      <c r="CN576" s="77"/>
      <c r="CO576" s="77"/>
      <c r="CP576" s="77"/>
      <c r="CQ576" s="77"/>
      <c r="CR576" s="77"/>
      <c r="CS576" s="77"/>
      <c r="CT576" s="77"/>
      <c r="CU576" s="77"/>
      <c r="CV576" s="77"/>
      <c r="CW576" s="77"/>
    </row>
    <row r="577" spans="1:101" ht="16.5" x14ac:dyDescent="0.45">
      <c r="A577" s="76"/>
      <c r="B577" s="77"/>
      <c r="C577" s="77"/>
      <c r="D577" s="78"/>
      <c r="E577" s="80"/>
      <c r="F577" s="80"/>
      <c r="G577" s="81"/>
      <c r="H577" s="81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82"/>
      <c r="Z577" s="82"/>
      <c r="AA577" s="82"/>
      <c r="AB577" s="80"/>
      <c r="AC577" s="77"/>
      <c r="AD577" s="77"/>
      <c r="AE577" s="77"/>
      <c r="AF577" s="77"/>
      <c r="AG577" s="77"/>
      <c r="AH577" s="77"/>
      <c r="AI577" s="92"/>
      <c r="AJ577" s="77"/>
      <c r="AK577" s="77"/>
      <c r="AL577" s="77"/>
      <c r="AM577" s="77"/>
      <c r="AN577" s="77"/>
      <c r="AO577" s="77"/>
      <c r="AP577" s="76"/>
      <c r="AQ577" s="81"/>
      <c r="AR577" s="76"/>
      <c r="AS577" s="81"/>
      <c r="AT577" s="76"/>
      <c r="AU577" s="81"/>
      <c r="AV577" s="77"/>
      <c r="AW577" s="81"/>
      <c r="AX577" s="77"/>
      <c r="AY577" s="81"/>
      <c r="AZ577" s="77"/>
      <c r="BA577" s="81"/>
      <c r="BB577" s="77"/>
      <c r="BC577" s="81"/>
      <c r="BD577" s="77"/>
      <c r="BE577" s="81"/>
      <c r="BF577" s="77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77"/>
      <c r="BU577" s="77"/>
      <c r="BV577" s="77"/>
      <c r="BW577" s="77"/>
      <c r="BX577" s="77"/>
      <c r="BY577" s="77"/>
      <c r="BZ577" s="77"/>
      <c r="CA577" s="77"/>
      <c r="CB577" s="77"/>
      <c r="CC577" s="77"/>
      <c r="CD577" s="77"/>
      <c r="CE577" s="77"/>
      <c r="CF577" s="77"/>
      <c r="CG577" s="77"/>
      <c r="CH577" s="77"/>
      <c r="CI577" s="77"/>
      <c r="CJ577" s="77"/>
      <c r="CK577" s="77"/>
      <c r="CL577" s="77"/>
      <c r="CM577" s="77"/>
      <c r="CN577" s="77"/>
      <c r="CO577" s="77"/>
      <c r="CP577" s="77"/>
      <c r="CQ577" s="77"/>
      <c r="CR577" s="77"/>
      <c r="CS577" s="77"/>
      <c r="CT577" s="77"/>
      <c r="CU577" s="77"/>
      <c r="CV577" s="77"/>
      <c r="CW577" s="77"/>
    </row>
    <row r="578" spans="1:101" ht="16.5" x14ac:dyDescent="0.45">
      <c r="A578" s="76"/>
      <c r="B578" s="77"/>
      <c r="C578" s="77"/>
      <c r="D578" s="78"/>
      <c r="E578" s="80"/>
      <c r="F578" s="80"/>
      <c r="G578" s="81"/>
      <c r="H578" s="81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82"/>
      <c r="Z578" s="82"/>
      <c r="AA578" s="82"/>
      <c r="AB578" s="80"/>
      <c r="AC578" s="77"/>
      <c r="AD578" s="77"/>
      <c r="AE578" s="77"/>
      <c r="AF578" s="77"/>
      <c r="AG578" s="77"/>
      <c r="AH578" s="77"/>
      <c r="AI578" s="92"/>
      <c r="AJ578" s="77"/>
      <c r="AK578" s="77"/>
      <c r="AL578" s="77"/>
      <c r="AM578" s="77"/>
      <c r="AN578" s="77"/>
      <c r="AO578" s="77"/>
      <c r="AP578" s="76"/>
      <c r="AQ578" s="81"/>
      <c r="AR578" s="76"/>
      <c r="AS578" s="81"/>
      <c r="AT578" s="76"/>
      <c r="AU578" s="81"/>
      <c r="AV578" s="77"/>
      <c r="AW578" s="81"/>
      <c r="AX578" s="77"/>
      <c r="AY578" s="81"/>
      <c r="AZ578" s="77"/>
      <c r="BA578" s="81"/>
      <c r="BB578" s="77"/>
      <c r="BC578" s="81"/>
      <c r="BD578" s="77"/>
      <c r="BE578" s="81"/>
      <c r="BF578" s="77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77"/>
      <c r="BU578" s="77"/>
      <c r="BV578" s="77"/>
      <c r="BW578" s="77"/>
      <c r="BX578" s="77"/>
      <c r="BY578" s="77"/>
      <c r="BZ578" s="77"/>
      <c r="CA578" s="77"/>
      <c r="CB578" s="77"/>
      <c r="CC578" s="77"/>
      <c r="CD578" s="77"/>
      <c r="CE578" s="77"/>
      <c r="CF578" s="77"/>
      <c r="CG578" s="77"/>
      <c r="CH578" s="77"/>
      <c r="CI578" s="77"/>
      <c r="CJ578" s="77"/>
      <c r="CK578" s="77"/>
      <c r="CL578" s="77"/>
      <c r="CM578" s="77"/>
      <c r="CN578" s="77"/>
      <c r="CO578" s="77"/>
      <c r="CP578" s="77"/>
      <c r="CQ578" s="77"/>
      <c r="CR578" s="77"/>
      <c r="CS578" s="77"/>
      <c r="CT578" s="77"/>
      <c r="CU578" s="77"/>
      <c r="CV578" s="77"/>
      <c r="CW578" s="77"/>
    </row>
    <row r="579" spans="1:101" ht="16.5" x14ac:dyDescent="0.45">
      <c r="A579" s="76"/>
      <c r="B579" s="77"/>
      <c r="C579" s="77"/>
      <c r="D579" s="78"/>
      <c r="E579" s="80"/>
      <c r="F579" s="80"/>
      <c r="G579" s="81"/>
      <c r="H579" s="81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82"/>
      <c r="Z579" s="82"/>
      <c r="AA579" s="82"/>
      <c r="AB579" s="80"/>
      <c r="AC579" s="77"/>
      <c r="AD579" s="77"/>
      <c r="AE579" s="77"/>
      <c r="AF579" s="77"/>
      <c r="AG579" s="77"/>
      <c r="AH579" s="77"/>
      <c r="AI579" s="92"/>
      <c r="AJ579" s="77"/>
      <c r="AK579" s="77"/>
      <c r="AL579" s="77"/>
      <c r="AM579" s="77"/>
      <c r="AN579" s="77"/>
      <c r="AO579" s="77"/>
      <c r="AP579" s="76"/>
      <c r="AQ579" s="81"/>
      <c r="AR579" s="76"/>
      <c r="AS579" s="81"/>
      <c r="AT579" s="76"/>
      <c r="AU579" s="81"/>
      <c r="AV579" s="77"/>
      <c r="AW579" s="81"/>
      <c r="AX579" s="77"/>
      <c r="AY579" s="81"/>
      <c r="AZ579" s="77"/>
      <c r="BA579" s="81"/>
      <c r="BB579" s="77"/>
      <c r="BC579" s="81"/>
      <c r="BD579" s="77"/>
      <c r="BE579" s="81"/>
      <c r="BF579" s="77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77"/>
      <c r="CH579" s="77"/>
      <c r="CI579" s="77"/>
      <c r="CJ579" s="77"/>
      <c r="CK579" s="77"/>
      <c r="CL579" s="77"/>
      <c r="CM579" s="77"/>
      <c r="CN579" s="77"/>
      <c r="CO579" s="77"/>
      <c r="CP579" s="77"/>
      <c r="CQ579" s="77"/>
      <c r="CR579" s="77"/>
      <c r="CS579" s="77"/>
      <c r="CT579" s="77"/>
      <c r="CU579" s="77"/>
      <c r="CV579" s="77"/>
      <c r="CW579" s="77"/>
    </row>
    <row r="580" spans="1:101" ht="16.5" x14ac:dyDescent="0.45">
      <c r="A580" s="76"/>
      <c r="B580" s="77"/>
      <c r="C580" s="77"/>
      <c r="D580" s="78"/>
      <c r="E580" s="80"/>
      <c r="F580" s="80"/>
      <c r="G580" s="81"/>
      <c r="H580" s="81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82"/>
      <c r="Z580" s="82"/>
      <c r="AA580" s="82"/>
      <c r="AB580" s="80"/>
      <c r="AC580" s="77"/>
      <c r="AD580" s="77"/>
      <c r="AE580" s="77"/>
      <c r="AF580" s="77"/>
      <c r="AG580" s="77"/>
      <c r="AH580" s="77"/>
      <c r="AI580" s="92"/>
      <c r="AJ580" s="77"/>
      <c r="AK580" s="77"/>
      <c r="AL580" s="77"/>
      <c r="AM580" s="77"/>
      <c r="AN580" s="77"/>
      <c r="AO580" s="77"/>
      <c r="AP580" s="76"/>
      <c r="AQ580" s="81"/>
      <c r="AR580" s="76"/>
      <c r="AS580" s="81"/>
      <c r="AT580" s="76"/>
      <c r="AU580" s="81"/>
      <c r="AV580" s="77"/>
      <c r="AW580" s="81"/>
      <c r="AX580" s="77"/>
      <c r="AY580" s="81"/>
      <c r="AZ580" s="77"/>
      <c r="BA580" s="81"/>
      <c r="BB580" s="77"/>
      <c r="BC580" s="81"/>
      <c r="BD580" s="77"/>
      <c r="BE580" s="81"/>
      <c r="BF580" s="77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77"/>
      <c r="CH580" s="77"/>
      <c r="CI580" s="77"/>
      <c r="CJ580" s="77"/>
      <c r="CK580" s="77"/>
      <c r="CL580" s="77"/>
      <c r="CM580" s="77"/>
      <c r="CN580" s="77"/>
      <c r="CO580" s="77"/>
      <c r="CP580" s="77"/>
      <c r="CQ580" s="77"/>
      <c r="CR580" s="77"/>
      <c r="CS580" s="77"/>
      <c r="CT580" s="77"/>
      <c r="CU580" s="77"/>
      <c r="CV580" s="77"/>
      <c r="CW580" s="77"/>
    </row>
    <row r="581" spans="1:101" ht="16.5" x14ac:dyDescent="0.45">
      <c r="A581" s="76"/>
      <c r="B581" s="77"/>
      <c r="C581" s="77"/>
      <c r="D581" s="78"/>
      <c r="E581" s="80"/>
      <c r="F581" s="80"/>
      <c r="G581" s="81"/>
      <c r="H581" s="81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82"/>
      <c r="Z581" s="82"/>
      <c r="AA581" s="82"/>
      <c r="AB581" s="80"/>
      <c r="AC581" s="77"/>
      <c r="AD581" s="77"/>
      <c r="AE581" s="77"/>
      <c r="AF581" s="77"/>
      <c r="AG581" s="77"/>
      <c r="AH581" s="77"/>
      <c r="AI581" s="92"/>
      <c r="AJ581" s="77"/>
      <c r="AK581" s="77"/>
      <c r="AL581" s="77"/>
      <c r="AM581" s="77"/>
      <c r="AN581" s="77"/>
      <c r="AO581" s="77"/>
      <c r="AP581" s="76"/>
      <c r="AQ581" s="81"/>
      <c r="AR581" s="76"/>
      <c r="AS581" s="81"/>
      <c r="AT581" s="76"/>
      <c r="AU581" s="81"/>
      <c r="AV581" s="77"/>
      <c r="AW581" s="81"/>
      <c r="AX581" s="77"/>
      <c r="AY581" s="81"/>
      <c r="AZ581" s="77"/>
      <c r="BA581" s="81"/>
      <c r="BB581" s="77"/>
      <c r="BC581" s="81"/>
      <c r="BD581" s="77"/>
      <c r="BE581" s="81"/>
      <c r="BF581" s="77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77"/>
      <c r="CH581" s="77"/>
      <c r="CI581" s="77"/>
      <c r="CJ581" s="77"/>
      <c r="CK581" s="77"/>
      <c r="CL581" s="77"/>
      <c r="CM581" s="77"/>
      <c r="CN581" s="77"/>
      <c r="CO581" s="77"/>
      <c r="CP581" s="77"/>
      <c r="CQ581" s="77"/>
      <c r="CR581" s="77"/>
      <c r="CS581" s="77"/>
      <c r="CT581" s="77"/>
      <c r="CU581" s="77"/>
      <c r="CV581" s="77"/>
      <c r="CW581" s="77"/>
    </row>
    <row r="582" spans="1:101" ht="16.5" x14ac:dyDescent="0.45">
      <c r="A582" s="76"/>
      <c r="B582" s="77"/>
      <c r="C582" s="77"/>
      <c r="D582" s="78"/>
      <c r="E582" s="80"/>
      <c r="F582" s="80"/>
      <c r="G582" s="81"/>
      <c r="H582" s="81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82"/>
      <c r="Z582" s="82"/>
      <c r="AA582" s="82"/>
      <c r="AB582" s="80"/>
      <c r="AC582" s="77"/>
      <c r="AD582" s="77"/>
      <c r="AE582" s="77"/>
      <c r="AF582" s="77"/>
      <c r="AG582" s="77"/>
      <c r="AH582" s="77"/>
      <c r="AI582" s="92"/>
      <c r="AJ582" s="77"/>
      <c r="AK582" s="77"/>
      <c r="AL582" s="77"/>
      <c r="AM582" s="77"/>
      <c r="AN582" s="77"/>
      <c r="AO582" s="77"/>
      <c r="AP582" s="76"/>
      <c r="AQ582" s="81"/>
      <c r="AR582" s="76"/>
      <c r="AS582" s="81"/>
      <c r="AT582" s="76"/>
      <c r="AU582" s="81"/>
      <c r="AV582" s="77"/>
      <c r="AW582" s="81"/>
      <c r="AX582" s="77"/>
      <c r="AY582" s="81"/>
      <c r="AZ582" s="77"/>
      <c r="BA582" s="81"/>
      <c r="BB582" s="77"/>
      <c r="BC582" s="81"/>
      <c r="BD582" s="77"/>
      <c r="BE582" s="81"/>
      <c r="BF582" s="77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77"/>
      <c r="BU582" s="77"/>
      <c r="BV582" s="77"/>
      <c r="BW582" s="77"/>
      <c r="BX582" s="77"/>
      <c r="BY582" s="77"/>
      <c r="BZ582" s="77"/>
      <c r="CA582" s="77"/>
      <c r="CB582" s="77"/>
      <c r="CC582" s="77"/>
      <c r="CD582" s="77"/>
      <c r="CE582" s="77"/>
      <c r="CF582" s="77"/>
      <c r="CG582" s="77"/>
      <c r="CH582" s="77"/>
      <c r="CI582" s="77"/>
      <c r="CJ582" s="77"/>
      <c r="CK582" s="77"/>
      <c r="CL582" s="77"/>
      <c r="CM582" s="77"/>
      <c r="CN582" s="77"/>
      <c r="CO582" s="77"/>
      <c r="CP582" s="77"/>
      <c r="CQ582" s="77"/>
      <c r="CR582" s="77"/>
      <c r="CS582" s="77"/>
      <c r="CT582" s="77"/>
      <c r="CU582" s="77"/>
      <c r="CV582" s="77"/>
      <c r="CW582" s="77"/>
    </row>
    <row r="583" spans="1:101" ht="16.5" x14ac:dyDescent="0.45">
      <c r="A583" s="76"/>
      <c r="B583" s="77"/>
      <c r="C583" s="77"/>
      <c r="D583" s="78"/>
      <c r="E583" s="80"/>
      <c r="F583" s="80"/>
      <c r="G583" s="81"/>
      <c r="H583" s="81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82"/>
      <c r="Z583" s="82"/>
      <c r="AA583" s="82"/>
      <c r="AB583" s="80"/>
      <c r="AC583" s="77"/>
      <c r="AD583" s="77"/>
      <c r="AE583" s="77"/>
      <c r="AF583" s="77"/>
      <c r="AG583" s="77"/>
      <c r="AH583" s="77"/>
      <c r="AI583" s="92"/>
      <c r="AJ583" s="77"/>
      <c r="AK583" s="77"/>
      <c r="AL583" s="77"/>
      <c r="AM583" s="77"/>
      <c r="AN583" s="77"/>
      <c r="AO583" s="77"/>
      <c r="AP583" s="76"/>
      <c r="AQ583" s="81"/>
      <c r="AR583" s="76"/>
      <c r="AS583" s="81"/>
      <c r="AT583" s="76"/>
      <c r="AU583" s="81"/>
      <c r="AV583" s="77"/>
      <c r="AW583" s="81"/>
      <c r="AX583" s="77"/>
      <c r="AY583" s="81"/>
      <c r="AZ583" s="77"/>
      <c r="BA583" s="81"/>
      <c r="BB583" s="77"/>
      <c r="BC583" s="81"/>
      <c r="BD583" s="77"/>
      <c r="BE583" s="81"/>
      <c r="BF583" s="77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77"/>
      <c r="BU583" s="77"/>
      <c r="BV583" s="77"/>
      <c r="BW583" s="77"/>
      <c r="BX583" s="77"/>
      <c r="BY583" s="77"/>
      <c r="BZ583" s="77"/>
      <c r="CA583" s="77"/>
      <c r="CB583" s="77"/>
      <c r="CC583" s="77"/>
      <c r="CD583" s="77"/>
      <c r="CE583" s="77"/>
      <c r="CF583" s="77"/>
      <c r="CG583" s="77"/>
      <c r="CH583" s="77"/>
      <c r="CI583" s="77"/>
      <c r="CJ583" s="77"/>
      <c r="CK583" s="77"/>
      <c r="CL583" s="77"/>
      <c r="CM583" s="77"/>
      <c r="CN583" s="77"/>
      <c r="CO583" s="77"/>
      <c r="CP583" s="77"/>
      <c r="CQ583" s="77"/>
      <c r="CR583" s="77"/>
      <c r="CS583" s="77"/>
      <c r="CT583" s="77"/>
      <c r="CU583" s="77"/>
      <c r="CV583" s="77"/>
      <c r="CW583" s="77"/>
    </row>
    <row r="584" spans="1:101" ht="16.5" x14ac:dyDescent="0.45">
      <c r="A584" s="76"/>
      <c r="B584" s="77"/>
      <c r="C584" s="77"/>
      <c r="D584" s="78"/>
      <c r="E584" s="80"/>
      <c r="F584" s="80"/>
      <c r="G584" s="81"/>
      <c r="H584" s="81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82"/>
      <c r="Z584" s="82"/>
      <c r="AA584" s="82"/>
      <c r="AB584" s="80"/>
      <c r="AC584" s="77"/>
      <c r="AD584" s="77"/>
      <c r="AE584" s="77"/>
      <c r="AF584" s="77"/>
      <c r="AG584" s="77"/>
      <c r="AH584" s="77"/>
      <c r="AI584" s="92"/>
      <c r="AJ584" s="77"/>
      <c r="AK584" s="77"/>
      <c r="AL584" s="77"/>
      <c r="AM584" s="77"/>
      <c r="AN584" s="77"/>
      <c r="AO584" s="77"/>
      <c r="AP584" s="76"/>
      <c r="AQ584" s="81"/>
      <c r="AR584" s="76"/>
      <c r="AS584" s="81"/>
      <c r="AT584" s="76"/>
      <c r="AU584" s="81"/>
      <c r="AV584" s="77"/>
      <c r="AW584" s="81"/>
      <c r="AX584" s="77"/>
      <c r="AY584" s="81"/>
      <c r="AZ584" s="77"/>
      <c r="BA584" s="81"/>
      <c r="BB584" s="77"/>
      <c r="BC584" s="81"/>
      <c r="BD584" s="77"/>
      <c r="BE584" s="81"/>
      <c r="BF584" s="77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77"/>
      <c r="CH584" s="77"/>
      <c r="CI584" s="77"/>
      <c r="CJ584" s="77"/>
      <c r="CK584" s="77"/>
      <c r="CL584" s="77"/>
      <c r="CM584" s="77"/>
      <c r="CN584" s="77"/>
      <c r="CO584" s="77"/>
      <c r="CP584" s="77"/>
      <c r="CQ584" s="77"/>
      <c r="CR584" s="77"/>
      <c r="CS584" s="77"/>
      <c r="CT584" s="77"/>
      <c r="CU584" s="77"/>
      <c r="CV584" s="77"/>
      <c r="CW584" s="77"/>
    </row>
    <row r="585" spans="1:101" ht="16.5" x14ac:dyDescent="0.45">
      <c r="A585" s="76"/>
      <c r="B585" s="77"/>
      <c r="C585" s="77"/>
      <c r="D585" s="78"/>
      <c r="E585" s="80"/>
      <c r="F585" s="80"/>
      <c r="G585" s="81"/>
      <c r="H585" s="81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82"/>
      <c r="Z585" s="82"/>
      <c r="AA585" s="82"/>
      <c r="AB585" s="80"/>
      <c r="AC585" s="77"/>
      <c r="AD585" s="77"/>
      <c r="AE585" s="77"/>
      <c r="AF585" s="77"/>
      <c r="AG585" s="77"/>
      <c r="AH585" s="77"/>
      <c r="AI585" s="92"/>
      <c r="AJ585" s="77"/>
      <c r="AK585" s="77"/>
      <c r="AL585" s="77"/>
      <c r="AM585" s="77"/>
      <c r="AN585" s="77"/>
      <c r="AO585" s="77"/>
      <c r="AP585" s="76"/>
      <c r="AQ585" s="81"/>
      <c r="AR585" s="76"/>
      <c r="AS585" s="81"/>
      <c r="AT585" s="76"/>
      <c r="AU585" s="81"/>
      <c r="AV585" s="77"/>
      <c r="AW585" s="81"/>
      <c r="AX585" s="77"/>
      <c r="AY585" s="81"/>
      <c r="AZ585" s="77"/>
      <c r="BA585" s="81"/>
      <c r="BB585" s="77"/>
      <c r="BC585" s="81"/>
      <c r="BD585" s="77"/>
      <c r="BE585" s="81"/>
      <c r="BF585" s="77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77"/>
      <c r="CH585" s="77"/>
      <c r="CI585" s="77"/>
      <c r="CJ585" s="77"/>
      <c r="CK585" s="77"/>
      <c r="CL585" s="77"/>
      <c r="CM585" s="77"/>
      <c r="CN585" s="77"/>
      <c r="CO585" s="77"/>
      <c r="CP585" s="77"/>
      <c r="CQ585" s="77"/>
      <c r="CR585" s="77"/>
      <c r="CS585" s="77"/>
      <c r="CT585" s="77"/>
      <c r="CU585" s="77"/>
      <c r="CV585" s="77"/>
      <c r="CW585" s="77"/>
    </row>
    <row r="586" spans="1:101" ht="16.5" x14ac:dyDescent="0.45">
      <c r="A586" s="76"/>
      <c r="B586" s="77"/>
      <c r="C586" s="77"/>
      <c r="D586" s="78"/>
      <c r="E586" s="80"/>
      <c r="F586" s="80"/>
      <c r="G586" s="81"/>
      <c r="H586" s="81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82"/>
      <c r="Z586" s="82"/>
      <c r="AA586" s="82"/>
      <c r="AB586" s="80"/>
      <c r="AC586" s="77"/>
      <c r="AD586" s="77"/>
      <c r="AE586" s="77"/>
      <c r="AF586" s="77"/>
      <c r="AG586" s="77"/>
      <c r="AH586" s="77"/>
      <c r="AI586" s="92"/>
      <c r="AJ586" s="77"/>
      <c r="AK586" s="77"/>
      <c r="AL586" s="77"/>
      <c r="AM586" s="77"/>
      <c r="AN586" s="77"/>
      <c r="AO586" s="77"/>
      <c r="AP586" s="76"/>
      <c r="AQ586" s="81"/>
      <c r="AR586" s="76"/>
      <c r="AS586" s="81"/>
      <c r="AT586" s="76"/>
      <c r="AU586" s="81"/>
      <c r="AV586" s="77"/>
      <c r="AW586" s="81"/>
      <c r="AX586" s="77"/>
      <c r="AY586" s="81"/>
      <c r="AZ586" s="77"/>
      <c r="BA586" s="81"/>
      <c r="BB586" s="77"/>
      <c r="BC586" s="81"/>
      <c r="BD586" s="77"/>
      <c r="BE586" s="81"/>
      <c r="BF586" s="77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77"/>
      <c r="BU586" s="77"/>
      <c r="BV586" s="77"/>
      <c r="BW586" s="77"/>
      <c r="BX586" s="77"/>
      <c r="BY586" s="77"/>
      <c r="BZ586" s="77"/>
      <c r="CA586" s="77"/>
      <c r="CB586" s="77"/>
      <c r="CC586" s="77"/>
      <c r="CD586" s="77"/>
      <c r="CE586" s="77"/>
      <c r="CF586" s="77"/>
      <c r="CG586" s="77"/>
      <c r="CH586" s="77"/>
      <c r="CI586" s="77"/>
      <c r="CJ586" s="77"/>
      <c r="CK586" s="77"/>
      <c r="CL586" s="77"/>
      <c r="CM586" s="77"/>
      <c r="CN586" s="77"/>
      <c r="CO586" s="77"/>
      <c r="CP586" s="77"/>
      <c r="CQ586" s="77"/>
      <c r="CR586" s="77"/>
      <c r="CS586" s="77"/>
      <c r="CT586" s="77"/>
      <c r="CU586" s="77"/>
      <c r="CV586" s="77"/>
      <c r="CW586" s="77"/>
    </row>
    <row r="587" spans="1:101" ht="16.5" x14ac:dyDescent="0.45">
      <c r="A587" s="76"/>
      <c r="B587" s="77"/>
      <c r="C587" s="77"/>
      <c r="D587" s="78"/>
      <c r="E587" s="80"/>
      <c r="F587" s="80"/>
      <c r="G587" s="81"/>
      <c r="H587" s="81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82"/>
      <c r="Z587" s="82"/>
      <c r="AA587" s="82"/>
      <c r="AB587" s="80"/>
      <c r="AC587" s="77"/>
      <c r="AD587" s="77"/>
      <c r="AE587" s="77"/>
      <c r="AF587" s="77"/>
      <c r="AG587" s="77"/>
      <c r="AH587" s="77"/>
      <c r="AI587" s="92"/>
      <c r="AJ587" s="77"/>
      <c r="AK587" s="77"/>
      <c r="AL587" s="77"/>
      <c r="AM587" s="77"/>
      <c r="AN587" s="77"/>
      <c r="AO587" s="77"/>
      <c r="AP587" s="76"/>
      <c r="AQ587" s="81"/>
      <c r="AR587" s="76"/>
      <c r="AS587" s="81"/>
      <c r="AT587" s="76"/>
      <c r="AU587" s="81"/>
      <c r="AV587" s="77"/>
      <c r="AW587" s="81"/>
      <c r="AX587" s="77"/>
      <c r="AY587" s="81"/>
      <c r="AZ587" s="77"/>
      <c r="BA587" s="81"/>
      <c r="BB587" s="77"/>
      <c r="BC587" s="81"/>
      <c r="BD587" s="77"/>
      <c r="BE587" s="81"/>
      <c r="BF587" s="77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77"/>
      <c r="BU587" s="77"/>
      <c r="BV587" s="77"/>
      <c r="BW587" s="77"/>
      <c r="BX587" s="77"/>
      <c r="BY587" s="77"/>
      <c r="BZ587" s="77"/>
      <c r="CA587" s="77"/>
      <c r="CB587" s="77"/>
      <c r="CC587" s="77"/>
      <c r="CD587" s="77"/>
      <c r="CE587" s="77"/>
      <c r="CF587" s="77"/>
      <c r="CG587" s="77"/>
      <c r="CH587" s="77"/>
      <c r="CI587" s="77"/>
      <c r="CJ587" s="77"/>
      <c r="CK587" s="77"/>
      <c r="CL587" s="77"/>
      <c r="CM587" s="77"/>
      <c r="CN587" s="77"/>
      <c r="CO587" s="77"/>
      <c r="CP587" s="77"/>
      <c r="CQ587" s="77"/>
      <c r="CR587" s="77"/>
      <c r="CS587" s="77"/>
      <c r="CT587" s="77"/>
      <c r="CU587" s="77"/>
      <c r="CV587" s="77"/>
      <c r="CW587" s="77"/>
    </row>
    <row r="588" spans="1:101" ht="16.5" x14ac:dyDescent="0.45">
      <c r="A588" s="76"/>
      <c r="B588" s="77"/>
      <c r="C588" s="77"/>
      <c r="D588" s="78"/>
      <c r="E588" s="80"/>
      <c r="F588" s="80"/>
      <c r="G588" s="81"/>
      <c r="H588" s="81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82"/>
      <c r="Z588" s="82"/>
      <c r="AA588" s="82"/>
      <c r="AB588" s="80"/>
      <c r="AC588" s="77"/>
      <c r="AD588" s="77"/>
      <c r="AE588" s="77"/>
      <c r="AF588" s="77"/>
      <c r="AG588" s="77"/>
      <c r="AH588" s="77"/>
      <c r="AI588" s="92"/>
      <c r="AJ588" s="77"/>
      <c r="AK588" s="77"/>
      <c r="AL588" s="77"/>
      <c r="AM588" s="77"/>
      <c r="AN588" s="77"/>
      <c r="AO588" s="77"/>
      <c r="AP588" s="76"/>
      <c r="AQ588" s="81"/>
      <c r="AR588" s="76"/>
      <c r="AS588" s="81"/>
      <c r="AT588" s="76"/>
      <c r="AU588" s="81"/>
      <c r="AV588" s="77"/>
      <c r="AW588" s="81"/>
      <c r="AX588" s="77"/>
      <c r="AY588" s="81"/>
      <c r="AZ588" s="77"/>
      <c r="BA588" s="81"/>
      <c r="BB588" s="77"/>
      <c r="BC588" s="81"/>
      <c r="BD588" s="77"/>
      <c r="BE588" s="81"/>
      <c r="BF588" s="77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77"/>
      <c r="BU588" s="77"/>
      <c r="BV588" s="77"/>
      <c r="BW588" s="77"/>
      <c r="BX588" s="77"/>
      <c r="BY588" s="77"/>
      <c r="BZ588" s="77"/>
      <c r="CA588" s="77"/>
      <c r="CB588" s="77"/>
      <c r="CC588" s="77"/>
      <c r="CD588" s="77"/>
      <c r="CE588" s="77"/>
      <c r="CF588" s="77"/>
      <c r="CG588" s="77"/>
      <c r="CH588" s="77"/>
      <c r="CI588" s="77"/>
      <c r="CJ588" s="77"/>
      <c r="CK588" s="77"/>
      <c r="CL588" s="77"/>
      <c r="CM588" s="77"/>
      <c r="CN588" s="77"/>
      <c r="CO588" s="77"/>
      <c r="CP588" s="77"/>
      <c r="CQ588" s="77"/>
      <c r="CR588" s="77"/>
      <c r="CS588" s="77"/>
      <c r="CT588" s="77"/>
      <c r="CU588" s="77"/>
      <c r="CV588" s="77"/>
      <c r="CW588" s="77"/>
    </row>
    <row r="589" spans="1:101" ht="16.5" x14ac:dyDescent="0.45">
      <c r="A589" s="76"/>
      <c r="B589" s="77"/>
      <c r="C589" s="77"/>
      <c r="D589" s="78"/>
      <c r="E589" s="80"/>
      <c r="F589" s="80"/>
      <c r="G589" s="81"/>
      <c r="H589" s="81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82"/>
      <c r="Z589" s="82"/>
      <c r="AA589" s="82"/>
      <c r="AB589" s="80"/>
      <c r="AC589" s="77"/>
      <c r="AD589" s="77"/>
      <c r="AE589" s="77"/>
      <c r="AF589" s="77"/>
      <c r="AG589" s="77"/>
      <c r="AH589" s="77"/>
      <c r="AI589" s="92"/>
      <c r="AJ589" s="77"/>
      <c r="AK589" s="77"/>
      <c r="AL589" s="77"/>
      <c r="AM589" s="77"/>
      <c r="AN589" s="77"/>
      <c r="AO589" s="77"/>
      <c r="AP589" s="76"/>
      <c r="AQ589" s="81"/>
      <c r="AR589" s="76"/>
      <c r="AS589" s="81"/>
      <c r="AT589" s="76"/>
      <c r="AU589" s="81"/>
      <c r="AV589" s="77"/>
      <c r="AW589" s="81"/>
      <c r="AX589" s="77"/>
      <c r="AY589" s="81"/>
      <c r="AZ589" s="77"/>
      <c r="BA589" s="81"/>
      <c r="BB589" s="77"/>
      <c r="BC589" s="81"/>
      <c r="BD589" s="77"/>
      <c r="BE589" s="81"/>
      <c r="BF589" s="77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77"/>
      <c r="BU589" s="77"/>
      <c r="BV589" s="77"/>
      <c r="BW589" s="77"/>
      <c r="BX589" s="77"/>
      <c r="BY589" s="77"/>
      <c r="BZ589" s="77"/>
      <c r="CA589" s="77"/>
      <c r="CB589" s="77"/>
      <c r="CC589" s="77"/>
      <c r="CD589" s="77"/>
      <c r="CE589" s="77"/>
      <c r="CF589" s="77"/>
      <c r="CG589" s="77"/>
      <c r="CH589" s="77"/>
      <c r="CI589" s="77"/>
      <c r="CJ589" s="77"/>
      <c r="CK589" s="77"/>
      <c r="CL589" s="77"/>
      <c r="CM589" s="77"/>
      <c r="CN589" s="77"/>
      <c r="CO589" s="77"/>
      <c r="CP589" s="77"/>
      <c r="CQ589" s="77"/>
      <c r="CR589" s="77"/>
      <c r="CS589" s="77"/>
      <c r="CT589" s="77"/>
      <c r="CU589" s="77"/>
      <c r="CV589" s="77"/>
      <c r="CW589" s="77"/>
    </row>
    <row r="590" spans="1:101" ht="16.5" x14ac:dyDescent="0.45">
      <c r="A590" s="76"/>
      <c r="B590" s="77"/>
      <c r="C590" s="77"/>
      <c r="D590" s="78"/>
      <c r="E590" s="80"/>
      <c r="F590" s="80"/>
      <c r="G590" s="81"/>
      <c r="H590" s="81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82"/>
      <c r="Z590" s="82"/>
      <c r="AA590" s="82"/>
      <c r="AB590" s="80"/>
      <c r="AC590" s="77"/>
      <c r="AD590" s="77"/>
      <c r="AE590" s="77"/>
      <c r="AF590" s="77"/>
      <c r="AG590" s="77"/>
      <c r="AH590" s="77"/>
      <c r="AI590" s="92"/>
      <c r="AJ590" s="77"/>
      <c r="AK590" s="77"/>
      <c r="AL590" s="77"/>
      <c r="AM590" s="77"/>
      <c r="AN590" s="77"/>
      <c r="AO590" s="77"/>
      <c r="AP590" s="76"/>
      <c r="AQ590" s="81"/>
      <c r="AR590" s="76"/>
      <c r="AS590" s="81"/>
      <c r="AT590" s="76"/>
      <c r="AU590" s="81"/>
      <c r="AV590" s="77"/>
      <c r="AW590" s="81"/>
      <c r="AX590" s="77"/>
      <c r="AY590" s="81"/>
      <c r="AZ590" s="77"/>
      <c r="BA590" s="81"/>
      <c r="BB590" s="77"/>
      <c r="BC590" s="81"/>
      <c r="BD590" s="77"/>
      <c r="BE590" s="81"/>
      <c r="BF590" s="77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77"/>
      <c r="BU590" s="77"/>
      <c r="BV590" s="77"/>
      <c r="BW590" s="77"/>
      <c r="BX590" s="77"/>
      <c r="BY590" s="77"/>
      <c r="BZ590" s="77"/>
      <c r="CA590" s="77"/>
      <c r="CB590" s="77"/>
      <c r="CC590" s="77"/>
      <c r="CD590" s="77"/>
      <c r="CE590" s="77"/>
      <c r="CF590" s="77"/>
      <c r="CG590" s="77"/>
      <c r="CH590" s="77"/>
      <c r="CI590" s="77"/>
      <c r="CJ590" s="77"/>
      <c r="CK590" s="77"/>
      <c r="CL590" s="77"/>
      <c r="CM590" s="77"/>
      <c r="CN590" s="77"/>
      <c r="CO590" s="77"/>
      <c r="CP590" s="77"/>
      <c r="CQ590" s="77"/>
      <c r="CR590" s="77"/>
      <c r="CS590" s="77"/>
      <c r="CT590" s="77"/>
      <c r="CU590" s="77"/>
      <c r="CV590" s="77"/>
      <c r="CW590" s="77"/>
    </row>
    <row r="591" spans="1:101" ht="16.5" x14ac:dyDescent="0.45">
      <c r="A591" s="76"/>
      <c r="B591" s="77"/>
      <c r="C591" s="77"/>
      <c r="D591" s="78"/>
      <c r="E591" s="80"/>
      <c r="F591" s="80"/>
      <c r="G591" s="81"/>
      <c r="H591" s="81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82"/>
      <c r="Z591" s="82"/>
      <c r="AA591" s="82"/>
      <c r="AB591" s="80"/>
      <c r="AC591" s="77"/>
      <c r="AD591" s="77"/>
      <c r="AE591" s="77"/>
      <c r="AF591" s="77"/>
      <c r="AG591" s="77"/>
      <c r="AH591" s="77"/>
      <c r="AI591" s="92"/>
      <c r="AJ591" s="77"/>
      <c r="AK591" s="77"/>
      <c r="AL591" s="77"/>
      <c r="AM591" s="77"/>
      <c r="AN591" s="77"/>
      <c r="AO591" s="77"/>
      <c r="AP591" s="76"/>
      <c r="AQ591" s="81"/>
      <c r="AR591" s="76"/>
      <c r="AS591" s="81"/>
      <c r="AT591" s="76"/>
      <c r="AU591" s="81"/>
      <c r="AV591" s="77"/>
      <c r="AW591" s="81"/>
      <c r="AX591" s="77"/>
      <c r="AY591" s="81"/>
      <c r="AZ591" s="77"/>
      <c r="BA591" s="81"/>
      <c r="BB591" s="77"/>
      <c r="BC591" s="81"/>
      <c r="BD591" s="77"/>
      <c r="BE591" s="81"/>
      <c r="BF591" s="77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77"/>
      <c r="BU591" s="77"/>
      <c r="BV591" s="77"/>
      <c r="BW591" s="77"/>
      <c r="BX591" s="77"/>
      <c r="BY591" s="77"/>
      <c r="BZ591" s="77"/>
      <c r="CA591" s="77"/>
      <c r="CB591" s="77"/>
      <c r="CC591" s="77"/>
      <c r="CD591" s="77"/>
      <c r="CE591" s="77"/>
      <c r="CF591" s="77"/>
      <c r="CG591" s="77"/>
      <c r="CH591" s="77"/>
      <c r="CI591" s="77"/>
      <c r="CJ591" s="77"/>
      <c r="CK591" s="77"/>
      <c r="CL591" s="77"/>
      <c r="CM591" s="77"/>
      <c r="CN591" s="77"/>
      <c r="CO591" s="77"/>
      <c r="CP591" s="77"/>
      <c r="CQ591" s="77"/>
      <c r="CR591" s="77"/>
      <c r="CS591" s="77"/>
      <c r="CT591" s="77"/>
      <c r="CU591" s="77"/>
      <c r="CV591" s="77"/>
      <c r="CW591" s="77"/>
    </row>
    <row r="592" spans="1:101" ht="16.5" x14ac:dyDescent="0.45">
      <c r="A592" s="76"/>
      <c r="B592" s="77"/>
      <c r="C592" s="77"/>
      <c r="D592" s="78"/>
      <c r="E592" s="80"/>
      <c r="F592" s="80"/>
      <c r="G592" s="81"/>
      <c r="H592" s="81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82"/>
      <c r="Z592" s="82"/>
      <c r="AA592" s="82"/>
      <c r="AB592" s="80"/>
      <c r="AC592" s="77"/>
      <c r="AD592" s="77"/>
      <c r="AE592" s="77"/>
      <c r="AF592" s="77"/>
      <c r="AG592" s="77"/>
      <c r="AH592" s="77"/>
      <c r="AI592" s="92"/>
      <c r="AJ592" s="77"/>
      <c r="AK592" s="77"/>
      <c r="AL592" s="77"/>
      <c r="AM592" s="77"/>
      <c r="AN592" s="77"/>
      <c r="AO592" s="77"/>
      <c r="AP592" s="76"/>
      <c r="AQ592" s="81"/>
      <c r="AR592" s="76"/>
      <c r="AS592" s="81"/>
      <c r="AT592" s="76"/>
      <c r="AU592" s="81"/>
      <c r="AV592" s="77"/>
      <c r="AW592" s="81"/>
      <c r="AX592" s="77"/>
      <c r="AY592" s="81"/>
      <c r="AZ592" s="77"/>
      <c r="BA592" s="81"/>
      <c r="BB592" s="77"/>
      <c r="BC592" s="81"/>
      <c r="BD592" s="77"/>
      <c r="BE592" s="81"/>
      <c r="BF592" s="77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77"/>
      <c r="BU592" s="77"/>
      <c r="BV592" s="77"/>
      <c r="BW592" s="77"/>
      <c r="BX592" s="77"/>
      <c r="BY592" s="77"/>
      <c r="BZ592" s="77"/>
      <c r="CA592" s="77"/>
      <c r="CB592" s="77"/>
      <c r="CC592" s="77"/>
      <c r="CD592" s="77"/>
      <c r="CE592" s="77"/>
      <c r="CF592" s="77"/>
      <c r="CG592" s="77"/>
      <c r="CH592" s="77"/>
      <c r="CI592" s="77"/>
      <c r="CJ592" s="77"/>
      <c r="CK592" s="77"/>
      <c r="CL592" s="77"/>
      <c r="CM592" s="77"/>
      <c r="CN592" s="77"/>
      <c r="CO592" s="77"/>
      <c r="CP592" s="77"/>
      <c r="CQ592" s="77"/>
      <c r="CR592" s="77"/>
      <c r="CS592" s="77"/>
      <c r="CT592" s="77"/>
      <c r="CU592" s="77"/>
      <c r="CV592" s="77"/>
      <c r="CW592" s="77"/>
    </row>
    <row r="593" spans="1:101" ht="16.5" x14ac:dyDescent="0.45">
      <c r="A593" s="76"/>
      <c r="B593" s="77"/>
      <c r="C593" s="77"/>
      <c r="D593" s="78"/>
      <c r="E593" s="80"/>
      <c r="F593" s="80"/>
      <c r="G593" s="81"/>
      <c r="H593" s="81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82"/>
      <c r="Z593" s="82"/>
      <c r="AA593" s="82"/>
      <c r="AB593" s="80"/>
      <c r="AC593" s="77"/>
      <c r="AD593" s="77"/>
      <c r="AE593" s="77"/>
      <c r="AF593" s="77"/>
      <c r="AG593" s="77"/>
      <c r="AH593" s="77"/>
      <c r="AI593" s="92"/>
      <c r="AJ593" s="77"/>
      <c r="AK593" s="77"/>
      <c r="AL593" s="77"/>
      <c r="AM593" s="77"/>
      <c r="AN593" s="77"/>
      <c r="AO593" s="77"/>
      <c r="AP593" s="76"/>
      <c r="AQ593" s="81"/>
      <c r="AR593" s="76"/>
      <c r="AS593" s="81"/>
      <c r="AT593" s="76"/>
      <c r="AU593" s="81"/>
      <c r="AV593" s="77"/>
      <c r="AW593" s="81"/>
      <c r="AX593" s="77"/>
      <c r="AY593" s="81"/>
      <c r="AZ593" s="77"/>
      <c r="BA593" s="81"/>
      <c r="BB593" s="77"/>
      <c r="BC593" s="81"/>
      <c r="BD593" s="77"/>
      <c r="BE593" s="81"/>
      <c r="BF593" s="77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77"/>
      <c r="BU593" s="77"/>
      <c r="BV593" s="77"/>
      <c r="BW593" s="77"/>
      <c r="BX593" s="77"/>
      <c r="BY593" s="77"/>
      <c r="BZ593" s="77"/>
      <c r="CA593" s="77"/>
      <c r="CB593" s="77"/>
      <c r="CC593" s="77"/>
      <c r="CD593" s="77"/>
      <c r="CE593" s="77"/>
      <c r="CF593" s="77"/>
      <c r="CG593" s="77"/>
      <c r="CH593" s="77"/>
      <c r="CI593" s="77"/>
      <c r="CJ593" s="77"/>
      <c r="CK593" s="77"/>
      <c r="CL593" s="77"/>
      <c r="CM593" s="77"/>
      <c r="CN593" s="77"/>
      <c r="CO593" s="77"/>
      <c r="CP593" s="77"/>
      <c r="CQ593" s="77"/>
      <c r="CR593" s="77"/>
      <c r="CS593" s="77"/>
      <c r="CT593" s="77"/>
      <c r="CU593" s="77"/>
      <c r="CV593" s="77"/>
      <c r="CW593" s="77"/>
    </row>
    <row r="594" spans="1:101" ht="16.5" x14ac:dyDescent="0.45">
      <c r="A594" s="76"/>
      <c r="B594" s="77"/>
      <c r="C594" s="77"/>
      <c r="D594" s="78"/>
      <c r="E594" s="80"/>
      <c r="F594" s="80"/>
      <c r="G594" s="81"/>
      <c r="H594" s="81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82"/>
      <c r="Z594" s="82"/>
      <c r="AA594" s="82"/>
      <c r="AB594" s="80"/>
      <c r="AC594" s="77"/>
      <c r="AD594" s="77"/>
      <c r="AE594" s="77"/>
      <c r="AF594" s="77"/>
      <c r="AG594" s="77"/>
      <c r="AH594" s="77"/>
      <c r="AI594" s="92"/>
      <c r="AJ594" s="77"/>
      <c r="AK594" s="77"/>
      <c r="AL594" s="77"/>
      <c r="AM594" s="77"/>
      <c r="AN594" s="77"/>
      <c r="AO594" s="77"/>
      <c r="AP594" s="76"/>
      <c r="AQ594" s="81"/>
      <c r="AR594" s="76"/>
      <c r="AS594" s="81"/>
      <c r="AT594" s="76"/>
      <c r="AU594" s="81"/>
      <c r="AV594" s="77"/>
      <c r="AW594" s="81"/>
      <c r="AX594" s="77"/>
      <c r="AY594" s="81"/>
      <c r="AZ594" s="77"/>
      <c r="BA594" s="81"/>
      <c r="BB594" s="77"/>
      <c r="BC594" s="81"/>
      <c r="BD594" s="77"/>
      <c r="BE594" s="81"/>
      <c r="BF594" s="77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77"/>
      <c r="BU594" s="77"/>
      <c r="BV594" s="77"/>
      <c r="BW594" s="77"/>
      <c r="BX594" s="77"/>
      <c r="BY594" s="77"/>
      <c r="BZ594" s="77"/>
      <c r="CA594" s="77"/>
      <c r="CB594" s="77"/>
      <c r="CC594" s="77"/>
      <c r="CD594" s="77"/>
      <c r="CE594" s="77"/>
      <c r="CF594" s="77"/>
      <c r="CG594" s="77"/>
      <c r="CH594" s="77"/>
      <c r="CI594" s="77"/>
      <c r="CJ594" s="77"/>
      <c r="CK594" s="77"/>
      <c r="CL594" s="77"/>
      <c r="CM594" s="77"/>
      <c r="CN594" s="77"/>
      <c r="CO594" s="77"/>
      <c r="CP594" s="77"/>
      <c r="CQ594" s="77"/>
      <c r="CR594" s="77"/>
      <c r="CS594" s="77"/>
      <c r="CT594" s="77"/>
      <c r="CU594" s="77"/>
      <c r="CV594" s="77"/>
      <c r="CW594" s="77"/>
    </row>
    <row r="595" spans="1:101" ht="16.5" x14ac:dyDescent="0.45">
      <c r="A595" s="76"/>
      <c r="B595" s="77"/>
      <c r="C595" s="77"/>
      <c r="D595" s="78"/>
      <c r="E595" s="80"/>
      <c r="F595" s="80"/>
      <c r="G595" s="81"/>
      <c r="H595" s="81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82"/>
      <c r="Z595" s="82"/>
      <c r="AA595" s="82"/>
      <c r="AB595" s="80"/>
      <c r="AC595" s="77"/>
      <c r="AD595" s="77"/>
      <c r="AE595" s="77"/>
      <c r="AF595" s="77"/>
      <c r="AG595" s="77"/>
      <c r="AH595" s="77"/>
      <c r="AI595" s="92"/>
      <c r="AJ595" s="77"/>
      <c r="AK595" s="77"/>
      <c r="AL595" s="77"/>
      <c r="AM595" s="77"/>
      <c r="AN595" s="77"/>
      <c r="AO595" s="77"/>
      <c r="AP595" s="76"/>
      <c r="AQ595" s="81"/>
      <c r="AR595" s="76"/>
      <c r="AS595" s="81"/>
      <c r="AT595" s="76"/>
      <c r="AU595" s="81"/>
      <c r="AV595" s="77"/>
      <c r="AW595" s="81"/>
      <c r="AX595" s="77"/>
      <c r="AY595" s="81"/>
      <c r="AZ595" s="77"/>
      <c r="BA595" s="81"/>
      <c r="BB595" s="77"/>
      <c r="BC595" s="81"/>
      <c r="BD595" s="77"/>
      <c r="BE595" s="81"/>
      <c r="BF595" s="77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77"/>
      <c r="BU595" s="77"/>
      <c r="BV595" s="77"/>
      <c r="BW595" s="77"/>
      <c r="BX595" s="77"/>
      <c r="BY595" s="77"/>
      <c r="BZ595" s="77"/>
      <c r="CA595" s="77"/>
      <c r="CB595" s="77"/>
      <c r="CC595" s="77"/>
      <c r="CD595" s="77"/>
      <c r="CE595" s="77"/>
      <c r="CF595" s="77"/>
      <c r="CG595" s="77"/>
      <c r="CH595" s="77"/>
      <c r="CI595" s="77"/>
      <c r="CJ595" s="77"/>
      <c r="CK595" s="77"/>
      <c r="CL595" s="77"/>
      <c r="CM595" s="77"/>
      <c r="CN595" s="77"/>
      <c r="CO595" s="77"/>
      <c r="CP595" s="77"/>
      <c r="CQ595" s="77"/>
      <c r="CR595" s="77"/>
      <c r="CS595" s="77"/>
      <c r="CT595" s="77"/>
      <c r="CU595" s="77"/>
      <c r="CV595" s="77"/>
      <c r="CW595" s="77"/>
    </row>
    <row r="596" spans="1:101" ht="16.5" x14ac:dyDescent="0.45">
      <c r="A596" s="76"/>
      <c r="B596" s="77"/>
      <c r="C596" s="77"/>
      <c r="D596" s="78"/>
      <c r="E596" s="80"/>
      <c r="F596" s="80"/>
      <c r="G596" s="81"/>
      <c r="H596" s="81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82"/>
      <c r="Z596" s="82"/>
      <c r="AA596" s="82"/>
      <c r="AB596" s="80"/>
      <c r="AC596" s="77"/>
      <c r="AD596" s="77"/>
      <c r="AE596" s="77"/>
      <c r="AF596" s="77"/>
      <c r="AG596" s="77"/>
      <c r="AH596" s="77"/>
      <c r="AI596" s="92"/>
      <c r="AJ596" s="77"/>
      <c r="AK596" s="77"/>
      <c r="AL596" s="77"/>
      <c r="AM596" s="77"/>
      <c r="AN596" s="77"/>
      <c r="AO596" s="77"/>
      <c r="AP596" s="76"/>
      <c r="AQ596" s="81"/>
      <c r="AR596" s="76"/>
      <c r="AS596" s="81"/>
      <c r="AT596" s="76"/>
      <c r="AU596" s="81"/>
      <c r="AV596" s="77"/>
      <c r="AW596" s="81"/>
      <c r="AX596" s="77"/>
      <c r="AY596" s="81"/>
      <c r="AZ596" s="77"/>
      <c r="BA596" s="81"/>
      <c r="BB596" s="77"/>
      <c r="BC596" s="81"/>
      <c r="BD596" s="77"/>
      <c r="BE596" s="81"/>
      <c r="BF596" s="77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/>
      <c r="CV596" s="77"/>
      <c r="CW596" s="77"/>
    </row>
    <row r="597" spans="1:101" ht="16.5" x14ac:dyDescent="0.45">
      <c r="A597" s="76"/>
      <c r="B597" s="77"/>
      <c r="C597" s="77"/>
      <c r="D597" s="78"/>
      <c r="E597" s="80"/>
      <c r="F597" s="80"/>
      <c r="G597" s="81"/>
      <c r="H597" s="81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82"/>
      <c r="Z597" s="82"/>
      <c r="AA597" s="82"/>
      <c r="AB597" s="80"/>
      <c r="AC597" s="77"/>
      <c r="AD597" s="77"/>
      <c r="AE597" s="77"/>
      <c r="AF597" s="77"/>
      <c r="AG597" s="77"/>
      <c r="AH597" s="77"/>
      <c r="AI597" s="92"/>
      <c r="AJ597" s="77"/>
      <c r="AK597" s="77"/>
      <c r="AL597" s="77"/>
      <c r="AM597" s="77"/>
      <c r="AN597" s="77"/>
      <c r="AO597" s="77"/>
      <c r="AP597" s="76"/>
      <c r="AQ597" s="81"/>
      <c r="AR597" s="76"/>
      <c r="AS597" s="81"/>
      <c r="AT597" s="76"/>
      <c r="AU597" s="81"/>
      <c r="AV597" s="77"/>
      <c r="AW597" s="81"/>
      <c r="AX597" s="77"/>
      <c r="AY597" s="81"/>
      <c r="AZ597" s="77"/>
      <c r="BA597" s="81"/>
      <c r="BB597" s="77"/>
      <c r="BC597" s="81"/>
      <c r="BD597" s="77"/>
      <c r="BE597" s="81"/>
      <c r="BF597" s="77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77"/>
      <c r="BU597" s="77"/>
      <c r="BV597" s="77"/>
      <c r="BW597" s="77"/>
      <c r="BX597" s="77"/>
      <c r="BY597" s="77"/>
      <c r="BZ597" s="77"/>
      <c r="CA597" s="77"/>
      <c r="CB597" s="77"/>
      <c r="CC597" s="77"/>
      <c r="CD597" s="77"/>
      <c r="CE597" s="77"/>
      <c r="CF597" s="77"/>
      <c r="CG597" s="77"/>
      <c r="CH597" s="77"/>
      <c r="CI597" s="77"/>
      <c r="CJ597" s="77"/>
      <c r="CK597" s="77"/>
      <c r="CL597" s="77"/>
      <c r="CM597" s="77"/>
      <c r="CN597" s="77"/>
      <c r="CO597" s="77"/>
      <c r="CP597" s="77"/>
      <c r="CQ597" s="77"/>
      <c r="CR597" s="77"/>
      <c r="CS597" s="77"/>
      <c r="CT597" s="77"/>
      <c r="CU597" s="77"/>
      <c r="CV597" s="77"/>
      <c r="CW597" s="77"/>
    </row>
    <row r="598" spans="1:101" ht="16.5" x14ac:dyDescent="0.45">
      <c r="A598" s="76"/>
      <c r="B598" s="77"/>
      <c r="C598" s="77"/>
      <c r="D598" s="78"/>
      <c r="E598" s="80"/>
      <c r="F598" s="80"/>
      <c r="G598" s="81"/>
      <c r="H598" s="81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82"/>
      <c r="Z598" s="82"/>
      <c r="AA598" s="82"/>
      <c r="AB598" s="80"/>
      <c r="AC598" s="77"/>
      <c r="AD598" s="77"/>
      <c r="AE598" s="77"/>
      <c r="AF598" s="77"/>
      <c r="AG598" s="77"/>
      <c r="AH598" s="77"/>
      <c r="AI598" s="92"/>
      <c r="AJ598" s="77"/>
      <c r="AK598" s="77"/>
      <c r="AL598" s="77"/>
      <c r="AM598" s="77"/>
      <c r="AN598" s="77"/>
      <c r="AO598" s="77"/>
      <c r="AP598" s="76"/>
      <c r="AQ598" s="81"/>
      <c r="AR598" s="76"/>
      <c r="AS598" s="81"/>
      <c r="AT598" s="76"/>
      <c r="AU598" s="81"/>
      <c r="AV598" s="77"/>
      <c r="AW598" s="81"/>
      <c r="AX598" s="77"/>
      <c r="AY598" s="81"/>
      <c r="AZ598" s="77"/>
      <c r="BA598" s="81"/>
      <c r="BB598" s="77"/>
      <c r="BC598" s="81"/>
      <c r="BD598" s="77"/>
      <c r="BE598" s="81"/>
      <c r="BF598" s="77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</row>
    <row r="599" spans="1:101" ht="16.5" x14ac:dyDescent="0.45">
      <c r="A599" s="76"/>
      <c r="B599" s="77"/>
      <c r="C599" s="77"/>
      <c r="D599" s="78"/>
      <c r="E599" s="80"/>
      <c r="F599" s="80"/>
      <c r="G599" s="81"/>
      <c r="H599" s="81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82"/>
      <c r="Z599" s="82"/>
      <c r="AA599" s="82"/>
      <c r="AB599" s="80"/>
      <c r="AC599" s="77"/>
      <c r="AD599" s="77"/>
      <c r="AE599" s="77"/>
      <c r="AF599" s="77"/>
      <c r="AG599" s="77"/>
      <c r="AH599" s="77"/>
      <c r="AI599" s="92"/>
      <c r="AJ599" s="77"/>
      <c r="AK599" s="77"/>
      <c r="AL599" s="77"/>
      <c r="AM599" s="77"/>
      <c r="AN599" s="77"/>
      <c r="AO599" s="77"/>
      <c r="AP599" s="76"/>
      <c r="AQ599" s="81"/>
      <c r="AR599" s="76"/>
      <c r="AS599" s="81"/>
      <c r="AT599" s="76"/>
      <c r="AU599" s="81"/>
      <c r="AV599" s="77"/>
      <c r="AW599" s="81"/>
      <c r="AX599" s="77"/>
      <c r="AY599" s="81"/>
      <c r="AZ599" s="77"/>
      <c r="BA599" s="81"/>
      <c r="BB599" s="77"/>
      <c r="BC599" s="81"/>
      <c r="BD599" s="77"/>
      <c r="BE599" s="81"/>
      <c r="BF599" s="77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77"/>
      <c r="BU599" s="77"/>
      <c r="BV599" s="77"/>
      <c r="BW599" s="77"/>
      <c r="BX599" s="77"/>
      <c r="BY599" s="77"/>
      <c r="BZ599" s="77"/>
      <c r="CA599" s="77"/>
      <c r="CB599" s="77"/>
      <c r="CC599" s="77"/>
      <c r="CD599" s="77"/>
      <c r="CE599" s="77"/>
      <c r="CF599" s="77"/>
      <c r="CG599" s="77"/>
      <c r="CH599" s="77"/>
      <c r="CI599" s="77"/>
      <c r="CJ599" s="77"/>
      <c r="CK599" s="77"/>
      <c r="CL599" s="77"/>
      <c r="CM599" s="77"/>
      <c r="CN599" s="77"/>
      <c r="CO599" s="77"/>
      <c r="CP599" s="77"/>
      <c r="CQ599" s="77"/>
      <c r="CR599" s="77"/>
      <c r="CS599" s="77"/>
      <c r="CT599" s="77"/>
      <c r="CU599" s="77"/>
      <c r="CV599" s="77"/>
      <c r="CW599" s="77"/>
    </row>
    <row r="600" spans="1:101" ht="16.5" x14ac:dyDescent="0.45">
      <c r="A600" s="76"/>
      <c r="B600" s="77"/>
      <c r="C600" s="77"/>
      <c r="D600" s="78"/>
      <c r="E600" s="80"/>
      <c r="F600" s="80"/>
      <c r="G600" s="81"/>
      <c r="H600" s="81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82"/>
      <c r="Z600" s="82"/>
      <c r="AA600" s="82"/>
      <c r="AB600" s="80"/>
      <c r="AC600" s="77"/>
      <c r="AD600" s="77"/>
      <c r="AE600" s="77"/>
      <c r="AF600" s="77"/>
      <c r="AG600" s="77"/>
      <c r="AH600" s="77"/>
      <c r="AI600" s="92"/>
      <c r="AJ600" s="77"/>
      <c r="AK600" s="77"/>
      <c r="AL600" s="77"/>
      <c r="AM600" s="77"/>
      <c r="AN600" s="77"/>
      <c r="AO600" s="77"/>
      <c r="AP600" s="76"/>
      <c r="AQ600" s="81"/>
      <c r="AR600" s="76"/>
      <c r="AS600" s="81"/>
      <c r="AT600" s="76"/>
      <c r="AU600" s="81"/>
      <c r="AV600" s="77"/>
      <c r="AW600" s="81"/>
      <c r="AX600" s="77"/>
      <c r="AY600" s="81"/>
      <c r="AZ600" s="77"/>
      <c r="BA600" s="81"/>
      <c r="BB600" s="77"/>
      <c r="BC600" s="81"/>
      <c r="BD600" s="77"/>
      <c r="BE600" s="81"/>
      <c r="BF600" s="77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77"/>
      <c r="BU600" s="77"/>
      <c r="BV600" s="77"/>
      <c r="BW600" s="77"/>
      <c r="BX600" s="77"/>
      <c r="BY600" s="77"/>
      <c r="BZ600" s="77"/>
      <c r="CA600" s="77"/>
      <c r="CB600" s="77"/>
      <c r="CC600" s="77"/>
      <c r="CD600" s="77"/>
      <c r="CE600" s="77"/>
      <c r="CF600" s="77"/>
      <c r="CG600" s="77"/>
      <c r="CH600" s="77"/>
      <c r="CI600" s="77"/>
      <c r="CJ600" s="77"/>
      <c r="CK600" s="77"/>
      <c r="CL600" s="77"/>
      <c r="CM600" s="77"/>
      <c r="CN600" s="77"/>
      <c r="CO600" s="77"/>
      <c r="CP600" s="77"/>
      <c r="CQ600" s="77"/>
      <c r="CR600" s="77"/>
      <c r="CS600" s="77"/>
      <c r="CT600" s="77"/>
      <c r="CU600" s="77"/>
      <c r="CV600" s="77"/>
      <c r="CW600" s="77"/>
    </row>
    <row r="601" spans="1:101" ht="16.5" x14ac:dyDescent="0.45">
      <c r="A601" s="76"/>
      <c r="B601" s="77"/>
      <c r="C601" s="77"/>
      <c r="D601" s="78"/>
      <c r="E601" s="80"/>
      <c r="F601" s="80"/>
      <c r="G601" s="81"/>
      <c r="H601" s="81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82"/>
      <c r="Z601" s="82"/>
      <c r="AA601" s="82"/>
      <c r="AB601" s="80"/>
      <c r="AC601" s="77"/>
      <c r="AD601" s="77"/>
      <c r="AE601" s="77"/>
      <c r="AF601" s="77"/>
      <c r="AG601" s="77"/>
      <c r="AH601" s="77"/>
      <c r="AI601" s="92"/>
      <c r="AJ601" s="77"/>
      <c r="AK601" s="77"/>
      <c r="AL601" s="77"/>
      <c r="AM601" s="77"/>
      <c r="AN601" s="77"/>
      <c r="AO601" s="77"/>
      <c r="AP601" s="76"/>
      <c r="AQ601" s="81"/>
      <c r="AR601" s="76"/>
      <c r="AS601" s="81"/>
      <c r="AT601" s="76"/>
      <c r="AU601" s="81"/>
      <c r="AV601" s="77"/>
      <c r="AW601" s="81"/>
      <c r="AX601" s="77"/>
      <c r="AY601" s="81"/>
      <c r="AZ601" s="77"/>
      <c r="BA601" s="81"/>
      <c r="BB601" s="77"/>
      <c r="BC601" s="81"/>
      <c r="BD601" s="77"/>
      <c r="BE601" s="81"/>
      <c r="BF601" s="77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77"/>
      <c r="BU601" s="77"/>
      <c r="BV601" s="77"/>
      <c r="BW601" s="77"/>
      <c r="BX601" s="77"/>
      <c r="BY601" s="77"/>
      <c r="BZ601" s="77"/>
      <c r="CA601" s="77"/>
      <c r="CB601" s="77"/>
      <c r="CC601" s="77"/>
      <c r="CD601" s="77"/>
      <c r="CE601" s="77"/>
      <c r="CF601" s="77"/>
      <c r="CG601" s="77"/>
      <c r="CH601" s="77"/>
      <c r="CI601" s="77"/>
      <c r="CJ601" s="77"/>
      <c r="CK601" s="77"/>
      <c r="CL601" s="77"/>
      <c r="CM601" s="77"/>
      <c r="CN601" s="77"/>
      <c r="CO601" s="77"/>
      <c r="CP601" s="77"/>
      <c r="CQ601" s="77"/>
      <c r="CR601" s="77"/>
      <c r="CS601" s="77"/>
      <c r="CT601" s="77"/>
      <c r="CU601" s="77"/>
      <c r="CV601" s="77"/>
      <c r="CW601" s="77"/>
    </row>
    <row r="602" spans="1:101" ht="16.5" x14ac:dyDescent="0.45">
      <c r="A602" s="76"/>
      <c r="B602" s="77"/>
      <c r="C602" s="77"/>
      <c r="D602" s="78"/>
      <c r="E602" s="80"/>
      <c r="F602" s="80"/>
      <c r="G602" s="81"/>
      <c r="H602" s="81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82"/>
      <c r="Z602" s="82"/>
      <c r="AA602" s="82"/>
      <c r="AB602" s="80"/>
      <c r="AC602" s="77"/>
      <c r="AD602" s="77"/>
      <c r="AE602" s="77"/>
      <c r="AF602" s="77"/>
      <c r="AG602" s="77"/>
      <c r="AH602" s="77"/>
      <c r="AI602" s="92"/>
      <c r="AJ602" s="77"/>
      <c r="AK602" s="77"/>
      <c r="AL602" s="77"/>
      <c r="AM602" s="77"/>
      <c r="AN602" s="77"/>
      <c r="AO602" s="77"/>
      <c r="AP602" s="76"/>
      <c r="AQ602" s="81"/>
      <c r="AR602" s="76"/>
      <c r="AS602" s="81"/>
      <c r="AT602" s="76"/>
      <c r="AU602" s="81"/>
      <c r="AV602" s="77"/>
      <c r="AW602" s="81"/>
      <c r="AX602" s="77"/>
      <c r="AY602" s="81"/>
      <c r="AZ602" s="77"/>
      <c r="BA602" s="81"/>
      <c r="BB602" s="77"/>
      <c r="BC602" s="81"/>
      <c r="BD602" s="77"/>
      <c r="BE602" s="81"/>
      <c r="BF602" s="77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77"/>
      <c r="BU602" s="77"/>
      <c r="BV602" s="77"/>
      <c r="BW602" s="77"/>
      <c r="BX602" s="77"/>
      <c r="BY602" s="77"/>
      <c r="BZ602" s="77"/>
      <c r="CA602" s="77"/>
      <c r="CB602" s="77"/>
      <c r="CC602" s="77"/>
      <c r="CD602" s="77"/>
      <c r="CE602" s="77"/>
      <c r="CF602" s="77"/>
      <c r="CG602" s="77"/>
      <c r="CH602" s="77"/>
      <c r="CI602" s="77"/>
      <c r="CJ602" s="77"/>
      <c r="CK602" s="77"/>
      <c r="CL602" s="77"/>
      <c r="CM602" s="77"/>
      <c r="CN602" s="77"/>
      <c r="CO602" s="77"/>
      <c r="CP602" s="77"/>
      <c r="CQ602" s="77"/>
      <c r="CR602" s="77"/>
      <c r="CS602" s="77"/>
      <c r="CT602" s="77"/>
      <c r="CU602" s="77"/>
      <c r="CV602" s="77"/>
      <c r="CW602" s="77"/>
    </row>
    <row r="603" spans="1:101" ht="16.5" x14ac:dyDescent="0.45">
      <c r="A603" s="76"/>
      <c r="B603" s="77"/>
      <c r="C603" s="77"/>
      <c r="D603" s="78"/>
      <c r="E603" s="80"/>
      <c r="F603" s="80"/>
      <c r="G603" s="81"/>
      <c r="H603" s="81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82"/>
      <c r="Z603" s="82"/>
      <c r="AA603" s="82"/>
      <c r="AB603" s="80"/>
      <c r="AC603" s="77"/>
      <c r="AD603" s="77"/>
      <c r="AE603" s="77"/>
      <c r="AF603" s="77"/>
      <c r="AG603" s="77"/>
      <c r="AH603" s="77"/>
      <c r="AI603" s="92"/>
      <c r="AJ603" s="77"/>
      <c r="AK603" s="77"/>
      <c r="AL603" s="77"/>
      <c r="AM603" s="77"/>
      <c r="AN603" s="77"/>
      <c r="AO603" s="77"/>
      <c r="AP603" s="76"/>
      <c r="AQ603" s="81"/>
      <c r="AR603" s="76"/>
      <c r="AS603" s="81"/>
      <c r="AT603" s="76"/>
      <c r="AU603" s="81"/>
      <c r="AV603" s="77"/>
      <c r="AW603" s="81"/>
      <c r="AX603" s="77"/>
      <c r="AY603" s="81"/>
      <c r="AZ603" s="77"/>
      <c r="BA603" s="81"/>
      <c r="BB603" s="77"/>
      <c r="BC603" s="81"/>
      <c r="BD603" s="77"/>
      <c r="BE603" s="81"/>
      <c r="BF603" s="77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77"/>
      <c r="BU603" s="77"/>
      <c r="BV603" s="77"/>
      <c r="BW603" s="77"/>
      <c r="BX603" s="77"/>
      <c r="BY603" s="77"/>
      <c r="BZ603" s="77"/>
      <c r="CA603" s="77"/>
      <c r="CB603" s="77"/>
      <c r="CC603" s="77"/>
      <c r="CD603" s="77"/>
      <c r="CE603" s="77"/>
      <c r="CF603" s="77"/>
      <c r="CG603" s="77"/>
      <c r="CH603" s="77"/>
      <c r="CI603" s="77"/>
      <c r="CJ603" s="77"/>
      <c r="CK603" s="77"/>
      <c r="CL603" s="77"/>
      <c r="CM603" s="77"/>
      <c r="CN603" s="77"/>
      <c r="CO603" s="77"/>
      <c r="CP603" s="77"/>
      <c r="CQ603" s="77"/>
      <c r="CR603" s="77"/>
      <c r="CS603" s="77"/>
      <c r="CT603" s="77"/>
      <c r="CU603" s="77"/>
      <c r="CV603" s="77"/>
      <c r="CW603" s="77"/>
    </row>
    <row r="604" spans="1:101" ht="16.5" x14ac:dyDescent="0.45">
      <c r="A604" s="76"/>
      <c r="B604" s="77"/>
      <c r="C604" s="77"/>
      <c r="D604" s="78"/>
      <c r="E604" s="80"/>
      <c r="F604" s="80"/>
      <c r="G604" s="81"/>
      <c r="H604" s="81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82"/>
      <c r="Z604" s="82"/>
      <c r="AA604" s="82"/>
      <c r="AB604" s="80"/>
      <c r="AC604" s="77"/>
      <c r="AD604" s="77"/>
      <c r="AE604" s="77"/>
      <c r="AF604" s="77"/>
      <c r="AG604" s="77"/>
      <c r="AH604" s="77"/>
      <c r="AI604" s="92"/>
      <c r="AJ604" s="77"/>
      <c r="AK604" s="77"/>
      <c r="AL604" s="77"/>
      <c r="AM604" s="77"/>
      <c r="AN604" s="77"/>
      <c r="AO604" s="77"/>
      <c r="AP604" s="76"/>
      <c r="AQ604" s="81"/>
      <c r="AR604" s="76"/>
      <c r="AS604" s="81"/>
      <c r="AT604" s="76"/>
      <c r="AU604" s="81"/>
      <c r="AV604" s="77"/>
      <c r="AW604" s="81"/>
      <c r="AX604" s="77"/>
      <c r="AY604" s="81"/>
      <c r="AZ604" s="77"/>
      <c r="BA604" s="81"/>
      <c r="BB604" s="77"/>
      <c r="BC604" s="81"/>
      <c r="BD604" s="77"/>
      <c r="BE604" s="81"/>
      <c r="BF604" s="77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77"/>
      <c r="BU604" s="77"/>
      <c r="BV604" s="77"/>
      <c r="BW604" s="77"/>
      <c r="BX604" s="77"/>
      <c r="BY604" s="77"/>
      <c r="BZ604" s="77"/>
      <c r="CA604" s="77"/>
      <c r="CB604" s="77"/>
      <c r="CC604" s="77"/>
      <c r="CD604" s="77"/>
      <c r="CE604" s="77"/>
      <c r="CF604" s="77"/>
      <c r="CG604" s="77"/>
      <c r="CH604" s="77"/>
      <c r="CI604" s="77"/>
      <c r="CJ604" s="77"/>
      <c r="CK604" s="77"/>
      <c r="CL604" s="77"/>
      <c r="CM604" s="77"/>
      <c r="CN604" s="77"/>
      <c r="CO604" s="77"/>
      <c r="CP604" s="77"/>
      <c r="CQ604" s="77"/>
      <c r="CR604" s="77"/>
      <c r="CS604" s="77"/>
      <c r="CT604" s="77"/>
      <c r="CU604" s="77"/>
      <c r="CV604" s="77"/>
      <c r="CW604" s="77"/>
    </row>
    <row r="605" spans="1:101" ht="16.5" x14ac:dyDescent="0.45">
      <c r="A605" s="76"/>
      <c r="B605" s="77"/>
      <c r="C605" s="77"/>
      <c r="D605" s="78"/>
      <c r="E605" s="80"/>
      <c r="F605" s="80"/>
      <c r="G605" s="81"/>
      <c r="H605" s="81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82"/>
      <c r="Z605" s="82"/>
      <c r="AA605" s="82"/>
      <c r="AB605" s="80"/>
      <c r="AC605" s="77"/>
      <c r="AD605" s="77"/>
      <c r="AE605" s="77"/>
      <c r="AF605" s="77"/>
      <c r="AG605" s="77"/>
      <c r="AH605" s="77"/>
      <c r="AI605" s="92"/>
      <c r="AJ605" s="77"/>
      <c r="AK605" s="77"/>
      <c r="AL605" s="77"/>
      <c r="AM605" s="77"/>
      <c r="AN605" s="77"/>
      <c r="AO605" s="77"/>
      <c r="AP605" s="76"/>
      <c r="AQ605" s="81"/>
      <c r="AR605" s="76"/>
      <c r="AS605" s="81"/>
      <c r="AT605" s="76"/>
      <c r="AU605" s="81"/>
      <c r="AV605" s="77"/>
      <c r="AW605" s="81"/>
      <c r="AX605" s="77"/>
      <c r="AY605" s="81"/>
      <c r="AZ605" s="77"/>
      <c r="BA605" s="81"/>
      <c r="BB605" s="77"/>
      <c r="BC605" s="81"/>
      <c r="BD605" s="77"/>
      <c r="BE605" s="81"/>
      <c r="BF605" s="77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/>
      <c r="CV605" s="77"/>
      <c r="CW605" s="77"/>
    </row>
    <row r="606" spans="1:101" ht="16.5" x14ac:dyDescent="0.45">
      <c r="A606" s="76"/>
      <c r="B606" s="77"/>
      <c r="C606" s="77"/>
      <c r="D606" s="78"/>
      <c r="E606" s="80"/>
      <c r="F606" s="80"/>
      <c r="G606" s="81"/>
      <c r="H606" s="81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82"/>
      <c r="Z606" s="82"/>
      <c r="AA606" s="82"/>
      <c r="AB606" s="80"/>
      <c r="AC606" s="77"/>
      <c r="AD606" s="77"/>
      <c r="AE606" s="77"/>
      <c r="AF606" s="77"/>
      <c r="AG606" s="77"/>
      <c r="AH606" s="77"/>
      <c r="AI606" s="92"/>
      <c r="AJ606" s="77"/>
      <c r="AK606" s="77"/>
      <c r="AL606" s="77"/>
      <c r="AM606" s="77"/>
      <c r="AN606" s="77"/>
      <c r="AO606" s="77"/>
      <c r="AP606" s="76"/>
      <c r="AQ606" s="81"/>
      <c r="AR606" s="76"/>
      <c r="AS606" s="81"/>
      <c r="AT606" s="76"/>
      <c r="AU606" s="81"/>
      <c r="AV606" s="77"/>
      <c r="AW606" s="81"/>
      <c r="AX606" s="77"/>
      <c r="AY606" s="81"/>
      <c r="AZ606" s="77"/>
      <c r="BA606" s="81"/>
      <c r="BB606" s="77"/>
      <c r="BC606" s="81"/>
      <c r="BD606" s="77"/>
      <c r="BE606" s="81"/>
      <c r="BF606" s="77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77"/>
      <c r="BU606" s="77"/>
      <c r="BV606" s="77"/>
      <c r="BW606" s="77"/>
      <c r="BX606" s="77"/>
      <c r="BY606" s="77"/>
      <c r="BZ606" s="77"/>
      <c r="CA606" s="77"/>
      <c r="CB606" s="77"/>
      <c r="CC606" s="77"/>
      <c r="CD606" s="77"/>
      <c r="CE606" s="77"/>
      <c r="CF606" s="77"/>
      <c r="CG606" s="77"/>
      <c r="CH606" s="77"/>
      <c r="CI606" s="77"/>
      <c r="CJ606" s="77"/>
      <c r="CK606" s="77"/>
      <c r="CL606" s="77"/>
      <c r="CM606" s="77"/>
      <c r="CN606" s="77"/>
      <c r="CO606" s="77"/>
      <c r="CP606" s="77"/>
      <c r="CQ606" s="77"/>
      <c r="CR606" s="77"/>
      <c r="CS606" s="77"/>
      <c r="CT606" s="77"/>
      <c r="CU606" s="77"/>
      <c r="CV606" s="77"/>
      <c r="CW606" s="77"/>
    </row>
    <row r="607" spans="1:101" ht="16.5" x14ac:dyDescent="0.45">
      <c r="A607" s="76"/>
      <c r="B607" s="77"/>
      <c r="C607" s="77"/>
      <c r="D607" s="78"/>
      <c r="E607" s="80"/>
      <c r="F607" s="80"/>
      <c r="G607" s="81"/>
      <c r="H607" s="81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82"/>
      <c r="Z607" s="82"/>
      <c r="AA607" s="82"/>
      <c r="AB607" s="80"/>
      <c r="AC607" s="77"/>
      <c r="AD607" s="77"/>
      <c r="AE607" s="77"/>
      <c r="AF607" s="77"/>
      <c r="AG607" s="77"/>
      <c r="AH607" s="77"/>
      <c r="AI607" s="92"/>
      <c r="AJ607" s="77"/>
      <c r="AK607" s="77"/>
      <c r="AL607" s="77"/>
      <c r="AM607" s="77"/>
      <c r="AN607" s="77"/>
      <c r="AO607" s="77"/>
      <c r="AP607" s="76"/>
      <c r="AQ607" s="81"/>
      <c r="AR607" s="76"/>
      <c r="AS607" s="81"/>
      <c r="AT607" s="76"/>
      <c r="AU607" s="81"/>
      <c r="AV607" s="77"/>
      <c r="AW607" s="81"/>
      <c r="AX607" s="77"/>
      <c r="AY607" s="81"/>
      <c r="AZ607" s="77"/>
      <c r="BA607" s="81"/>
      <c r="BB607" s="77"/>
      <c r="BC607" s="81"/>
      <c r="BD607" s="77"/>
      <c r="BE607" s="81"/>
      <c r="BF607" s="77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77"/>
      <c r="BU607" s="77"/>
      <c r="BV607" s="77"/>
      <c r="BW607" s="77"/>
      <c r="BX607" s="77"/>
      <c r="BY607" s="77"/>
      <c r="BZ607" s="77"/>
      <c r="CA607" s="77"/>
      <c r="CB607" s="77"/>
      <c r="CC607" s="77"/>
      <c r="CD607" s="77"/>
      <c r="CE607" s="77"/>
      <c r="CF607" s="77"/>
      <c r="CG607" s="77"/>
      <c r="CH607" s="77"/>
      <c r="CI607" s="77"/>
      <c r="CJ607" s="77"/>
      <c r="CK607" s="77"/>
      <c r="CL607" s="77"/>
      <c r="CM607" s="77"/>
      <c r="CN607" s="77"/>
      <c r="CO607" s="77"/>
      <c r="CP607" s="77"/>
      <c r="CQ607" s="77"/>
      <c r="CR607" s="77"/>
      <c r="CS607" s="77"/>
      <c r="CT607" s="77"/>
      <c r="CU607" s="77"/>
      <c r="CV607" s="77"/>
      <c r="CW607" s="77"/>
    </row>
    <row r="608" spans="1:101" ht="16.5" x14ac:dyDescent="0.45">
      <c r="A608" s="76"/>
      <c r="B608" s="77"/>
      <c r="C608" s="77"/>
      <c r="D608" s="78"/>
      <c r="E608" s="80"/>
      <c r="F608" s="80"/>
      <c r="G608" s="81"/>
      <c r="H608" s="81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82"/>
      <c r="Z608" s="82"/>
      <c r="AA608" s="82"/>
      <c r="AB608" s="80"/>
      <c r="AC608" s="77"/>
      <c r="AD608" s="77"/>
      <c r="AE608" s="77"/>
      <c r="AF608" s="77"/>
      <c r="AG608" s="77"/>
      <c r="AH608" s="77"/>
      <c r="AI608" s="92"/>
      <c r="AJ608" s="77"/>
      <c r="AK608" s="77"/>
      <c r="AL608" s="77"/>
      <c r="AM608" s="77"/>
      <c r="AN608" s="77"/>
      <c r="AO608" s="77"/>
      <c r="AP608" s="76"/>
      <c r="AQ608" s="81"/>
      <c r="AR608" s="76"/>
      <c r="AS608" s="81"/>
      <c r="AT608" s="76"/>
      <c r="AU608" s="81"/>
      <c r="AV608" s="77"/>
      <c r="AW608" s="81"/>
      <c r="AX608" s="77"/>
      <c r="AY608" s="81"/>
      <c r="AZ608" s="77"/>
      <c r="BA608" s="81"/>
      <c r="BB608" s="77"/>
      <c r="BC608" s="81"/>
      <c r="BD608" s="77"/>
      <c r="BE608" s="81"/>
      <c r="BF608" s="77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77"/>
      <c r="BU608" s="77"/>
      <c r="BV608" s="77"/>
      <c r="BW608" s="77"/>
      <c r="BX608" s="77"/>
      <c r="BY608" s="77"/>
      <c r="BZ608" s="77"/>
      <c r="CA608" s="77"/>
      <c r="CB608" s="77"/>
      <c r="CC608" s="77"/>
      <c r="CD608" s="77"/>
      <c r="CE608" s="77"/>
      <c r="CF608" s="77"/>
      <c r="CG608" s="77"/>
      <c r="CH608" s="77"/>
      <c r="CI608" s="77"/>
      <c r="CJ608" s="77"/>
      <c r="CK608" s="77"/>
      <c r="CL608" s="77"/>
      <c r="CM608" s="77"/>
      <c r="CN608" s="77"/>
      <c r="CO608" s="77"/>
      <c r="CP608" s="77"/>
      <c r="CQ608" s="77"/>
      <c r="CR608" s="77"/>
      <c r="CS608" s="77"/>
      <c r="CT608" s="77"/>
      <c r="CU608" s="77"/>
      <c r="CV608" s="77"/>
      <c r="CW608" s="77"/>
    </row>
    <row r="609" spans="1:101" ht="16.5" x14ac:dyDescent="0.45">
      <c r="A609" s="76"/>
      <c r="B609" s="77"/>
      <c r="C609" s="77"/>
      <c r="D609" s="78"/>
      <c r="E609" s="80"/>
      <c r="F609" s="80"/>
      <c r="G609" s="81"/>
      <c r="H609" s="81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82"/>
      <c r="Z609" s="82"/>
      <c r="AA609" s="82"/>
      <c r="AB609" s="80"/>
      <c r="AC609" s="77"/>
      <c r="AD609" s="77"/>
      <c r="AE609" s="77"/>
      <c r="AF609" s="77"/>
      <c r="AG609" s="77"/>
      <c r="AH609" s="77"/>
      <c r="AI609" s="92"/>
      <c r="AJ609" s="77"/>
      <c r="AK609" s="77"/>
      <c r="AL609" s="77"/>
      <c r="AM609" s="77"/>
      <c r="AN609" s="77"/>
      <c r="AO609" s="77"/>
      <c r="AP609" s="76"/>
      <c r="AQ609" s="81"/>
      <c r="AR609" s="76"/>
      <c r="AS609" s="81"/>
      <c r="AT609" s="76"/>
      <c r="AU609" s="81"/>
      <c r="AV609" s="77"/>
      <c r="AW609" s="81"/>
      <c r="AX609" s="77"/>
      <c r="AY609" s="81"/>
      <c r="AZ609" s="77"/>
      <c r="BA609" s="81"/>
      <c r="BB609" s="77"/>
      <c r="BC609" s="81"/>
      <c r="BD609" s="77"/>
      <c r="BE609" s="81"/>
      <c r="BF609" s="77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77"/>
      <c r="BU609" s="77"/>
      <c r="BV609" s="77"/>
      <c r="BW609" s="77"/>
      <c r="BX609" s="77"/>
      <c r="BY609" s="77"/>
      <c r="BZ609" s="77"/>
      <c r="CA609" s="77"/>
      <c r="CB609" s="77"/>
      <c r="CC609" s="77"/>
      <c r="CD609" s="77"/>
      <c r="CE609" s="77"/>
      <c r="CF609" s="77"/>
      <c r="CG609" s="77"/>
      <c r="CH609" s="77"/>
      <c r="CI609" s="77"/>
      <c r="CJ609" s="77"/>
      <c r="CK609" s="77"/>
      <c r="CL609" s="77"/>
      <c r="CM609" s="77"/>
      <c r="CN609" s="77"/>
      <c r="CO609" s="77"/>
      <c r="CP609" s="77"/>
      <c r="CQ609" s="77"/>
      <c r="CR609" s="77"/>
      <c r="CS609" s="77"/>
      <c r="CT609" s="77"/>
      <c r="CU609" s="77"/>
      <c r="CV609" s="77"/>
      <c r="CW609" s="77"/>
    </row>
    <row r="610" spans="1:101" ht="16.5" x14ac:dyDescent="0.45">
      <c r="A610" s="76"/>
      <c r="B610" s="77"/>
      <c r="C610" s="77"/>
      <c r="D610" s="78"/>
      <c r="E610" s="80"/>
      <c r="F610" s="80"/>
      <c r="G610" s="81"/>
      <c r="H610" s="81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82"/>
      <c r="Z610" s="82"/>
      <c r="AA610" s="82"/>
      <c r="AB610" s="80"/>
      <c r="AC610" s="77"/>
      <c r="AD610" s="77"/>
      <c r="AE610" s="77"/>
      <c r="AF610" s="77"/>
      <c r="AG610" s="77"/>
      <c r="AH610" s="77"/>
      <c r="AI610" s="92"/>
      <c r="AJ610" s="77"/>
      <c r="AK610" s="77"/>
      <c r="AL610" s="77"/>
      <c r="AM610" s="77"/>
      <c r="AN610" s="77"/>
      <c r="AO610" s="77"/>
      <c r="AP610" s="76"/>
      <c r="AQ610" s="81"/>
      <c r="AR610" s="76"/>
      <c r="AS610" s="81"/>
      <c r="AT610" s="76"/>
      <c r="AU610" s="81"/>
      <c r="AV610" s="77"/>
      <c r="AW610" s="81"/>
      <c r="AX610" s="77"/>
      <c r="AY610" s="81"/>
      <c r="AZ610" s="77"/>
      <c r="BA610" s="81"/>
      <c r="BB610" s="77"/>
      <c r="BC610" s="81"/>
      <c r="BD610" s="77"/>
      <c r="BE610" s="81"/>
      <c r="BF610" s="77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77"/>
      <c r="BU610" s="77"/>
      <c r="BV610" s="77"/>
      <c r="BW610" s="77"/>
      <c r="BX610" s="77"/>
      <c r="BY610" s="77"/>
      <c r="BZ610" s="77"/>
      <c r="CA610" s="77"/>
      <c r="CB610" s="77"/>
      <c r="CC610" s="77"/>
      <c r="CD610" s="77"/>
      <c r="CE610" s="77"/>
      <c r="CF610" s="77"/>
      <c r="CG610" s="77"/>
      <c r="CH610" s="77"/>
      <c r="CI610" s="77"/>
      <c r="CJ610" s="77"/>
      <c r="CK610" s="77"/>
      <c r="CL610" s="77"/>
      <c r="CM610" s="77"/>
      <c r="CN610" s="77"/>
      <c r="CO610" s="77"/>
      <c r="CP610" s="77"/>
      <c r="CQ610" s="77"/>
      <c r="CR610" s="77"/>
      <c r="CS610" s="77"/>
      <c r="CT610" s="77"/>
      <c r="CU610" s="77"/>
      <c r="CV610" s="77"/>
      <c r="CW610" s="77"/>
    </row>
    <row r="611" spans="1:101" ht="16.5" x14ac:dyDescent="0.45">
      <c r="A611" s="76"/>
      <c r="B611" s="77"/>
      <c r="C611" s="77"/>
      <c r="D611" s="78"/>
      <c r="E611" s="80"/>
      <c r="F611" s="80"/>
      <c r="G611" s="81"/>
      <c r="H611" s="81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82"/>
      <c r="Z611" s="82"/>
      <c r="AA611" s="82"/>
      <c r="AB611" s="80"/>
      <c r="AC611" s="77"/>
      <c r="AD611" s="77"/>
      <c r="AE611" s="77"/>
      <c r="AF611" s="77"/>
      <c r="AG611" s="77"/>
      <c r="AH611" s="77"/>
      <c r="AI611" s="92"/>
      <c r="AJ611" s="77"/>
      <c r="AK611" s="77"/>
      <c r="AL611" s="77"/>
      <c r="AM611" s="77"/>
      <c r="AN611" s="77"/>
      <c r="AO611" s="77"/>
      <c r="AP611" s="76"/>
      <c r="AQ611" s="81"/>
      <c r="AR611" s="76"/>
      <c r="AS611" s="81"/>
      <c r="AT611" s="76"/>
      <c r="AU611" s="81"/>
      <c r="AV611" s="77"/>
      <c r="AW611" s="81"/>
      <c r="AX611" s="77"/>
      <c r="AY611" s="81"/>
      <c r="AZ611" s="77"/>
      <c r="BA611" s="81"/>
      <c r="BB611" s="77"/>
      <c r="BC611" s="81"/>
      <c r="BD611" s="77"/>
      <c r="BE611" s="81"/>
      <c r="BF611" s="77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77"/>
      <c r="BU611" s="77"/>
      <c r="BV611" s="77"/>
      <c r="BW611" s="77"/>
      <c r="BX611" s="77"/>
      <c r="BY611" s="77"/>
      <c r="BZ611" s="77"/>
      <c r="CA611" s="77"/>
      <c r="CB611" s="77"/>
      <c r="CC611" s="77"/>
      <c r="CD611" s="77"/>
      <c r="CE611" s="77"/>
      <c r="CF611" s="77"/>
      <c r="CG611" s="77"/>
      <c r="CH611" s="77"/>
      <c r="CI611" s="77"/>
      <c r="CJ611" s="77"/>
      <c r="CK611" s="77"/>
      <c r="CL611" s="77"/>
      <c r="CM611" s="77"/>
      <c r="CN611" s="77"/>
      <c r="CO611" s="77"/>
      <c r="CP611" s="77"/>
      <c r="CQ611" s="77"/>
      <c r="CR611" s="77"/>
      <c r="CS611" s="77"/>
      <c r="CT611" s="77"/>
      <c r="CU611" s="77"/>
      <c r="CV611" s="77"/>
      <c r="CW611" s="77"/>
    </row>
    <row r="612" spans="1:101" ht="16.5" x14ac:dyDescent="0.45">
      <c r="A612" s="76"/>
      <c r="B612" s="77"/>
      <c r="C612" s="77"/>
      <c r="D612" s="78"/>
      <c r="E612" s="80"/>
      <c r="F612" s="80"/>
      <c r="G612" s="81"/>
      <c r="H612" s="81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82"/>
      <c r="Z612" s="82"/>
      <c r="AA612" s="82"/>
      <c r="AB612" s="80"/>
      <c r="AC612" s="77"/>
      <c r="AD612" s="77"/>
      <c r="AE612" s="77"/>
      <c r="AF612" s="77"/>
      <c r="AG612" s="77"/>
      <c r="AH612" s="77"/>
      <c r="AI612" s="92"/>
      <c r="AJ612" s="77"/>
      <c r="AK612" s="77"/>
      <c r="AL612" s="77"/>
      <c r="AM612" s="77"/>
      <c r="AN612" s="77"/>
      <c r="AO612" s="77"/>
      <c r="AP612" s="76"/>
      <c r="AQ612" s="81"/>
      <c r="AR612" s="76"/>
      <c r="AS612" s="81"/>
      <c r="AT612" s="76"/>
      <c r="AU612" s="81"/>
      <c r="AV612" s="77"/>
      <c r="AW612" s="81"/>
      <c r="AX612" s="77"/>
      <c r="AY612" s="81"/>
      <c r="AZ612" s="77"/>
      <c r="BA612" s="81"/>
      <c r="BB612" s="77"/>
      <c r="BC612" s="81"/>
      <c r="BD612" s="77"/>
      <c r="BE612" s="81"/>
      <c r="BF612" s="77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77"/>
      <c r="BU612" s="77"/>
      <c r="BV612" s="77"/>
      <c r="BW612" s="77"/>
      <c r="BX612" s="77"/>
      <c r="BY612" s="77"/>
      <c r="BZ612" s="77"/>
      <c r="CA612" s="77"/>
      <c r="CB612" s="77"/>
      <c r="CC612" s="77"/>
      <c r="CD612" s="77"/>
      <c r="CE612" s="77"/>
      <c r="CF612" s="77"/>
      <c r="CG612" s="77"/>
      <c r="CH612" s="77"/>
      <c r="CI612" s="77"/>
      <c r="CJ612" s="77"/>
      <c r="CK612" s="77"/>
      <c r="CL612" s="77"/>
      <c r="CM612" s="77"/>
      <c r="CN612" s="77"/>
      <c r="CO612" s="77"/>
      <c r="CP612" s="77"/>
      <c r="CQ612" s="77"/>
      <c r="CR612" s="77"/>
      <c r="CS612" s="77"/>
      <c r="CT612" s="77"/>
      <c r="CU612" s="77"/>
      <c r="CV612" s="77"/>
      <c r="CW612" s="77"/>
    </row>
    <row r="613" spans="1:101" ht="16.5" x14ac:dyDescent="0.45">
      <c r="A613" s="76"/>
      <c r="B613" s="77"/>
      <c r="C613" s="77"/>
      <c r="D613" s="78"/>
      <c r="E613" s="80"/>
      <c r="F613" s="80"/>
      <c r="G613" s="81"/>
      <c r="H613" s="81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82"/>
      <c r="Z613" s="82"/>
      <c r="AA613" s="82"/>
      <c r="AB613" s="80"/>
      <c r="AC613" s="77"/>
      <c r="AD613" s="77"/>
      <c r="AE613" s="77"/>
      <c r="AF613" s="77"/>
      <c r="AG613" s="77"/>
      <c r="AH613" s="77"/>
      <c r="AI613" s="92"/>
      <c r="AJ613" s="77"/>
      <c r="AK613" s="77"/>
      <c r="AL613" s="77"/>
      <c r="AM613" s="77"/>
      <c r="AN613" s="77"/>
      <c r="AO613" s="77"/>
      <c r="AP613" s="76"/>
      <c r="AQ613" s="81"/>
      <c r="AR613" s="76"/>
      <c r="AS613" s="81"/>
      <c r="AT613" s="76"/>
      <c r="AU613" s="81"/>
      <c r="AV613" s="77"/>
      <c r="AW613" s="81"/>
      <c r="AX613" s="77"/>
      <c r="AY613" s="81"/>
      <c r="AZ613" s="77"/>
      <c r="BA613" s="81"/>
      <c r="BB613" s="77"/>
      <c r="BC613" s="81"/>
      <c r="BD613" s="77"/>
      <c r="BE613" s="81"/>
      <c r="BF613" s="77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77"/>
      <c r="BU613" s="77"/>
      <c r="BV613" s="77"/>
      <c r="BW613" s="77"/>
      <c r="BX613" s="77"/>
      <c r="BY613" s="77"/>
      <c r="BZ613" s="77"/>
      <c r="CA613" s="77"/>
      <c r="CB613" s="77"/>
      <c r="CC613" s="77"/>
      <c r="CD613" s="77"/>
      <c r="CE613" s="77"/>
      <c r="CF613" s="77"/>
      <c r="CG613" s="77"/>
      <c r="CH613" s="77"/>
      <c r="CI613" s="77"/>
      <c r="CJ613" s="77"/>
      <c r="CK613" s="77"/>
      <c r="CL613" s="77"/>
      <c r="CM613" s="77"/>
      <c r="CN613" s="77"/>
      <c r="CO613" s="77"/>
      <c r="CP613" s="77"/>
      <c r="CQ613" s="77"/>
      <c r="CR613" s="77"/>
      <c r="CS613" s="77"/>
      <c r="CT613" s="77"/>
      <c r="CU613" s="77"/>
      <c r="CV613" s="77"/>
      <c r="CW613" s="77"/>
    </row>
    <row r="614" spans="1:101" ht="16.5" x14ac:dyDescent="0.45">
      <c r="A614" s="76"/>
      <c r="B614" s="77"/>
      <c r="C614" s="77"/>
      <c r="D614" s="78"/>
      <c r="E614" s="80"/>
      <c r="F614" s="80"/>
      <c r="G614" s="81"/>
      <c r="H614" s="81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82"/>
      <c r="Z614" s="82"/>
      <c r="AA614" s="82"/>
      <c r="AB614" s="80"/>
      <c r="AC614" s="77"/>
      <c r="AD614" s="77"/>
      <c r="AE614" s="77"/>
      <c r="AF614" s="77"/>
      <c r="AG614" s="77"/>
      <c r="AH614" s="77"/>
      <c r="AI614" s="92"/>
      <c r="AJ614" s="77"/>
      <c r="AK614" s="77"/>
      <c r="AL614" s="77"/>
      <c r="AM614" s="77"/>
      <c r="AN614" s="77"/>
      <c r="AO614" s="77"/>
      <c r="AP614" s="76"/>
      <c r="AQ614" s="81"/>
      <c r="AR614" s="76"/>
      <c r="AS614" s="81"/>
      <c r="AT614" s="76"/>
      <c r="AU614" s="81"/>
      <c r="AV614" s="77"/>
      <c r="AW614" s="81"/>
      <c r="AX614" s="77"/>
      <c r="AY614" s="81"/>
      <c r="AZ614" s="77"/>
      <c r="BA614" s="81"/>
      <c r="BB614" s="77"/>
      <c r="BC614" s="81"/>
      <c r="BD614" s="77"/>
      <c r="BE614" s="81"/>
      <c r="BF614" s="77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77"/>
      <c r="BU614" s="77"/>
      <c r="BV614" s="77"/>
      <c r="BW614" s="77"/>
      <c r="BX614" s="77"/>
      <c r="BY614" s="77"/>
      <c r="BZ614" s="77"/>
      <c r="CA614" s="77"/>
      <c r="CB614" s="77"/>
      <c r="CC614" s="77"/>
      <c r="CD614" s="77"/>
      <c r="CE614" s="77"/>
      <c r="CF614" s="77"/>
      <c r="CG614" s="77"/>
      <c r="CH614" s="77"/>
      <c r="CI614" s="77"/>
      <c r="CJ614" s="77"/>
      <c r="CK614" s="77"/>
      <c r="CL614" s="77"/>
      <c r="CM614" s="77"/>
      <c r="CN614" s="77"/>
      <c r="CO614" s="77"/>
      <c r="CP614" s="77"/>
      <c r="CQ614" s="77"/>
      <c r="CR614" s="77"/>
      <c r="CS614" s="77"/>
      <c r="CT614" s="77"/>
      <c r="CU614" s="77"/>
      <c r="CV614" s="77"/>
      <c r="CW614" s="77"/>
    </row>
    <row r="615" spans="1:101" ht="16.5" x14ac:dyDescent="0.45">
      <c r="A615" s="76"/>
      <c r="B615" s="77"/>
      <c r="C615" s="77"/>
      <c r="D615" s="78"/>
      <c r="E615" s="80"/>
      <c r="F615" s="80"/>
      <c r="G615" s="81"/>
      <c r="H615" s="81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82"/>
      <c r="Z615" s="82"/>
      <c r="AA615" s="82"/>
      <c r="AB615" s="80"/>
      <c r="AC615" s="77"/>
      <c r="AD615" s="77"/>
      <c r="AE615" s="77"/>
      <c r="AF615" s="77"/>
      <c r="AG615" s="77"/>
      <c r="AH615" s="77"/>
      <c r="AI615" s="92"/>
      <c r="AJ615" s="77"/>
      <c r="AK615" s="77"/>
      <c r="AL615" s="77"/>
      <c r="AM615" s="77"/>
      <c r="AN615" s="77"/>
      <c r="AO615" s="77"/>
      <c r="AP615" s="76"/>
      <c r="AQ615" s="81"/>
      <c r="AR615" s="76"/>
      <c r="AS615" s="81"/>
      <c r="AT615" s="76"/>
      <c r="AU615" s="81"/>
      <c r="AV615" s="77"/>
      <c r="AW615" s="81"/>
      <c r="AX615" s="77"/>
      <c r="AY615" s="81"/>
      <c r="AZ615" s="77"/>
      <c r="BA615" s="81"/>
      <c r="BB615" s="77"/>
      <c r="BC615" s="81"/>
      <c r="BD615" s="77"/>
      <c r="BE615" s="81"/>
      <c r="BF615" s="77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77"/>
      <c r="BU615" s="77"/>
      <c r="BV615" s="77"/>
      <c r="BW615" s="77"/>
      <c r="BX615" s="77"/>
      <c r="BY615" s="77"/>
      <c r="BZ615" s="77"/>
      <c r="CA615" s="77"/>
      <c r="CB615" s="77"/>
      <c r="CC615" s="77"/>
      <c r="CD615" s="77"/>
      <c r="CE615" s="77"/>
      <c r="CF615" s="77"/>
      <c r="CG615" s="77"/>
      <c r="CH615" s="77"/>
      <c r="CI615" s="77"/>
      <c r="CJ615" s="77"/>
      <c r="CK615" s="77"/>
      <c r="CL615" s="77"/>
      <c r="CM615" s="77"/>
      <c r="CN615" s="77"/>
      <c r="CO615" s="77"/>
      <c r="CP615" s="77"/>
      <c r="CQ615" s="77"/>
      <c r="CR615" s="77"/>
      <c r="CS615" s="77"/>
      <c r="CT615" s="77"/>
      <c r="CU615" s="77"/>
      <c r="CV615" s="77"/>
      <c r="CW615" s="77"/>
    </row>
    <row r="616" spans="1:101" ht="16.5" x14ac:dyDescent="0.45">
      <c r="A616" s="76"/>
      <c r="B616" s="77"/>
      <c r="C616" s="77"/>
      <c r="D616" s="78"/>
      <c r="E616" s="80"/>
      <c r="F616" s="80"/>
      <c r="G616" s="81"/>
      <c r="H616" s="81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82"/>
      <c r="Z616" s="82"/>
      <c r="AA616" s="82"/>
      <c r="AB616" s="80"/>
      <c r="AC616" s="77"/>
      <c r="AD616" s="77"/>
      <c r="AE616" s="77"/>
      <c r="AF616" s="77"/>
      <c r="AG616" s="77"/>
      <c r="AH616" s="77"/>
      <c r="AI616" s="92"/>
      <c r="AJ616" s="77"/>
      <c r="AK616" s="77"/>
      <c r="AL616" s="77"/>
      <c r="AM616" s="77"/>
      <c r="AN616" s="77"/>
      <c r="AO616" s="77"/>
      <c r="AP616" s="76"/>
      <c r="AQ616" s="81"/>
      <c r="AR616" s="76"/>
      <c r="AS616" s="81"/>
      <c r="AT616" s="76"/>
      <c r="AU616" s="81"/>
      <c r="AV616" s="77"/>
      <c r="AW616" s="81"/>
      <c r="AX616" s="77"/>
      <c r="AY616" s="81"/>
      <c r="AZ616" s="77"/>
      <c r="BA616" s="81"/>
      <c r="BB616" s="77"/>
      <c r="BC616" s="81"/>
      <c r="BD616" s="77"/>
      <c r="BE616" s="81"/>
      <c r="BF616" s="77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77"/>
      <c r="BU616" s="77"/>
      <c r="BV616" s="77"/>
      <c r="BW616" s="77"/>
      <c r="BX616" s="77"/>
      <c r="BY616" s="77"/>
      <c r="BZ616" s="77"/>
      <c r="CA616" s="77"/>
      <c r="CB616" s="77"/>
      <c r="CC616" s="77"/>
      <c r="CD616" s="77"/>
      <c r="CE616" s="77"/>
      <c r="CF616" s="77"/>
      <c r="CG616" s="77"/>
      <c r="CH616" s="77"/>
      <c r="CI616" s="77"/>
      <c r="CJ616" s="77"/>
      <c r="CK616" s="77"/>
      <c r="CL616" s="77"/>
      <c r="CM616" s="77"/>
      <c r="CN616" s="77"/>
      <c r="CO616" s="77"/>
      <c r="CP616" s="77"/>
      <c r="CQ616" s="77"/>
      <c r="CR616" s="77"/>
      <c r="CS616" s="77"/>
      <c r="CT616" s="77"/>
      <c r="CU616" s="77"/>
      <c r="CV616" s="77"/>
      <c r="CW616" s="77"/>
    </row>
    <row r="617" spans="1:101" ht="16.5" x14ac:dyDescent="0.45">
      <c r="A617" s="76"/>
      <c r="B617" s="77"/>
      <c r="C617" s="77"/>
      <c r="D617" s="78"/>
      <c r="E617" s="80"/>
      <c r="F617" s="80"/>
      <c r="G617" s="81"/>
      <c r="H617" s="81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82"/>
      <c r="Z617" s="82"/>
      <c r="AA617" s="82"/>
      <c r="AB617" s="80"/>
      <c r="AC617" s="77"/>
      <c r="AD617" s="77"/>
      <c r="AE617" s="77"/>
      <c r="AF617" s="77"/>
      <c r="AG617" s="77"/>
      <c r="AH617" s="77"/>
      <c r="AI617" s="92"/>
      <c r="AJ617" s="77"/>
      <c r="AK617" s="77"/>
      <c r="AL617" s="77"/>
      <c r="AM617" s="77"/>
      <c r="AN617" s="77"/>
      <c r="AO617" s="77"/>
      <c r="AP617" s="76"/>
      <c r="AQ617" s="81"/>
      <c r="AR617" s="76"/>
      <c r="AS617" s="81"/>
      <c r="AT617" s="76"/>
      <c r="AU617" s="81"/>
      <c r="AV617" s="77"/>
      <c r="AW617" s="81"/>
      <c r="AX617" s="77"/>
      <c r="AY617" s="81"/>
      <c r="AZ617" s="77"/>
      <c r="BA617" s="81"/>
      <c r="BB617" s="77"/>
      <c r="BC617" s="81"/>
      <c r="BD617" s="77"/>
      <c r="BE617" s="81"/>
      <c r="BF617" s="77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77"/>
      <c r="BU617" s="77"/>
      <c r="BV617" s="77"/>
      <c r="BW617" s="77"/>
      <c r="BX617" s="77"/>
      <c r="BY617" s="77"/>
      <c r="BZ617" s="77"/>
      <c r="CA617" s="77"/>
      <c r="CB617" s="77"/>
      <c r="CC617" s="77"/>
      <c r="CD617" s="77"/>
      <c r="CE617" s="77"/>
      <c r="CF617" s="77"/>
      <c r="CG617" s="77"/>
      <c r="CH617" s="77"/>
      <c r="CI617" s="77"/>
      <c r="CJ617" s="77"/>
      <c r="CK617" s="77"/>
      <c r="CL617" s="77"/>
      <c r="CM617" s="77"/>
      <c r="CN617" s="77"/>
      <c r="CO617" s="77"/>
      <c r="CP617" s="77"/>
      <c r="CQ617" s="77"/>
      <c r="CR617" s="77"/>
      <c r="CS617" s="77"/>
      <c r="CT617" s="77"/>
      <c r="CU617" s="77"/>
      <c r="CV617" s="77"/>
      <c r="CW617" s="77"/>
    </row>
    <row r="618" spans="1:101" ht="16.5" x14ac:dyDescent="0.45">
      <c r="A618" s="76"/>
      <c r="B618" s="77"/>
      <c r="C618" s="77"/>
      <c r="D618" s="78"/>
      <c r="E618" s="80"/>
      <c r="F618" s="80"/>
      <c r="G618" s="81"/>
      <c r="H618" s="81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82"/>
      <c r="Z618" s="82"/>
      <c r="AA618" s="82"/>
      <c r="AB618" s="80"/>
      <c r="AC618" s="77"/>
      <c r="AD618" s="77"/>
      <c r="AE618" s="77"/>
      <c r="AF618" s="77"/>
      <c r="AG618" s="77"/>
      <c r="AH618" s="77"/>
      <c r="AI618" s="92"/>
      <c r="AJ618" s="77"/>
      <c r="AK618" s="77"/>
      <c r="AL618" s="77"/>
      <c r="AM618" s="77"/>
      <c r="AN618" s="77"/>
      <c r="AO618" s="77"/>
      <c r="AP618" s="76"/>
      <c r="AQ618" s="81"/>
      <c r="AR618" s="76"/>
      <c r="AS618" s="81"/>
      <c r="AT618" s="76"/>
      <c r="AU618" s="81"/>
      <c r="AV618" s="77"/>
      <c r="AW618" s="81"/>
      <c r="AX618" s="77"/>
      <c r="AY618" s="81"/>
      <c r="AZ618" s="77"/>
      <c r="BA618" s="81"/>
      <c r="BB618" s="77"/>
      <c r="BC618" s="81"/>
      <c r="BD618" s="77"/>
      <c r="BE618" s="81"/>
      <c r="BF618" s="77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77"/>
      <c r="BU618" s="77"/>
      <c r="BV618" s="77"/>
      <c r="BW618" s="77"/>
      <c r="BX618" s="77"/>
      <c r="BY618" s="77"/>
      <c r="BZ618" s="77"/>
      <c r="CA618" s="77"/>
      <c r="CB618" s="77"/>
      <c r="CC618" s="77"/>
      <c r="CD618" s="77"/>
      <c r="CE618" s="77"/>
      <c r="CF618" s="77"/>
      <c r="CG618" s="77"/>
      <c r="CH618" s="77"/>
      <c r="CI618" s="77"/>
      <c r="CJ618" s="77"/>
      <c r="CK618" s="77"/>
      <c r="CL618" s="77"/>
      <c r="CM618" s="77"/>
      <c r="CN618" s="77"/>
      <c r="CO618" s="77"/>
      <c r="CP618" s="77"/>
      <c r="CQ618" s="77"/>
      <c r="CR618" s="77"/>
      <c r="CS618" s="77"/>
      <c r="CT618" s="77"/>
      <c r="CU618" s="77"/>
      <c r="CV618" s="77"/>
      <c r="CW618" s="77"/>
    </row>
    <row r="619" spans="1:101" ht="16.5" x14ac:dyDescent="0.45">
      <c r="A619" s="76"/>
      <c r="B619" s="77"/>
      <c r="C619" s="77"/>
      <c r="D619" s="78"/>
      <c r="E619" s="80"/>
      <c r="F619" s="80"/>
      <c r="G619" s="81"/>
      <c r="H619" s="81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82"/>
      <c r="Z619" s="82"/>
      <c r="AA619" s="82"/>
      <c r="AB619" s="80"/>
      <c r="AC619" s="77"/>
      <c r="AD619" s="77"/>
      <c r="AE619" s="77"/>
      <c r="AF619" s="77"/>
      <c r="AG619" s="77"/>
      <c r="AH619" s="77"/>
      <c r="AI619" s="92"/>
      <c r="AJ619" s="77"/>
      <c r="AK619" s="77"/>
      <c r="AL619" s="77"/>
      <c r="AM619" s="77"/>
      <c r="AN619" s="77"/>
      <c r="AO619" s="77"/>
      <c r="AP619" s="76"/>
      <c r="AQ619" s="81"/>
      <c r="AR619" s="76"/>
      <c r="AS619" s="81"/>
      <c r="AT619" s="76"/>
      <c r="AU619" s="81"/>
      <c r="AV619" s="77"/>
      <c r="AW619" s="81"/>
      <c r="AX619" s="77"/>
      <c r="AY619" s="81"/>
      <c r="AZ619" s="77"/>
      <c r="BA619" s="81"/>
      <c r="BB619" s="77"/>
      <c r="BC619" s="81"/>
      <c r="BD619" s="77"/>
      <c r="BE619" s="81"/>
      <c r="BF619" s="77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77"/>
      <c r="BU619" s="77"/>
      <c r="BV619" s="77"/>
      <c r="BW619" s="77"/>
      <c r="BX619" s="77"/>
      <c r="BY619" s="77"/>
      <c r="BZ619" s="77"/>
      <c r="CA619" s="77"/>
      <c r="CB619" s="77"/>
      <c r="CC619" s="77"/>
      <c r="CD619" s="77"/>
      <c r="CE619" s="77"/>
      <c r="CF619" s="77"/>
      <c r="CG619" s="77"/>
      <c r="CH619" s="77"/>
      <c r="CI619" s="77"/>
      <c r="CJ619" s="77"/>
      <c r="CK619" s="77"/>
      <c r="CL619" s="77"/>
      <c r="CM619" s="77"/>
      <c r="CN619" s="77"/>
      <c r="CO619" s="77"/>
      <c r="CP619" s="77"/>
      <c r="CQ619" s="77"/>
      <c r="CR619" s="77"/>
      <c r="CS619" s="77"/>
      <c r="CT619" s="77"/>
      <c r="CU619" s="77"/>
      <c r="CV619" s="77"/>
      <c r="CW619" s="77"/>
    </row>
    <row r="620" spans="1:101" ht="16.5" x14ac:dyDescent="0.45">
      <c r="A620" s="76"/>
      <c r="B620" s="77"/>
      <c r="C620" s="77"/>
      <c r="D620" s="78"/>
      <c r="E620" s="80"/>
      <c r="F620" s="80"/>
      <c r="G620" s="81"/>
      <c r="H620" s="81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82"/>
      <c r="Z620" s="82"/>
      <c r="AA620" s="82"/>
      <c r="AB620" s="80"/>
      <c r="AC620" s="77"/>
      <c r="AD620" s="77"/>
      <c r="AE620" s="77"/>
      <c r="AF620" s="77"/>
      <c r="AG620" s="77"/>
      <c r="AH620" s="77"/>
      <c r="AI620" s="92"/>
      <c r="AJ620" s="77"/>
      <c r="AK620" s="77"/>
      <c r="AL620" s="77"/>
      <c r="AM620" s="77"/>
      <c r="AN620" s="77"/>
      <c r="AO620" s="77"/>
      <c r="AP620" s="76"/>
      <c r="AQ620" s="81"/>
      <c r="AR620" s="76"/>
      <c r="AS620" s="81"/>
      <c r="AT620" s="76"/>
      <c r="AU620" s="81"/>
      <c r="AV620" s="77"/>
      <c r="AW620" s="81"/>
      <c r="AX620" s="77"/>
      <c r="AY620" s="81"/>
      <c r="AZ620" s="77"/>
      <c r="BA620" s="81"/>
      <c r="BB620" s="77"/>
      <c r="BC620" s="81"/>
      <c r="BD620" s="77"/>
      <c r="BE620" s="81"/>
      <c r="BF620" s="77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77"/>
      <c r="BU620" s="77"/>
      <c r="BV620" s="77"/>
      <c r="BW620" s="77"/>
      <c r="BX620" s="77"/>
      <c r="BY620" s="77"/>
      <c r="BZ620" s="77"/>
      <c r="CA620" s="77"/>
      <c r="CB620" s="77"/>
      <c r="CC620" s="77"/>
      <c r="CD620" s="77"/>
      <c r="CE620" s="77"/>
      <c r="CF620" s="77"/>
      <c r="CG620" s="77"/>
      <c r="CH620" s="77"/>
      <c r="CI620" s="77"/>
      <c r="CJ620" s="77"/>
      <c r="CK620" s="77"/>
      <c r="CL620" s="77"/>
      <c r="CM620" s="77"/>
      <c r="CN620" s="77"/>
      <c r="CO620" s="77"/>
      <c r="CP620" s="77"/>
      <c r="CQ620" s="77"/>
      <c r="CR620" s="77"/>
      <c r="CS620" s="77"/>
      <c r="CT620" s="77"/>
      <c r="CU620" s="77"/>
      <c r="CV620" s="77"/>
      <c r="CW620" s="77"/>
    </row>
    <row r="621" spans="1:101" ht="16.5" x14ac:dyDescent="0.45">
      <c r="A621" s="76"/>
      <c r="B621" s="77"/>
      <c r="C621" s="77"/>
      <c r="D621" s="78"/>
      <c r="E621" s="80"/>
      <c r="F621" s="80"/>
      <c r="G621" s="81"/>
      <c r="H621" s="81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82"/>
      <c r="Z621" s="82"/>
      <c r="AA621" s="82"/>
      <c r="AB621" s="80"/>
      <c r="AC621" s="77"/>
      <c r="AD621" s="77"/>
      <c r="AE621" s="77"/>
      <c r="AF621" s="77"/>
      <c r="AG621" s="77"/>
      <c r="AH621" s="77"/>
      <c r="AI621" s="92"/>
      <c r="AJ621" s="77"/>
      <c r="AK621" s="77"/>
      <c r="AL621" s="77"/>
      <c r="AM621" s="77"/>
      <c r="AN621" s="77"/>
      <c r="AO621" s="77"/>
      <c r="AP621" s="76"/>
      <c r="AQ621" s="81"/>
      <c r="AR621" s="76"/>
      <c r="AS621" s="81"/>
      <c r="AT621" s="76"/>
      <c r="AU621" s="81"/>
      <c r="AV621" s="77"/>
      <c r="AW621" s="81"/>
      <c r="AX621" s="77"/>
      <c r="AY621" s="81"/>
      <c r="AZ621" s="77"/>
      <c r="BA621" s="81"/>
      <c r="BB621" s="77"/>
      <c r="BC621" s="81"/>
      <c r="BD621" s="77"/>
      <c r="BE621" s="81"/>
      <c r="BF621" s="77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77"/>
      <c r="BU621" s="77"/>
      <c r="BV621" s="77"/>
      <c r="BW621" s="77"/>
      <c r="BX621" s="77"/>
      <c r="BY621" s="77"/>
      <c r="BZ621" s="77"/>
      <c r="CA621" s="77"/>
      <c r="CB621" s="77"/>
      <c r="CC621" s="77"/>
      <c r="CD621" s="77"/>
      <c r="CE621" s="77"/>
      <c r="CF621" s="77"/>
      <c r="CG621" s="77"/>
      <c r="CH621" s="77"/>
      <c r="CI621" s="77"/>
      <c r="CJ621" s="77"/>
      <c r="CK621" s="77"/>
      <c r="CL621" s="77"/>
      <c r="CM621" s="77"/>
      <c r="CN621" s="77"/>
      <c r="CO621" s="77"/>
      <c r="CP621" s="77"/>
      <c r="CQ621" s="77"/>
      <c r="CR621" s="77"/>
      <c r="CS621" s="77"/>
      <c r="CT621" s="77"/>
      <c r="CU621" s="77"/>
      <c r="CV621" s="77"/>
      <c r="CW621" s="77"/>
    </row>
    <row r="622" spans="1:101" ht="16.5" x14ac:dyDescent="0.45">
      <c r="A622" s="76"/>
      <c r="B622" s="77"/>
      <c r="C622" s="77"/>
      <c r="D622" s="78"/>
      <c r="E622" s="80"/>
      <c r="F622" s="80"/>
      <c r="G622" s="81"/>
      <c r="H622" s="81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82"/>
      <c r="Z622" s="82"/>
      <c r="AA622" s="82"/>
      <c r="AB622" s="80"/>
      <c r="AC622" s="77"/>
      <c r="AD622" s="77"/>
      <c r="AE622" s="77"/>
      <c r="AF622" s="77"/>
      <c r="AG622" s="77"/>
      <c r="AH622" s="77"/>
      <c r="AI622" s="92"/>
      <c r="AJ622" s="77"/>
      <c r="AK622" s="77"/>
      <c r="AL622" s="77"/>
      <c r="AM622" s="77"/>
      <c r="AN622" s="77"/>
      <c r="AO622" s="77"/>
      <c r="AP622" s="76"/>
      <c r="AQ622" s="81"/>
      <c r="AR622" s="76"/>
      <c r="AS622" s="81"/>
      <c r="AT622" s="76"/>
      <c r="AU622" s="81"/>
      <c r="AV622" s="77"/>
      <c r="AW622" s="81"/>
      <c r="AX622" s="77"/>
      <c r="AY622" s="81"/>
      <c r="AZ622" s="77"/>
      <c r="BA622" s="81"/>
      <c r="BB622" s="77"/>
      <c r="BC622" s="81"/>
      <c r="BD622" s="77"/>
      <c r="BE622" s="81"/>
      <c r="BF622" s="77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77"/>
      <c r="BU622" s="77"/>
      <c r="BV622" s="77"/>
      <c r="BW622" s="77"/>
      <c r="BX622" s="77"/>
      <c r="BY622" s="77"/>
      <c r="BZ622" s="77"/>
      <c r="CA622" s="77"/>
      <c r="CB622" s="77"/>
      <c r="CC622" s="77"/>
      <c r="CD622" s="77"/>
      <c r="CE622" s="77"/>
      <c r="CF622" s="77"/>
      <c r="CG622" s="77"/>
      <c r="CH622" s="77"/>
      <c r="CI622" s="77"/>
      <c r="CJ622" s="77"/>
      <c r="CK622" s="77"/>
      <c r="CL622" s="77"/>
      <c r="CM622" s="77"/>
      <c r="CN622" s="77"/>
      <c r="CO622" s="77"/>
      <c r="CP622" s="77"/>
      <c r="CQ622" s="77"/>
      <c r="CR622" s="77"/>
      <c r="CS622" s="77"/>
      <c r="CT622" s="77"/>
      <c r="CU622" s="77"/>
      <c r="CV622" s="77"/>
      <c r="CW622" s="77"/>
    </row>
    <row r="623" spans="1:101" ht="16.5" x14ac:dyDescent="0.45">
      <c r="A623" s="76"/>
      <c r="B623" s="77"/>
      <c r="C623" s="77"/>
      <c r="D623" s="78"/>
      <c r="E623" s="80"/>
      <c r="F623" s="80"/>
      <c r="G623" s="81"/>
      <c r="H623" s="81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82"/>
      <c r="Z623" s="82"/>
      <c r="AA623" s="82"/>
      <c r="AB623" s="80"/>
      <c r="AC623" s="77"/>
      <c r="AD623" s="77"/>
      <c r="AE623" s="77"/>
      <c r="AF623" s="77"/>
      <c r="AG623" s="77"/>
      <c r="AH623" s="77"/>
      <c r="AI623" s="92"/>
      <c r="AJ623" s="77"/>
      <c r="AK623" s="77"/>
      <c r="AL623" s="77"/>
      <c r="AM623" s="77"/>
      <c r="AN623" s="77"/>
      <c r="AO623" s="77"/>
      <c r="AP623" s="76"/>
      <c r="AQ623" s="81"/>
      <c r="AR623" s="76"/>
      <c r="AS623" s="81"/>
      <c r="AT623" s="76"/>
      <c r="AU623" s="81"/>
      <c r="AV623" s="77"/>
      <c r="AW623" s="81"/>
      <c r="AX623" s="77"/>
      <c r="AY623" s="81"/>
      <c r="AZ623" s="77"/>
      <c r="BA623" s="81"/>
      <c r="BB623" s="77"/>
      <c r="BC623" s="81"/>
      <c r="BD623" s="77"/>
      <c r="BE623" s="81"/>
      <c r="BF623" s="77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77"/>
      <c r="BU623" s="77"/>
      <c r="BV623" s="77"/>
      <c r="BW623" s="77"/>
      <c r="BX623" s="77"/>
      <c r="BY623" s="77"/>
      <c r="BZ623" s="77"/>
      <c r="CA623" s="77"/>
      <c r="CB623" s="77"/>
      <c r="CC623" s="77"/>
      <c r="CD623" s="77"/>
      <c r="CE623" s="77"/>
      <c r="CF623" s="77"/>
      <c r="CG623" s="77"/>
      <c r="CH623" s="77"/>
      <c r="CI623" s="77"/>
      <c r="CJ623" s="77"/>
      <c r="CK623" s="77"/>
      <c r="CL623" s="77"/>
      <c r="CM623" s="77"/>
      <c r="CN623" s="77"/>
      <c r="CO623" s="77"/>
      <c r="CP623" s="77"/>
      <c r="CQ623" s="77"/>
      <c r="CR623" s="77"/>
      <c r="CS623" s="77"/>
      <c r="CT623" s="77"/>
      <c r="CU623" s="77"/>
      <c r="CV623" s="77"/>
      <c r="CW623" s="77"/>
    </row>
    <row r="624" spans="1:101" ht="16.5" x14ac:dyDescent="0.45">
      <c r="A624" s="76"/>
      <c r="B624" s="77"/>
      <c r="C624" s="77"/>
      <c r="D624" s="78"/>
      <c r="E624" s="80"/>
      <c r="F624" s="80"/>
      <c r="G624" s="81"/>
      <c r="H624" s="81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82"/>
      <c r="Z624" s="82"/>
      <c r="AA624" s="82"/>
      <c r="AB624" s="80"/>
      <c r="AC624" s="77"/>
      <c r="AD624" s="77"/>
      <c r="AE624" s="77"/>
      <c r="AF624" s="77"/>
      <c r="AG624" s="77"/>
      <c r="AH624" s="77"/>
      <c r="AI624" s="92"/>
      <c r="AJ624" s="77"/>
      <c r="AK624" s="77"/>
      <c r="AL624" s="77"/>
      <c r="AM624" s="77"/>
      <c r="AN624" s="77"/>
      <c r="AO624" s="77"/>
      <c r="AP624" s="76"/>
      <c r="AQ624" s="81"/>
      <c r="AR624" s="76"/>
      <c r="AS624" s="81"/>
      <c r="AT624" s="76"/>
      <c r="AU624" s="81"/>
      <c r="AV624" s="77"/>
      <c r="AW624" s="81"/>
      <c r="AX624" s="77"/>
      <c r="AY624" s="81"/>
      <c r="AZ624" s="77"/>
      <c r="BA624" s="81"/>
      <c r="BB624" s="77"/>
      <c r="BC624" s="81"/>
      <c r="BD624" s="77"/>
      <c r="BE624" s="81"/>
      <c r="BF624" s="77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</row>
    <row r="625" spans="1:101" ht="16.5" x14ac:dyDescent="0.45">
      <c r="A625" s="76"/>
      <c r="B625" s="77"/>
      <c r="C625" s="77"/>
      <c r="D625" s="78"/>
      <c r="E625" s="80"/>
      <c r="F625" s="80"/>
      <c r="G625" s="81"/>
      <c r="H625" s="81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82"/>
      <c r="Z625" s="82"/>
      <c r="AA625" s="82"/>
      <c r="AB625" s="80"/>
      <c r="AC625" s="77"/>
      <c r="AD625" s="77"/>
      <c r="AE625" s="77"/>
      <c r="AF625" s="77"/>
      <c r="AG625" s="77"/>
      <c r="AH625" s="77"/>
      <c r="AI625" s="92"/>
      <c r="AJ625" s="77"/>
      <c r="AK625" s="77"/>
      <c r="AL625" s="77"/>
      <c r="AM625" s="77"/>
      <c r="AN625" s="77"/>
      <c r="AO625" s="77"/>
      <c r="AP625" s="76"/>
      <c r="AQ625" s="81"/>
      <c r="AR625" s="76"/>
      <c r="AS625" s="81"/>
      <c r="AT625" s="76"/>
      <c r="AU625" s="81"/>
      <c r="AV625" s="77"/>
      <c r="AW625" s="81"/>
      <c r="AX625" s="77"/>
      <c r="AY625" s="81"/>
      <c r="AZ625" s="77"/>
      <c r="BA625" s="81"/>
      <c r="BB625" s="77"/>
      <c r="BC625" s="81"/>
      <c r="BD625" s="77"/>
      <c r="BE625" s="81"/>
      <c r="BF625" s="77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77"/>
      <c r="BU625" s="77"/>
      <c r="BV625" s="77"/>
      <c r="BW625" s="77"/>
      <c r="BX625" s="77"/>
      <c r="BY625" s="77"/>
      <c r="BZ625" s="77"/>
      <c r="CA625" s="77"/>
      <c r="CB625" s="77"/>
      <c r="CC625" s="77"/>
      <c r="CD625" s="77"/>
      <c r="CE625" s="77"/>
      <c r="CF625" s="77"/>
      <c r="CG625" s="77"/>
      <c r="CH625" s="77"/>
      <c r="CI625" s="77"/>
      <c r="CJ625" s="77"/>
      <c r="CK625" s="77"/>
      <c r="CL625" s="77"/>
      <c r="CM625" s="77"/>
      <c r="CN625" s="77"/>
      <c r="CO625" s="77"/>
      <c r="CP625" s="77"/>
      <c r="CQ625" s="77"/>
      <c r="CR625" s="77"/>
      <c r="CS625" s="77"/>
      <c r="CT625" s="77"/>
      <c r="CU625" s="77"/>
      <c r="CV625" s="77"/>
      <c r="CW625" s="77"/>
    </row>
    <row r="626" spans="1:101" ht="16.5" x14ac:dyDescent="0.45">
      <c r="A626" s="76"/>
      <c r="B626" s="77"/>
      <c r="C626" s="77"/>
      <c r="D626" s="78"/>
      <c r="E626" s="80"/>
      <c r="F626" s="80"/>
      <c r="G626" s="81"/>
      <c r="H626" s="81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82"/>
      <c r="Z626" s="82"/>
      <c r="AA626" s="82"/>
      <c r="AB626" s="80"/>
      <c r="AC626" s="77"/>
      <c r="AD626" s="77"/>
      <c r="AE626" s="77"/>
      <c r="AF626" s="77"/>
      <c r="AG626" s="77"/>
      <c r="AH626" s="77"/>
      <c r="AI626" s="92"/>
      <c r="AJ626" s="77"/>
      <c r="AK626" s="77"/>
      <c r="AL626" s="77"/>
      <c r="AM626" s="77"/>
      <c r="AN626" s="77"/>
      <c r="AO626" s="77"/>
      <c r="AP626" s="76"/>
      <c r="AQ626" s="81"/>
      <c r="AR626" s="76"/>
      <c r="AS626" s="81"/>
      <c r="AT626" s="76"/>
      <c r="AU626" s="81"/>
      <c r="AV626" s="77"/>
      <c r="AW626" s="81"/>
      <c r="AX626" s="77"/>
      <c r="AY626" s="81"/>
      <c r="AZ626" s="77"/>
      <c r="BA626" s="81"/>
      <c r="BB626" s="77"/>
      <c r="BC626" s="81"/>
      <c r="BD626" s="77"/>
      <c r="BE626" s="81"/>
      <c r="BF626" s="77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77"/>
      <c r="BU626" s="77"/>
      <c r="BV626" s="77"/>
      <c r="BW626" s="77"/>
      <c r="BX626" s="77"/>
      <c r="BY626" s="77"/>
      <c r="BZ626" s="77"/>
      <c r="CA626" s="77"/>
      <c r="CB626" s="77"/>
      <c r="CC626" s="77"/>
      <c r="CD626" s="77"/>
      <c r="CE626" s="77"/>
      <c r="CF626" s="77"/>
      <c r="CG626" s="77"/>
      <c r="CH626" s="77"/>
      <c r="CI626" s="77"/>
      <c r="CJ626" s="77"/>
      <c r="CK626" s="77"/>
      <c r="CL626" s="77"/>
      <c r="CM626" s="77"/>
      <c r="CN626" s="77"/>
      <c r="CO626" s="77"/>
      <c r="CP626" s="77"/>
      <c r="CQ626" s="77"/>
      <c r="CR626" s="77"/>
      <c r="CS626" s="77"/>
      <c r="CT626" s="77"/>
      <c r="CU626" s="77"/>
      <c r="CV626" s="77"/>
      <c r="CW626" s="77"/>
    </row>
    <row r="627" spans="1:101" ht="16.5" x14ac:dyDescent="0.45">
      <c r="A627" s="76"/>
      <c r="B627" s="77"/>
      <c r="C627" s="77"/>
      <c r="D627" s="78"/>
      <c r="E627" s="80"/>
      <c r="F627" s="80"/>
      <c r="G627" s="81"/>
      <c r="H627" s="81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82"/>
      <c r="Z627" s="82"/>
      <c r="AA627" s="82"/>
      <c r="AB627" s="80"/>
      <c r="AC627" s="77"/>
      <c r="AD627" s="77"/>
      <c r="AE627" s="77"/>
      <c r="AF627" s="77"/>
      <c r="AG627" s="77"/>
      <c r="AH627" s="77"/>
      <c r="AI627" s="92"/>
      <c r="AJ627" s="77"/>
      <c r="AK627" s="77"/>
      <c r="AL627" s="77"/>
      <c r="AM627" s="77"/>
      <c r="AN627" s="77"/>
      <c r="AO627" s="77"/>
      <c r="AP627" s="76"/>
      <c r="AQ627" s="81"/>
      <c r="AR627" s="76"/>
      <c r="AS627" s="81"/>
      <c r="AT627" s="76"/>
      <c r="AU627" s="81"/>
      <c r="AV627" s="77"/>
      <c r="AW627" s="81"/>
      <c r="AX627" s="77"/>
      <c r="AY627" s="81"/>
      <c r="AZ627" s="77"/>
      <c r="BA627" s="81"/>
      <c r="BB627" s="77"/>
      <c r="BC627" s="81"/>
      <c r="BD627" s="77"/>
      <c r="BE627" s="81"/>
      <c r="BF627" s="77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77"/>
      <c r="BU627" s="77"/>
      <c r="BV627" s="77"/>
      <c r="BW627" s="77"/>
      <c r="BX627" s="77"/>
      <c r="BY627" s="77"/>
      <c r="BZ627" s="77"/>
      <c r="CA627" s="77"/>
      <c r="CB627" s="77"/>
      <c r="CC627" s="77"/>
      <c r="CD627" s="77"/>
      <c r="CE627" s="77"/>
      <c r="CF627" s="77"/>
      <c r="CG627" s="77"/>
      <c r="CH627" s="77"/>
      <c r="CI627" s="77"/>
      <c r="CJ627" s="77"/>
      <c r="CK627" s="77"/>
      <c r="CL627" s="77"/>
      <c r="CM627" s="77"/>
      <c r="CN627" s="77"/>
      <c r="CO627" s="77"/>
      <c r="CP627" s="77"/>
      <c r="CQ627" s="77"/>
      <c r="CR627" s="77"/>
      <c r="CS627" s="77"/>
      <c r="CT627" s="77"/>
      <c r="CU627" s="77"/>
      <c r="CV627" s="77"/>
      <c r="CW627" s="77"/>
    </row>
    <row r="628" spans="1:101" ht="16.5" x14ac:dyDescent="0.45">
      <c r="A628" s="76"/>
      <c r="B628" s="77"/>
      <c r="C628" s="77"/>
      <c r="D628" s="78"/>
      <c r="E628" s="80"/>
      <c r="F628" s="80"/>
      <c r="G628" s="81"/>
      <c r="H628" s="81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82"/>
      <c r="Z628" s="82"/>
      <c r="AA628" s="82"/>
      <c r="AB628" s="80"/>
      <c r="AC628" s="77"/>
      <c r="AD628" s="77"/>
      <c r="AE628" s="77"/>
      <c r="AF628" s="77"/>
      <c r="AG628" s="77"/>
      <c r="AH628" s="77"/>
      <c r="AI628" s="92"/>
      <c r="AJ628" s="77"/>
      <c r="AK628" s="77"/>
      <c r="AL628" s="77"/>
      <c r="AM628" s="77"/>
      <c r="AN628" s="77"/>
      <c r="AO628" s="77"/>
      <c r="AP628" s="76"/>
      <c r="AQ628" s="81"/>
      <c r="AR628" s="76"/>
      <c r="AS628" s="81"/>
      <c r="AT628" s="76"/>
      <c r="AU628" s="81"/>
      <c r="AV628" s="77"/>
      <c r="AW628" s="81"/>
      <c r="AX628" s="77"/>
      <c r="AY628" s="81"/>
      <c r="AZ628" s="77"/>
      <c r="BA628" s="81"/>
      <c r="BB628" s="77"/>
      <c r="BC628" s="81"/>
      <c r="BD628" s="77"/>
      <c r="BE628" s="81"/>
      <c r="BF628" s="77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77"/>
      <c r="BU628" s="77"/>
      <c r="BV628" s="77"/>
      <c r="BW628" s="77"/>
      <c r="BX628" s="77"/>
      <c r="BY628" s="77"/>
      <c r="BZ628" s="77"/>
      <c r="CA628" s="77"/>
      <c r="CB628" s="77"/>
      <c r="CC628" s="77"/>
      <c r="CD628" s="77"/>
      <c r="CE628" s="77"/>
      <c r="CF628" s="77"/>
      <c r="CG628" s="77"/>
      <c r="CH628" s="77"/>
      <c r="CI628" s="77"/>
      <c r="CJ628" s="77"/>
      <c r="CK628" s="77"/>
      <c r="CL628" s="77"/>
      <c r="CM628" s="77"/>
      <c r="CN628" s="77"/>
      <c r="CO628" s="77"/>
      <c r="CP628" s="77"/>
      <c r="CQ628" s="77"/>
      <c r="CR628" s="77"/>
      <c r="CS628" s="77"/>
      <c r="CT628" s="77"/>
      <c r="CU628" s="77"/>
      <c r="CV628" s="77"/>
      <c r="CW628" s="77"/>
    </row>
    <row r="629" spans="1:101" ht="16.5" x14ac:dyDescent="0.45">
      <c r="A629" s="76"/>
      <c r="B629" s="77"/>
      <c r="C629" s="77"/>
      <c r="D629" s="78"/>
      <c r="E629" s="80"/>
      <c r="F629" s="80"/>
      <c r="G629" s="81"/>
      <c r="H629" s="81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82"/>
      <c r="Z629" s="82"/>
      <c r="AA629" s="82"/>
      <c r="AB629" s="80"/>
      <c r="AC629" s="77"/>
      <c r="AD629" s="77"/>
      <c r="AE629" s="77"/>
      <c r="AF629" s="77"/>
      <c r="AG629" s="77"/>
      <c r="AH629" s="77"/>
      <c r="AI629" s="92"/>
      <c r="AJ629" s="77"/>
      <c r="AK629" s="77"/>
      <c r="AL629" s="77"/>
      <c r="AM629" s="77"/>
      <c r="AN629" s="77"/>
      <c r="AO629" s="77"/>
      <c r="AP629" s="76"/>
      <c r="AQ629" s="81"/>
      <c r="AR629" s="76"/>
      <c r="AS629" s="81"/>
      <c r="AT629" s="76"/>
      <c r="AU629" s="81"/>
      <c r="AV629" s="77"/>
      <c r="AW629" s="81"/>
      <c r="AX629" s="77"/>
      <c r="AY629" s="81"/>
      <c r="AZ629" s="77"/>
      <c r="BA629" s="81"/>
      <c r="BB629" s="77"/>
      <c r="BC629" s="81"/>
      <c r="BD629" s="77"/>
      <c r="BE629" s="81"/>
      <c r="BF629" s="77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77"/>
      <c r="BU629" s="77"/>
      <c r="BV629" s="77"/>
      <c r="BW629" s="77"/>
      <c r="BX629" s="77"/>
      <c r="BY629" s="77"/>
      <c r="BZ629" s="77"/>
      <c r="CA629" s="77"/>
      <c r="CB629" s="77"/>
      <c r="CC629" s="77"/>
      <c r="CD629" s="77"/>
      <c r="CE629" s="77"/>
      <c r="CF629" s="77"/>
      <c r="CG629" s="77"/>
      <c r="CH629" s="77"/>
      <c r="CI629" s="77"/>
      <c r="CJ629" s="77"/>
      <c r="CK629" s="77"/>
      <c r="CL629" s="77"/>
      <c r="CM629" s="77"/>
      <c r="CN629" s="77"/>
      <c r="CO629" s="77"/>
      <c r="CP629" s="77"/>
      <c r="CQ629" s="77"/>
      <c r="CR629" s="77"/>
      <c r="CS629" s="77"/>
      <c r="CT629" s="77"/>
      <c r="CU629" s="77"/>
      <c r="CV629" s="77"/>
      <c r="CW629" s="77"/>
    </row>
    <row r="630" spans="1:101" ht="16.5" x14ac:dyDescent="0.45">
      <c r="A630" s="76"/>
      <c r="B630" s="77"/>
      <c r="C630" s="77"/>
      <c r="D630" s="78"/>
      <c r="E630" s="80"/>
      <c r="F630" s="80"/>
      <c r="G630" s="81"/>
      <c r="H630" s="81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82"/>
      <c r="Z630" s="82"/>
      <c r="AA630" s="82"/>
      <c r="AB630" s="80"/>
      <c r="AC630" s="77"/>
      <c r="AD630" s="77"/>
      <c r="AE630" s="77"/>
      <c r="AF630" s="77"/>
      <c r="AG630" s="77"/>
      <c r="AH630" s="77"/>
      <c r="AI630" s="92"/>
      <c r="AJ630" s="77"/>
      <c r="AK630" s="77"/>
      <c r="AL630" s="77"/>
      <c r="AM630" s="77"/>
      <c r="AN630" s="77"/>
      <c r="AO630" s="77"/>
      <c r="AP630" s="76"/>
      <c r="AQ630" s="81"/>
      <c r="AR630" s="76"/>
      <c r="AS630" s="81"/>
      <c r="AT630" s="76"/>
      <c r="AU630" s="81"/>
      <c r="AV630" s="77"/>
      <c r="AW630" s="81"/>
      <c r="AX630" s="77"/>
      <c r="AY630" s="81"/>
      <c r="AZ630" s="77"/>
      <c r="BA630" s="81"/>
      <c r="BB630" s="77"/>
      <c r="BC630" s="81"/>
      <c r="BD630" s="77"/>
      <c r="BE630" s="81"/>
      <c r="BF630" s="77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77"/>
      <c r="BU630" s="77"/>
      <c r="BV630" s="77"/>
      <c r="BW630" s="77"/>
      <c r="BX630" s="77"/>
      <c r="BY630" s="77"/>
      <c r="BZ630" s="77"/>
      <c r="CA630" s="77"/>
      <c r="CB630" s="77"/>
      <c r="CC630" s="77"/>
      <c r="CD630" s="77"/>
      <c r="CE630" s="77"/>
      <c r="CF630" s="77"/>
      <c r="CG630" s="77"/>
      <c r="CH630" s="77"/>
      <c r="CI630" s="77"/>
      <c r="CJ630" s="77"/>
      <c r="CK630" s="77"/>
      <c r="CL630" s="77"/>
      <c r="CM630" s="77"/>
      <c r="CN630" s="77"/>
      <c r="CO630" s="77"/>
      <c r="CP630" s="77"/>
      <c r="CQ630" s="77"/>
      <c r="CR630" s="77"/>
      <c r="CS630" s="77"/>
      <c r="CT630" s="77"/>
      <c r="CU630" s="77"/>
      <c r="CV630" s="77"/>
      <c r="CW630" s="77"/>
    </row>
    <row r="631" spans="1:101" ht="16.5" x14ac:dyDescent="0.45">
      <c r="A631" s="76"/>
      <c r="B631" s="77"/>
      <c r="C631" s="77"/>
      <c r="D631" s="78"/>
      <c r="E631" s="80"/>
      <c r="F631" s="80"/>
      <c r="G631" s="81"/>
      <c r="H631" s="81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82"/>
      <c r="Z631" s="82"/>
      <c r="AA631" s="82"/>
      <c r="AB631" s="80"/>
      <c r="AC631" s="77"/>
      <c r="AD631" s="77"/>
      <c r="AE631" s="77"/>
      <c r="AF631" s="77"/>
      <c r="AG631" s="77"/>
      <c r="AH631" s="77"/>
      <c r="AI631" s="92"/>
      <c r="AJ631" s="77"/>
      <c r="AK631" s="77"/>
      <c r="AL631" s="77"/>
      <c r="AM631" s="77"/>
      <c r="AN631" s="77"/>
      <c r="AO631" s="77"/>
      <c r="AP631" s="76"/>
      <c r="AQ631" s="81"/>
      <c r="AR631" s="76"/>
      <c r="AS631" s="81"/>
      <c r="AT631" s="76"/>
      <c r="AU631" s="81"/>
      <c r="AV631" s="77"/>
      <c r="AW631" s="81"/>
      <c r="AX631" s="77"/>
      <c r="AY631" s="81"/>
      <c r="AZ631" s="77"/>
      <c r="BA631" s="81"/>
      <c r="BB631" s="77"/>
      <c r="BC631" s="81"/>
      <c r="BD631" s="77"/>
      <c r="BE631" s="81"/>
      <c r="BF631" s="77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77"/>
      <c r="BU631" s="77"/>
      <c r="BV631" s="77"/>
      <c r="BW631" s="77"/>
      <c r="BX631" s="77"/>
      <c r="BY631" s="77"/>
      <c r="BZ631" s="77"/>
      <c r="CA631" s="77"/>
      <c r="CB631" s="77"/>
      <c r="CC631" s="77"/>
      <c r="CD631" s="77"/>
      <c r="CE631" s="77"/>
      <c r="CF631" s="77"/>
      <c r="CG631" s="77"/>
      <c r="CH631" s="77"/>
      <c r="CI631" s="77"/>
      <c r="CJ631" s="77"/>
      <c r="CK631" s="77"/>
      <c r="CL631" s="77"/>
      <c r="CM631" s="77"/>
      <c r="CN631" s="77"/>
      <c r="CO631" s="77"/>
      <c r="CP631" s="77"/>
      <c r="CQ631" s="77"/>
      <c r="CR631" s="77"/>
      <c r="CS631" s="77"/>
      <c r="CT631" s="77"/>
      <c r="CU631" s="77"/>
      <c r="CV631" s="77"/>
      <c r="CW631" s="77"/>
    </row>
    <row r="632" spans="1:101" ht="16.5" x14ac:dyDescent="0.45">
      <c r="A632" s="76"/>
      <c r="B632" s="77"/>
      <c r="C632" s="77"/>
      <c r="D632" s="78"/>
      <c r="E632" s="80"/>
      <c r="F632" s="80"/>
      <c r="G632" s="81"/>
      <c r="H632" s="81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82"/>
      <c r="Z632" s="82"/>
      <c r="AA632" s="82"/>
      <c r="AB632" s="80"/>
      <c r="AC632" s="77"/>
      <c r="AD632" s="77"/>
      <c r="AE632" s="77"/>
      <c r="AF632" s="77"/>
      <c r="AG632" s="77"/>
      <c r="AH632" s="77"/>
      <c r="AI632" s="92"/>
      <c r="AJ632" s="77"/>
      <c r="AK632" s="77"/>
      <c r="AL632" s="77"/>
      <c r="AM632" s="77"/>
      <c r="AN632" s="77"/>
      <c r="AO632" s="77"/>
      <c r="AP632" s="76"/>
      <c r="AQ632" s="81"/>
      <c r="AR632" s="76"/>
      <c r="AS632" s="81"/>
      <c r="AT632" s="76"/>
      <c r="AU632" s="81"/>
      <c r="AV632" s="77"/>
      <c r="AW632" s="81"/>
      <c r="AX632" s="77"/>
      <c r="AY632" s="81"/>
      <c r="AZ632" s="77"/>
      <c r="BA632" s="81"/>
      <c r="BB632" s="77"/>
      <c r="BC632" s="81"/>
      <c r="BD632" s="77"/>
      <c r="BE632" s="81"/>
      <c r="BF632" s="77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77"/>
      <c r="BU632" s="77"/>
      <c r="BV632" s="77"/>
      <c r="BW632" s="77"/>
      <c r="BX632" s="77"/>
      <c r="BY632" s="77"/>
      <c r="BZ632" s="77"/>
      <c r="CA632" s="77"/>
      <c r="CB632" s="77"/>
      <c r="CC632" s="77"/>
      <c r="CD632" s="77"/>
      <c r="CE632" s="77"/>
      <c r="CF632" s="77"/>
      <c r="CG632" s="77"/>
      <c r="CH632" s="77"/>
      <c r="CI632" s="77"/>
      <c r="CJ632" s="77"/>
      <c r="CK632" s="77"/>
      <c r="CL632" s="77"/>
      <c r="CM632" s="77"/>
      <c r="CN632" s="77"/>
      <c r="CO632" s="77"/>
      <c r="CP632" s="77"/>
      <c r="CQ632" s="77"/>
      <c r="CR632" s="77"/>
      <c r="CS632" s="77"/>
      <c r="CT632" s="77"/>
      <c r="CU632" s="77"/>
      <c r="CV632" s="77"/>
      <c r="CW632" s="77"/>
    </row>
    <row r="633" spans="1:101" ht="16.5" x14ac:dyDescent="0.45">
      <c r="A633" s="76"/>
      <c r="B633" s="77"/>
      <c r="C633" s="77"/>
      <c r="D633" s="78"/>
      <c r="E633" s="80"/>
      <c r="F633" s="80"/>
      <c r="G633" s="81"/>
      <c r="H633" s="81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82"/>
      <c r="Z633" s="82"/>
      <c r="AA633" s="82"/>
      <c r="AB633" s="80"/>
      <c r="AC633" s="77"/>
      <c r="AD633" s="77"/>
      <c r="AE633" s="77"/>
      <c r="AF633" s="77"/>
      <c r="AG633" s="77"/>
      <c r="AH633" s="77"/>
      <c r="AI633" s="92"/>
      <c r="AJ633" s="77"/>
      <c r="AK633" s="77"/>
      <c r="AL633" s="77"/>
      <c r="AM633" s="77"/>
      <c r="AN633" s="77"/>
      <c r="AO633" s="77"/>
      <c r="AP633" s="76"/>
      <c r="AQ633" s="81"/>
      <c r="AR633" s="76"/>
      <c r="AS633" s="81"/>
      <c r="AT633" s="76"/>
      <c r="AU633" s="81"/>
      <c r="AV633" s="77"/>
      <c r="AW633" s="81"/>
      <c r="AX633" s="77"/>
      <c r="AY633" s="81"/>
      <c r="AZ633" s="77"/>
      <c r="BA633" s="81"/>
      <c r="BB633" s="77"/>
      <c r="BC633" s="81"/>
      <c r="BD633" s="77"/>
      <c r="BE633" s="81"/>
      <c r="BF633" s="77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77"/>
      <c r="BU633" s="77"/>
      <c r="BV633" s="77"/>
      <c r="BW633" s="77"/>
      <c r="BX633" s="77"/>
      <c r="BY633" s="77"/>
      <c r="BZ633" s="77"/>
      <c r="CA633" s="77"/>
      <c r="CB633" s="77"/>
      <c r="CC633" s="77"/>
      <c r="CD633" s="77"/>
      <c r="CE633" s="77"/>
      <c r="CF633" s="77"/>
      <c r="CG633" s="77"/>
      <c r="CH633" s="77"/>
      <c r="CI633" s="77"/>
      <c r="CJ633" s="77"/>
      <c r="CK633" s="77"/>
      <c r="CL633" s="77"/>
      <c r="CM633" s="77"/>
      <c r="CN633" s="77"/>
      <c r="CO633" s="77"/>
      <c r="CP633" s="77"/>
      <c r="CQ633" s="77"/>
      <c r="CR633" s="77"/>
      <c r="CS633" s="77"/>
      <c r="CT633" s="77"/>
      <c r="CU633" s="77"/>
      <c r="CV633" s="77"/>
      <c r="CW633" s="77"/>
    </row>
    <row r="634" spans="1:101" ht="16.5" x14ac:dyDescent="0.45">
      <c r="A634" s="76"/>
      <c r="B634" s="77"/>
      <c r="C634" s="77"/>
      <c r="D634" s="78"/>
      <c r="E634" s="80"/>
      <c r="F634" s="80"/>
      <c r="G634" s="81"/>
      <c r="H634" s="81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82"/>
      <c r="Z634" s="82"/>
      <c r="AA634" s="82"/>
      <c r="AB634" s="80"/>
      <c r="AC634" s="77"/>
      <c r="AD634" s="77"/>
      <c r="AE634" s="77"/>
      <c r="AF634" s="77"/>
      <c r="AG634" s="77"/>
      <c r="AH634" s="77"/>
      <c r="AI634" s="92"/>
      <c r="AJ634" s="77"/>
      <c r="AK634" s="77"/>
      <c r="AL634" s="77"/>
      <c r="AM634" s="77"/>
      <c r="AN634" s="77"/>
      <c r="AO634" s="77"/>
      <c r="AP634" s="76"/>
      <c r="AQ634" s="81"/>
      <c r="AR634" s="76"/>
      <c r="AS634" s="81"/>
      <c r="AT634" s="76"/>
      <c r="AU634" s="81"/>
      <c r="AV634" s="77"/>
      <c r="AW634" s="81"/>
      <c r="AX634" s="77"/>
      <c r="AY634" s="81"/>
      <c r="AZ634" s="77"/>
      <c r="BA634" s="81"/>
      <c r="BB634" s="77"/>
      <c r="BC634" s="81"/>
      <c r="BD634" s="77"/>
      <c r="BE634" s="81"/>
      <c r="BF634" s="77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77"/>
      <c r="BU634" s="77"/>
      <c r="BV634" s="77"/>
      <c r="BW634" s="77"/>
      <c r="BX634" s="77"/>
      <c r="BY634" s="77"/>
      <c r="BZ634" s="77"/>
      <c r="CA634" s="77"/>
      <c r="CB634" s="77"/>
      <c r="CC634" s="77"/>
      <c r="CD634" s="77"/>
      <c r="CE634" s="77"/>
      <c r="CF634" s="77"/>
      <c r="CG634" s="77"/>
      <c r="CH634" s="77"/>
      <c r="CI634" s="77"/>
      <c r="CJ634" s="77"/>
      <c r="CK634" s="77"/>
      <c r="CL634" s="77"/>
      <c r="CM634" s="77"/>
      <c r="CN634" s="77"/>
      <c r="CO634" s="77"/>
      <c r="CP634" s="77"/>
      <c r="CQ634" s="77"/>
      <c r="CR634" s="77"/>
      <c r="CS634" s="77"/>
      <c r="CT634" s="77"/>
      <c r="CU634" s="77"/>
      <c r="CV634" s="77"/>
      <c r="CW634" s="77"/>
    </row>
    <row r="635" spans="1:101" ht="16.5" x14ac:dyDescent="0.45">
      <c r="A635" s="76"/>
      <c r="B635" s="77"/>
      <c r="C635" s="77"/>
      <c r="D635" s="78"/>
      <c r="E635" s="80"/>
      <c r="F635" s="80"/>
      <c r="G635" s="81"/>
      <c r="H635" s="81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82"/>
      <c r="Z635" s="82"/>
      <c r="AA635" s="82"/>
      <c r="AB635" s="80"/>
      <c r="AC635" s="77"/>
      <c r="AD635" s="77"/>
      <c r="AE635" s="77"/>
      <c r="AF635" s="77"/>
      <c r="AG635" s="77"/>
      <c r="AH635" s="77"/>
      <c r="AI635" s="92"/>
      <c r="AJ635" s="77"/>
      <c r="AK635" s="77"/>
      <c r="AL635" s="77"/>
      <c r="AM635" s="77"/>
      <c r="AN635" s="77"/>
      <c r="AO635" s="77"/>
      <c r="AP635" s="76"/>
      <c r="AQ635" s="81"/>
      <c r="AR635" s="76"/>
      <c r="AS635" s="81"/>
      <c r="AT635" s="76"/>
      <c r="AU635" s="81"/>
      <c r="AV635" s="77"/>
      <c r="AW635" s="81"/>
      <c r="AX635" s="77"/>
      <c r="AY635" s="81"/>
      <c r="AZ635" s="77"/>
      <c r="BA635" s="81"/>
      <c r="BB635" s="77"/>
      <c r="BC635" s="81"/>
      <c r="BD635" s="77"/>
      <c r="BE635" s="81"/>
      <c r="BF635" s="77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77"/>
      <c r="BU635" s="77"/>
      <c r="BV635" s="77"/>
      <c r="BW635" s="77"/>
      <c r="BX635" s="77"/>
      <c r="BY635" s="77"/>
      <c r="BZ635" s="77"/>
      <c r="CA635" s="77"/>
      <c r="CB635" s="77"/>
      <c r="CC635" s="77"/>
      <c r="CD635" s="77"/>
      <c r="CE635" s="77"/>
      <c r="CF635" s="77"/>
      <c r="CG635" s="77"/>
      <c r="CH635" s="77"/>
      <c r="CI635" s="77"/>
      <c r="CJ635" s="77"/>
      <c r="CK635" s="77"/>
      <c r="CL635" s="77"/>
      <c r="CM635" s="77"/>
      <c r="CN635" s="77"/>
      <c r="CO635" s="77"/>
      <c r="CP635" s="77"/>
      <c r="CQ635" s="77"/>
      <c r="CR635" s="77"/>
      <c r="CS635" s="77"/>
      <c r="CT635" s="77"/>
      <c r="CU635" s="77"/>
      <c r="CV635" s="77"/>
      <c r="CW635" s="77"/>
    </row>
    <row r="636" spans="1:101" ht="16.5" x14ac:dyDescent="0.45">
      <c r="A636" s="76"/>
      <c r="B636" s="77"/>
      <c r="C636" s="77"/>
      <c r="D636" s="78"/>
      <c r="E636" s="80"/>
      <c r="F636" s="80"/>
      <c r="G636" s="81"/>
      <c r="H636" s="81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82"/>
      <c r="Z636" s="82"/>
      <c r="AA636" s="82"/>
      <c r="AB636" s="80"/>
      <c r="AC636" s="77"/>
      <c r="AD636" s="77"/>
      <c r="AE636" s="77"/>
      <c r="AF636" s="77"/>
      <c r="AG636" s="77"/>
      <c r="AH636" s="77"/>
      <c r="AI636" s="92"/>
      <c r="AJ636" s="77"/>
      <c r="AK636" s="77"/>
      <c r="AL636" s="77"/>
      <c r="AM636" s="77"/>
      <c r="AN636" s="77"/>
      <c r="AO636" s="77"/>
      <c r="AP636" s="76"/>
      <c r="AQ636" s="81"/>
      <c r="AR636" s="76"/>
      <c r="AS636" s="81"/>
      <c r="AT636" s="76"/>
      <c r="AU636" s="81"/>
      <c r="AV636" s="77"/>
      <c r="AW636" s="81"/>
      <c r="AX636" s="77"/>
      <c r="AY636" s="81"/>
      <c r="AZ636" s="77"/>
      <c r="BA636" s="81"/>
      <c r="BB636" s="77"/>
      <c r="BC636" s="81"/>
      <c r="BD636" s="77"/>
      <c r="BE636" s="81"/>
      <c r="BF636" s="77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77"/>
      <c r="BU636" s="77"/>
      <c r="BV636" s="77"/>
      <c r="BW636" s="77"/>
      <c r="BX636" s="77"/>
      <c r="BY636" s="77"/>
      <c r="BZ636" s="77"/>
      <c r="CA636" s="77"/>
      <c r="CB636" s="77"/>
      <c r="CC636" s="77"/>
      <c r="CD636" s="77"/>
      <c r="CE636" s="77"/>
      <c r="CF636" s="77"/>
      <c r="CG636" s="77"/>
      <c r="CH636" s="77"/>
      <c r="CI636" s="77"/>
      <c r="CJ636" s="77"/>
      <c r="CK636" s="77"/>
      <c r="CL636" s="77"/>
      <c r="CM636" s="77"/>
      <c r="CN636" s="77"/>
      <c r="CO636" s="77"/>
      <c r="CP636" s="77"/>
      <c r="CQ636" s="77"/>
      <c r="CR636" s="77"/>
      <c r="CS636" s="77"/>
      <c r="CT636" s="77"/>
      <c r="CU636" s="77"/>
      <c r="CV636" s="77"/>
      <c r="CW636" s="77"/>
    </row>
    <row r="637" spans="1:101" ht="16.5" x14ac:dyDescent="0.45">
      <c r="A637" s="76"/>
      <c r="B637" s="77"/>
      <c r="C637" s="77"/>
      <c r="D637" s="78"/>
      <c r="E637" s="80"/>
      <c r="F637" s="80"/>
      <c r="G637" s="81"/>
      <c r="H637" s="81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82"/>
      <c r="Z637" s="82"/>
      <c r="AA637" s="82"/>
      <c r="AB637" s="80"/>
      <c r="AC637" s="77"/>
      <c r="AD637" s="77"/>
      <c r="AE637" s="77"/>
      <c r="AF637" s="77"/>
      <c r="AG637" s="77"/>
      <c r="AH637" s="77"/>
      <c r="AI637" s="92"/>
      <c r="AJ637" s="77"/>
      <c r="AK637" s="77"/>
      <c r="AL637" s="77"/>
      <c r="AM637" s="77"/>
      <c r="AN637" s="77"/>
      <c r="AO637" s="77"/>
      <c r="AP637" s="76"/>
      <c r="AQ637" s="81"/>
      <c r="AR637" s="76"/>
      <c r="AS637" s="81"/>
      <c r="AT637" s="76"/>
      <c r="AU637" s="81"/>
      <c r="AV637" s="77"/>
      <c r="AW637" s="81"/>
      <c r="AX637" s="77"/>
      <c r="AY637" s="81"/>
      <c r="AZ637" s="77"/>
      <c r="BA637" s="81"/>
      <c r="BB637" s="77"/>
      <c r="BC637" s="81"/>
      <c r="BD637" s="77"/>
      <c r="BE637" s="81"/>
      <c r="BF637" s="77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77"/>
      <c r="BU637" s="77"/>
      <c r="BV637" s="77"/>
      <c r="BW637" s="77"/>
      <c r="BX637" s="77"/>
      <c r="BY637" s="77"/>
      <c r="BZ637" s="77"/>
      <c r="CA637" s="77"/>
      <c r="CB637" s="77"/>
      <c r="CC637" s="77"/>
      <c r="CD637" s="77"/>
      <c r="CE637" s="77"/>
      <c r="CF637" s="77"/>
      <c r="CG637" s="77"/>
      <c r="CH637" s="77"/>
      <c r="CI637" s="77"/>
      <c r="CJ637" s="77"/>
      <c r="CK637" s="77"/>
      <c r="CL637" s="77"/>
      <c r="CM637" s="77"/>
      <c r="CN637" s="77"/>
      <c r="CO637" s="77"/>
      <c r="CP637" s="77"/>
      <c r="CQ637" s="77"/>
      <c r="CR637" s="77"/>
      <c r="CS637" s="77"/>
      <c r="CT637" s="77"/>
      <c r="CU637" s="77"/>
      <c r="CV637" s="77"/>
      <c r="CW637" s="77"/>
    </row>
    <row r="638" spans="1:101" ht="16.5" x14ac:dyDescent="0.45">
      <c r="A638" s="76"/>
      <c r="B638" s="77"/>
      <c r="C638" s="77"/>
      <c r="D638" s="78"/>
      <c r="E638" s="80"/>
      <c r="F638" s="80"/>
      <c r="G638" s="81"/>
      <c r="H638" s="81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82"/>
      <c r="Z638" s="82"/>
      <c r="AA638" s="82"/>
      <c r="AB638" s="80"/>
      <c r="AC638" s="77"/>
      <c r="AD638" s="77"/>
      <c r="AE638" s="77"/>
      <c r="AF638" s="77"/>
      <c r="AG638" s="77"/>
      <c r="AH638" s="77"/>
      <c r="AI638" s="92"/>
      <c r="AJ638" s="77"/>
      <c r="AK638" s="77"/>
      <c r="AL638" s="77"/>
      <c r="AM638" s="77"/>
      <c r="AN638" s="77"/>
      <c r="AO638" s="77"/>
      <c r="AP638" s="76"/>
      <c r="AQ638" s="81"/>
      <c r="AR638" s="76"/>
      <c r="AS638" s="81"/>
      <c r="AT638" s="76"/>
      <c r="AU638" s="81"/>
      <c r="AV638" s="77"/>
      <c r="AW638" s="81"/>
      <c r="AX638" s="77"/>
      <c r="AY638" s="81"/>
      <c r="AZ638" s="77"/>
      <c r="BA638" s="81"/>
      <c r="BB638" s="77"/>
      <c r="BC638" s="81"/>
      <c r="BD638" s="77"/>
      <c r="BE638" s="81"/>
      <c r="BF638" s="77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77"/>
      <c r="BU638" s="77"/>
      <c r="BV638" s="77"/>
      <c r="BW638" s="77"/>
      <c r="BX638" s="77"/>
      <c r="BY638" s="77"/>
      <c r="BZ638" s="77"/>
      <c r="CA638" s="77"/>
      <c r="CB638" s="77"/>
      <c r="CC638" s="77"/>
      <c r="CD638" s="77"/>
      <c r="CE638" s="77"/>
      <c r="CF638" s="77"/>
      <c r="CG638" s="77"/>
      <c r="CH638" s="77"/>
      <c r="CI638" s="77"/>
      <c r="CJ638" s="77"/>
      <c r="CK638" s="77"/>
      <c r="CL638" s="77"/>
      <c r="CM638" s="77"/>
      <c r="CN638" s="77"/>
      <c r="CO638" s="77"/>
      <c r="CP638" s="77"/>
      <c r="CQ638" s="77"/>
      <c r="CR638" s="77"/>
      <c r="CS638" s="77"/>
      <c r="CT638" s="77"/>
      <c r="CU638" s="77"/>
      <c r="CV638" s="77"/>
      <c r="CW638" s="77"/>
    </row>
    <row r="639" spans="1:101" ht="16.5" x14ac:dyDescent="0.45">
      <c r="A639" s="76"/>
      <c r="B639" s="77"/>
      <c r="C639" s="77"/>
      <c r="D639" s="78"/>
      <c r="E639" s="80"/>
      <c r="F639" s="80"/>
      <c r="G639" s="81"/>
      <c r="H639" s="81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82"/>
      <c r="Z639" s="82"/>
      <c r="AA639" s="82"/>
      <c r="AB639" s="80"/>
      <c r="AC639" s="77"/>
      <c r="AD639" s="77"/>
      <c r="AE639" s="77"/>
      <c r="AF639" s="77"/>
      <c r="AG639" s="77"/>
      <c r="AH639" s="77"/>
      <c r="AI639" s="92"/>
      <c r="AJ639" s="77"/>
      <c r="AK639" s="77"/>
      <c r="AL639" s="77"/>
      <c r="AM639" s="77"/>
      <c r="AN639" s="77"/>
      <c r="AO639" s="77"/>
      <c r="AP639" s="76"/>
      <c r="AQ639" s="81"/>
      <c r="AR639" s="76"/>
      <c r="AS639" s="81"/>
      <c r="AT639" s="76"/>
      <c r="AU639" s="81"/>
      <c r="AV639" s="77"/>
      <c r="AW639" s="81"/>
      <c r="AX639" s="77"/>
      <c r="AY639" s="81"/>
      <c r="AZ639" s="77"/>
      <c r="BA639" s="81"/>
      <c r="BB639" s="77"/>
      <c r="BC639" s="81"/>
      <c r="BD639" s="77"/>
      <c r="BE639" s="81"/>
      <c r="BF639" s="77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77"/>
      <c r="BU639" s="77"/>
      <c r="BV639" s="77"/>
      <c r="BW639" s="77"/>
      <c r="BX639" s="77"/>
      <c r="BY639" s="77"/>
      <c r="BZ639" s="77"/>
      <c r="CA639" s="77"/>
      <c r="CB639" s="77"/>
      <c r="CC639" s="77"/>
      <c r="CD639" s="77"/>
      <c r="CE639" s="77"/>
      <c r="CF639" s="77"/>
      <c r="CG639" s="77"/>
      <c r="CH639" s="77"/>
      <c r="CI639" s="77"/>
      <c r="CJ639" s="77"/>
      <c r="CK639" s="77"/>
      <c r="CL639" s="77"/>
      <c r="CM639" s="77"/>
      <c r="CN639" s="77"/>
      <c r="CO639" s="77"/>
      <c r="CP639" s="77"/>
      <c r="CQ639" s="77"/>
      <c r="CR639" s="77"/>
      <c r="CS639" s="77"/>
      <c r="CT639" s="77"/>
      <c r="CU639" s="77"/>
      <c r="CV639" s="77"/>
      <c r="CW639" s="77"/>
    </row>
    <row r="640" spans="1:101" ht="16.5" x14ac:dyDescent="0.45">
      <c r="A640" s="76"/>
      <c r="B640" s="77"/>
      <c r="C640" s="77"/>
      <c r="D640" s="78"/>
      <c r="E640" s="80"/>
      <c r="F640" s="80"/>
      <c r="G640" s="81"/>
      <c r="H640" s="81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82"/>
      <c r="Z640" s="82"/>
      <c r="AA640" s="82"/>
      <c r="AB640" s="80"/>
      <c r="AC640" s="77"/>
      <c r="AD640" s="77"/>
      <c r="AE640" s="77"/>
      <c r="AF640" s="77"/>
      <c r="AG640" s="77"/>
      <c r="AH640" s="77"/>
      <c r="AI640" s="92"/>
      <c r="AJ640" s="77"/>
      <c r="AK640" s="77"/>
      <c r="AL640" s="77"/>
      <c r="AM640" s="77"/>
      <c r="AN640" s="77"/>
      <c r="AO640" s="77"/>
      <c r="AP640" s="76"/>
      <c r="AQ640" s="81"/>
      <c r="AR640" s="76"/>
      <c r="AS640" s="81"/>
      <c r="AT640" s="76"/>
      <c r="AU640" s="81"/>
      <c r="AV640" s="77"/>
      <c r="AW640" s="81"/>
      <c r="AX640" s="77"/>
      <c r="AY640" s="81"/>
      <c r="AZ640" s="77"/>
      <c r="BA640" s="81"/>
      <c r="BB640" s="77"/>
      <c r="BC640" s="81"/>
      <c r="BD640" s="77"/>
      <c r="BE640" s="81"/>
      <c r="BF640" s="77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77"/>
      <c r="BU640" s="77"/>
      <c r="BV640" s="77"/>
      <c r="BW640" s="77"/>
      <c r="BX640" s="77"/>
      <c r="BY640" s="77"/>
      <c r="BZ640" s="77"/>
      <c r="CA640" s="77"/>
      <c r="CB640" s="77"/>
      <c r="CC640" s="77"/>
      <c r="CD640" s="77"/>
      <c r="CE640" s="77"/>
      <c r="CF640" s="77"/>
      <c r="CG640" s="77"/>
      <c r="CH640" s="77"/>
      <c r="CI640" s="77"/>
      <c r="CJ640" s="77"/>
      <c r="CK640" s="77"/>
      <c r="CL640" s="77"/>
      <c r="CM640" s="77"/>
      <c r="CN640" s="77"/>
      <c r="CO640" s="77"/>
      <c r="CP640" s="77"/>
      <c r="CQ640" s="77"/>
      <c r="CR640" s="77"/>
      <c r="CS640" s="77"/>
      <c r="CT640" s="77"/>
      <c r="CU640" s="77"/>
      <c r="CV640" s="77"/>
      <c r="CW640" s="77"/>
    </row>
    <row r="641" spans="1:101" ht="16.5" x14ac:dyDescent="0.45">
      <c r="A641" s="76"/>
      <c r="B641" s="77"/>
      <c r="C641" s="77"/>
      <c r="D641" s="78"/>
      <c r="E641" s="80"/>
      <c r="F641" s="80"/>
      <c r="G641" s="81"/>
      <c r="H641" s="81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82"/>
      <c r="Z641" s="82"/>
      <c r="AA641" s="82"/>
      <c r="AB641" s="80"/>
      <c r="AC641" s="77"/>
      <c r="AD641" s="77"/>
      <c r="AE641" s="77"/>
      <c r="AF641" s="77"/>
      <c r="AG641" s="77"/>
      <c r="AH641" s="77"/>
      <c r="AI641" s="92"/>
      <c r="AJ641" s="77"/>
      <c r="AK641" s="77"/>
      <c r="AL641" s="77"/>
      <c r="AM641" s="77"/>
      <c r="AN641" s="77"/>
      <c r="AO641" s="77"/>
      <c r="AP641" s="76"/>
      <c r="AQ641" s="81"/>
      <c r="AR641" s="76"/>
      <c r="AS641" s="81"/>
      <c r="AT641" s="76"/>
      <c r="AU641" s="81"/>
      <c r="AV641" s="77"/>
      <c r="AW641" s="81"/>
      <c r="AX641" s="77"/>
      <c r="AY641" s="81"/>
      <c r="AZ641" s="77"/>
      <c r="BA641" s="81"/>
      <c r="BB641" s="77"/>
      <c r="BC641" s="81"/>
      <c r="BD641" s="77"/>
      <c r="BE641" s="81"/>
      <c r="BF641" s="77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77"/>
      <c r="BU641" s="77"/>
      <c r="BV641" s="77"/>
      <c r="BW641" s="77"/>
      <c r="BX641" s="77"/>
      <c r="BY641" s="77"/>
      <c r="BZ641" s="77"/>
      <c r="CA641" s="77"/>
      <c r="CB641" s="77"/>
      <c r="CC641" s="77"/>
      <c r="CD641" s="77"/>
      <c r="CE641" s="77"/>
      <c r="CF641" s="77"/>
      <c r="CG641" s="77"/>
      <c r="CH641" s="77"/>
      <c r="CI641" s="77"/>
      <c r="CJ641" s="77"/>
      <c r="CK641" s="77"/>
      <c r="CL641" s="77"/>
      <c r="CM641" s="77"/>
      <c r="CN641" s="77"/>
      <c r="CO641" s="77"/>
      <c r="CP641" s="77"/>
      <c r="CQ641" s="77"/>
      <c r="CR641" s="77"/>
      <c r="CS641" s="77"/>
      <c r="CT641" s="77"/>
      <c r="CU641" s="77"/>
      <c r="CV641" s="77"/>
      <c r="CW641" s="77"/>
    </row>
    <row r="642" spans="1:101" ht="16.5" x14ac:dyDescent="0.45">
      <c r="A642" s="76"/>
      <c r="B642" s="77"/>
      <c r="C642" s="77"/>
      <c r="D642" s="78"/>
      <c r="E642" s="80"/>
      <c r="F642" s="80"/>
      <c r="G642" s="81"/>
      <c r="H642" s="81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82"/>
      <c r="Z642" s="82"/>
      <c r="AA642" s="82"/>
      <c r="AB642" s="80"/>
      <c r="AC642" s="77"/>
      <c r="AD642" s="77"/>
      <c r="AE642" s="77"/>
      <c r="AF642" s="77"/>
      <c r="AG642" s="77"/>
      <c r="AH642" s="77"/>
      <c r="AI642" s="92"/>
      <c r="AJ642" s="77"/>
      <c r="AK642" s="77"/>
      <c r="AL642" s="77"/>
      <c r="AM642" s="77"/>
      <c r="AN642" s="77"/>
      <c r="AO642" s="77"/>
      <c r="AP642" s="76"/>
      <c r="AQ642" s="81"/>
      <c r="AR642" s="76"/>
      <c r="AS642" s="81"/>
      <c r="AT642" s="76"/>
      <c r="AU642" s="81"/>
      <c r="AV642" s="77"/>
      <c r="AW642" s="81"/>
      <c r="AX642" s="77"/>
      <c r="AY642" s="81"/>
      <c r="AZ642" s="77"/>
      <c r="BA642" s="81"/>
      <c r="BB642" s="77"/>
      <c r="BC642" s="81"/>
      <c r="BD642" s="77"/>
      <c r="BE642" s="81"/>
      <c r="BF642" s="77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</row>
    <row r="643" spans="1:101" ht="16.5" x14ac:dyDescent="0.45">
      <c r="A643" s="76"/>
      <c r="B643" s="77"/>
      <c r="C643" s="77"/>
      <c r="D643" s="78"/>
      <c r="E643" s="80"/>
      <c r="F643" s="80"/>
      <c r="G643" s="81"/>
      <c r="H643" s="81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82"/>
      <c r="Z643" s="82"/>
      <c r="AA643" s="82"/>
      <c r="AB643" s="80"/>
      <c r="AC643" s="77"/>
      <c r="AD643" s="77"/>
      <c r="AE643" s="77"/>
      <c r="AF643" s="77"/>
      <c r="AG643" s="77"/>
      <c r="AH643" s="77"/>
      <c r="AI643" s="92"/>
      <c r="AJ643" s="77"/>
      <c r="AK643" s="77"/>
      <c r="AL643" s="77"/>
      <c r="AM643" s="77"/>
      <c r="AN643" s="77"/>
      <c r="AO643" s="77"/>
      <c r="AP643" s="76"/>
      <c r="AQ643" s="81"/>
      <c r="AR643" s="76"/>
      <c r="AS643" s="81"/>
      <c r="AT643" s="76"/>
      <c r="AU643" s="81"/>
      <c r="AV643" s="77"/>
      <c r="AW643" s="81"/>
      <c r="AX643" s="77"/>
      <c r="AY643" s="81"/>
      <c r="AZ643" s="77"/>
      <c r="BA643" s="81"/>
      <c r="BB643" s="77"/>
      <c r="BC643" s="81"/>
      <c r="BD643" s="77"/>
      <c r="BE643" s="81"/>
      <c r="BF643" s="77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77"/>
      <c r="BU643" s="77"/>
      <c r="BV643" s="77"/>
      <c r="BW643" s="77"/>
      <c r="BX643" s="77"/>
      <c r="BY643" s="77"/>
      <c r="BZ643" s="77"/>
      <c r="CA643" s="77"/>
      <c r="CB643" s="77"/>
      <c r="CC643" s="77"/>
      <c r="CD643" s="77"/>
      <c r="CE643" s="77"/>
      <c r="CF643" s="77"/>
      <c r="CG643" s="77"/>
      <c r="CH643" s="77"/>
      <c r="CI643" s="77"/>
      <c r="CJ643" s="77"/>
      <c r="CK643" s="77"/>
      <c r="CL643" s="77"/>
      <c r="CM643" s="77"/>
      <c r="CN643" s="77"/>
      <c r="CO643" s="77"/>
      <c r="CP643" s="77"/>
      <c r="CQ643" s="77"/>
      <c r="CR643" s="77"/>
      <c r="CS643" s="77"/>
      <c r="CT643" s="77"/>
      <c r="CU643" s="77"/>
      <c r="CV643" s="77"/>
      <c r="CW643" s="77"/>
    </row>
    <row r="644" spans="1:101" ht="16.5" x14ac:dyDescent="0.45">
      <c r="A644" s="76"/>
      <c r="B644" s="77"/>
      <c r="C644" s="77"/>
      <c r="D644" s="78"/>
      <c r="E644" s="80"/>
      <c r="F644" s="80"/>
      <c r="G644" s="81"/>
      <c r="H644" s="81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82"/>
      <c r="Z644" s="82"/>
      <c r="AA644" s="82"/>
      <c r="AB644" s="80"/>
      <c r="AC644" s="77"/>
      <c r="AD644" s="77"/>
      <c r="AE644" s="77"/>
      <c r="AF644" s="77"/>
      <c r="AG644" s="77"/>
      <c r="AH644" s="77"/>
      <c r="AI644" s="92"/>
      <c r="AJ644" s="77"/>
      <c r="AK644" s="77"/>
      <c r="AL644" s="77"/>
      <c r="AM644" s="77"/>
      <c r="AN644" s="77"/>
      <c r="AO644" s="77"/>
      <c r="AP644" s="76"/>
      <c r="AQ644" s="81"/>
      <c r="AR644" s="76"/>
      <c r="AS644" s="81"/>
      <c r="AT644" s="76"/>
      <c r="AU644" s="81"/>
      <c r="AV644" s="77"/>
      <c r="AW644" s="81"/>
      <c r="AX644" s="77"/>
      <c r="AY644" s="81"/>
      <c r="AZ644" s="77"/>
      <c r="BA644" s="81"/>
      <c r="BB644" s="77"/>
      <c r="BC644" s="81"/>
      <c r="BD644" s="77"/>
      <c r="BE644" s="81"/>
      <c r="BF644" s="77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77"/>
      <c r="BU644" s="77"/>
      <c r="BV644" s="77"/>
      <c r="BW644" s="77"/>
      <c r="BX644" s="77"/>
      <c r="BY644" s="77"/>
      <c r="BZ644" s="77"/>
      <c r="CA644" s="77"/>
      <c r="CB644" s="77"/>
      <c r="CC644" s="77"/>
      <c r="CD644" s="77"/>
      <c r="CE644" s="77"/>
      <c r="CF644" s="77"/>
      <c r="CG644" s="77"/>
      <c r="CH644" s="77"/>
      <c r="CI644" s="77"/>
      <c r="CJ644" s="77"/>
      <c r="CK644" s="77"/>
      <c r="CL644" s="77"/>
      <c r="CM644" s="77"/>
      <c r="CN644" s="77"/>
      <c r="CO644" s="77"/>
      <c r="CP644" s="77"/>
      <c r="CQ644" s="77"/>
      <c r="CR644" s="77"/>
      <c r="CS644" s="77"/>
      <c r="CT644" s="77"/>
      <c r="CU644" s="77"/>
      <c r="CV644" s="77"/>
      <c r="CW644" s="77"/>
    </row>
    <row r="645" spans="1:101" ht="16.5" x14ac:dyDescent="0.45">
      <c r="A645" s="76"/>
      <c r="B645" s="77"/>
      <c r="C645" s="77"/>
      <c r="D645" s="78"/>
      <c r="E645" s="80"/>
      <c r="F645" s="80"/>
      <c r="G645" s="81"/>
      <c r="H645" s="81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82"/>
      <c r="Z645" s="82"/>
      <c r="AA645" s="82"/>
      <c r="AB645" s="80"/>
      <c r="AC645" s="77"/>
      <c r="AD645" s="77"/>
      <c r="AE645" s="77"/>
      <c r="AF645" s="77"/>
      <c r="AG645" s="77"/>
      <c r="AH645" s="77"/>
      <c r="AI645" s="92"/>
      <c r="AJ645" s="77"/>
      <c r="AK645" s="77"/>
      <c r="AL645" s="77"/>
      <c r="AM645" s="77"/>
      <c r="AN645" s="77"/>
      <c r="AO645" s="77"/>
      <c r="AP645" s="76"/>
      <c r="AQ645" s="81"/>
      <c r="AR645" s="76"/>
      <c r="AS645" s="81"/>
      <c r="AT645" s="76"/>
      <c r="AU645" s="81"/>
      <c r="AV645" s="77"/>
      <c r="AW645" s="81"/>
      <c r="AX645" s="77"/>
      <c r="AY645" s="81"/>
      <c r="AZ645" s="77"/>
      <c r="BA645" s="81"/>
      <c r="BB645" s="77"/>
      <c r="BC645" s="81"/>
      <c r="BD645" s="77"/>
      <c r="BE645" s="81"/>
      <c r="BF645" s="77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</row>
    <row r="646" spans="1:101" ht="16.5" x14ac:dyDescent="0.45">
      <c r="A646" s="76"/>
      <c r="B646" s="77"/>
      <c r="C646" s="77"/>
      <c r="D646" s="78"/>
      <c r="E646" s="80"/>
      <c r="F646" s="80"/>
      <c r="G646" s="81"/>
      <c r="H646" s="81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82"/>
      <c r="Z646" s="82"/>
      <c r="AA646" s="82"/>
      <c r="AB646" s="80"/>
      <c r="AC646" s="77"/>
      <c r="AD646" s="77"/>
      <c r="AE646" s="77"/>
      <c r="AF646" s="77"/>
      <c r="AG646" s="77"/>
      <c r="AH646" s="77"/>
      <c r="AI646" s="92"/>
      <c r="AJ646" s="77"/>
      <c r="AK646" s="77"/>
      <c r="AL646" s="77"/>
      <c r="AM646" s="77"/>
      <c r="AN646" s="77"/>
      <c r="AO646" s="77"/>
      <c r="AP646" s="76"/>
      <c r="AQ646" s="81"/>
      <c r="AR646" s="76"/>
      <c r="AS646" s="81"/>
      <c r="AT646" s="76"/>
      <c r="AU646" s="81"/>
      <c r="AV646" s="77"/>
      <c r="AW646" s="81"/>
      <c r="AX646" s="77"/>
      <c r="AY646" s="81"/>
      <c r="AZ646" s="77"/>
      <c r="BA646" s="81"/>
      <c r="BB646" s="77"/>
      <c r="BC646" s="81"/>
      <c r="BD646" s="77"/>
      <c r="BE646" s="81"/>
      <c r="BF646" s="77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77"/>
      <c r="BU646" s="77"/>
      <c r="BV646" s="77"/>
      <c r="BW646" s="77"/>
      <c r="BX646" s="77"/>
      <c r="BY646" s="77"/>
      <c r="BZ646" s="77"/>
      <c r="CA646" s="77"/>
      <c r="CB646" s="77"/>
      <c r="CC646" s="77"/>
      <c r="CD646" s="77"/>
      <c r="CE646" s="77"/>
      <c r="CF646" s="77"/>
      <c r="CG646" s="77"/>
      <c r="CH646" s="77"/>
      <c r="CI646" s="77"/>
      <c r="CJ646" s="77"/>
      <c r="CK646" s="77"/>
      <c r="CL646" s="77"/>
      <c r="CM646" s="77"/>
      <c r="CN646" s="77"/>
      <c r="CO646" s="77"/>
      <c r="CP646" s="77"/>
      <c r="CQ646" s="77"/>
      <c r="CR646" s="77"/>
      <c r="CS646" s="77"/>
      <c r="CT646" s="77"/>
      <c r="CU646" s="77"/>
      <c r="CV646" s="77"/>
      <c r="CW646" s="77"/>
    </row>
    <row r="647" spans="1:101" ht="16.5" x14ac:dyDescent="0.45">
      <c r="A647" s="76"/>
      <c r="B647" s="77"/>
      <c r="C647" s="77"/>
      <c r="D647" s="78"/>
      <c r="E647" s="80"/>
      <c r="F647" s="80"/>
      <c r="G647" s="81"/>
      <c r="H647" s="81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82"/>
      <c r="Z647" s="82"/>
      <c r="AA647" s="82"/>
      <c r="AB647" s="80"/>
      <c r="AC647" s="77"/>
      <c r="AD647" s="77"/>
      <c r="AE647" s="77"/>
      <c r="AF647" s="77"/>
      <c r="AG647" s="77"/>
      <c r="AH647" s="77"/>
      <c r="AI647" s="92"/>
      <c r="AJ647" s="77"/>
      <c r="AK647" s="77"/>
      <c r="AL647" s="77"/>
      <c r="AM647" s="77"/>
      <c r="AN647" s="77"/>
      <c r="AO647" s="77"/>
      <c r="AP647" s="76"/>
      <c r="AQ647" s="81"/>
      <c r="AR647" s="76"/>
      <c r="AS647" s="81"/>
      <c r="AT647" s="76"/>
      <c r="AU647" s="81"/>
      <c r="AV647" s="77"/>
      <c r="AW647" s="81"/>
      <c r="AX647" s="77"/>
      <c r="AY647" s="81"/>
      <c r="AZ647" s="77"/>
      <c r="BA647" s="81"/>
      <c r="BB647" s="77"/>
      <c r="BC647" s="81"/>
      <c r="BD647" s="77"/>
      <c r="BE647" s="81"/>
      <c r="BF647" s="77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</row>
    <row r="648" spans="1:101" ht="16.5" x14ac:dyDescent="0.45">
      <c r="A648" s="76"/>
      <c r="B648" s="77"/>
      <c r="C648" s="77"/>
      <c r="D648" s="78"/>
      <c r="E648" s="80"/>
      <c r="F648" s="80"/>
      <c r="G648" s="81"/>
      <c r="H648" s="81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82"/>
      <c r="Z648" s="82"/>
      <c r="AA648" s="82"/>
      <c r="AB648" s="80"/>
      <c r="AC648" s="77"/>
      <c r="AD648" s="77"/>
      <c r="AE648" s="77"/>
      <c r="AF648" s="77"/>
      <c r="AG648" s="77"/>
      <c r="AH648" s="77"/>
      <c r="AI648" s="92"/>
      <c r="AJ648" s="77"/>
      <c r="AK648" s="77"/>
      <c r="AL648" s="77"/>
      <c r="AM648" s="77"/>
      <c r="AN648" s="77"/>
      <c r="AO648" s="77"/>
      <c r="AP648" s="76"/>
      <c r="AQ648" s="81"/>
      <c r="AR648" s="76"/>
      <c r="AS648" s="81"/>
      <c r="AT648" s="76"/>
      <c r="AU648" s="81"/>
      <c r="AV648" s="77"/>
      <c r="AW648" s="81"/>
      <c r="AX648" s="77"/>
      <c r="AY648" s="81"/>
      <c r="AZ648" s="77"/>
      <c r="BA648" s="81"/>
      <c r="BB648" s="77"/>
      <c r="BC648" s="81"/>
      <c r="BD648" s="77"/>
      <c r="BE648" s="81"/>
      <c r="BF648" s="77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77"/>
      <c r="BU648" s="77"/>
      <c r="BV648" s="77"/>
      <c r="BW648" s="77"/>
      <c r="BX648" s="77"/>
      <c r="BY648" s="77"/>
      <c r="BZ648" s="77"/>
      <c r="CA648" s="77"/>
      <c r="CB648" s="77"/>
      <c r="CC648" s="77"/>
      <c r="CD648" s="77"/>
      <c r="CE648" s="77"/>
      <c r="CF648" s="77"/>
      <c r="CG648" s="77"/>
      <c r="CH648" s="77"/>
      <c r="CI648" s="77"/>
      <c r="CJ648" s="77"/>
      <c r="CK648" s="77"/>
      <c r="CL648" s="77"/>
      <c r="CM648" s="77"/>
      <c r="CN648" s="77"/>
      <c r="CO648" s="77"/>
      <c r="CP648" s="77"/>
      <c r="CQ648" s="77"/>
      <c r="CR648" s="77"/>
      <c r="CS648" s="77"/>
      <c r="CT648" s="77"/>
      <c r="CU648" s="77"/>
      <c r="CV648" s="77"/>
      <c r="CW648" s="77"/>
    </row>
    <row r="649" spans="1:101" ht="16.5" x14ac:dyDescent="0.45">
      <c r="A649" s="76"/>
      <c r="B649" s="77"/>
      <c r="C649" s="77"/>
      <c r="D649" s="78"/>
      <c r="E649" s="80"/>
      <c r="F649" s="80"/>
      <c r="G649" s="81"/>
      <c r="H649" s="81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82"/>
      <c r="Z649" s="82"/>
      <c r="AA649" s="82"/>
      <c r="AB649" s="80"/>
      <c r="AC649" s="77"/>
      <c r="AD649" s="77"/>
      <c r="AE649" s="77"/>
      <c r="AF649" s="77"/>
      <c r="AG649" s="77"/>
      <c r="AH649" s="77"/>
      <c r="AI649" s="92"/>
      <c r="AJ649" s="77"/>
      <c r="AK649" s="77"/>
      <c r="AL649" s="77"/>
      <c r="AM649" s="77"/>
      <c r="AN649" s="77"/>
      <c r="AO649" s="77"/>
      <c r="AP649" s="76"/>
      <c r="AQ649" s="81"/>
      <c r="AR649" s="76"/>
      <c r="AS649" s="81"/>
      <c r="AT649" s="76"/>
      <c r="AU649" s="81"/>
      <c r="AV649" s="77"/>
      <c r="AW649" s="81"/>
      <c r="AX649" s="77"/>
      <c r="AY649" s="81"/>
      <c r="AZ649" s="77"/>
      <c r="BA649" s="81"/>
      <c r="BB649" s="77"/>
      <c r="BC649" s="81"/>
      <c r="BD649" s="77"/>
      <c r="BE649" s="81"/>
      <c r="BF649" s="77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77"/>
      <c r="BU649" s="77"/>
      <c r="BV649" s="77"/>
      <c r="BW649" s="77"/>
      <c r="BX649" s="77"/>
      <c r="BY649" s="77"/>
      <c r="BZ649" s="77"/>
      <c r="CA649" s="77"/>
      <c r="CB649" s="77"/>
      <c r="CC649" s="77"/>
      <c r="CD649" s="77"/>
      <c r="CE649" s="77"/>
      <c r="CF649" s="77"/>
      <c r="CG649" s="77"/>
      <c r="CH649" s="77"/>
      <c r="CI649" s="77"/>
      <c r="CJ649" s="77"/>
      <c r="CK649" s="77"/>
      <c r="CL649" s="77"/>
      <c r="CM649" s="77"/>
      <c r="CN649" s="77"/>
      <c r="CO649" s="77"/>
      <c r="CP649" s="77"/>
      <c r="CQ649" s="77"/>
      <c r="CR649" s="77"/>
      <c r="CS649" s="77"/>
      <c r="CT649" s="77"/>
      <c r="CU649" s="77"/>
      <c r="CV649" s="77"/>
      <c r="CW649" s="77"/>
    </row>
    <row r="650" spans="1:101" ht="16.5" x14ac:dyDescent="0.45">
      <c r="A650" s="76"/>
      <c r="B650" s="77"/>
      <c r="C650" s="77"/>
      <c r="D650" s="78"/>
      <c r="E650" s="80"/>
      <c r="F650" s="80"/>
      <c r="G650" s="81"/>
      <c r="H650" s="81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82"/>
      <c r="Z650" s="82"/>
      <c r="AA650" s="82"/>
      <c r="AB650" s="80"/>
      <c r="AC650" s="77"/>
      <c r="AD650" s="77"/>
      <c r="AE650" s="77"/>
      <c r="AF650" s="77"/>
      <c r="AG650" s="77"/>
      <c r="AH650" s="77"/>
      <c r="AI650" s="92"/>
      <c r="AJ650" s="77"/>
      <c r="AK650" s="77"/>
      <c r="AL650" s="77"/>
      <c r="AM650" s="77"/>
      <c r="AN650" s="77"/>
      <c r="AO650" s="77"/>
      <c r="AP650" s="76"/>
      <c r="AQ650" s="81"/>
      <c r="AR650" s="76"/>
      <c r="AS650" s="81"/>
      <c r="AT650" s="76"/>
      <c r="AU650" s="81"/>
      <c r="AV650" s="77"/>
      <c r="AW650" s="81"/>
      <c r="AX650" s="77"/>
      <c r="AY650" s="81"/>
      <c r="AZ650" s="77"/>
      <c r="BA650" s="81"/>
      <c r="BB650" s="77"/>
      <c r="BC650" s="81"/>
      <c r="BD650" s="77"/>
      <c r="BE650" s="81"/>
      <c r="BF650" s="77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77"/>
      <c r="BU650" s="77"/>
      <c r="BV650" s="77"/>
      <c r="BW650" s="77"/>
      <c r="BX650" s="77"/>
      <c r="BY650" s="77"/>
      <c r="BZ650" s="77"/>
      <c r="CA650" s="77"/>
      <c r="CB650" s="77"/>
      <c r="CC650" s="77"/>
      <c r="CD650" s="77"/>
      <c r="CE650" s="77"/>
      <c r="CF650" s="77"/>
      <c r="CG650" s="77"/>
      <c r="CH650" s="77"/>
      <c r="CI650" s="77"/>
      <c r="CJ650" s="77"/>
      <c r="CK650" s="77"/>
      <c r="CL650" s="77"/>
      <c r="CM650" s="77"/>
      <c r="CN650" s="77"/>
      <c r="CO650" s="77"/>
      <c r="CP650" s="77"/>
      <c r="CQ650" s="77"/>
      <c r="CR650" s="77"/>
      <c r="CS650" s="77"/>
      <c r="CT650" s="77"/>
      <c r="CU650" s="77"/>
      <c r="CV650" s="77"/>
      <c r="CW650" s="77"/>
    </row>
    <row r="651" spans="1:101" ht="16.5" x14ac:dyDescent="0.45">
      <c r="A651" s="76"/>
      <c r="B651" s="77"/>
      <c r="C651" s="77"/>
      <c r="D651" s="78"/>
      <c r="E651" s="80"/>
      <c r="F651" s="80"/>
      <c r="G651" s="81"/>
      <c r="H651" s="81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82"/>
      <c r="Z651" s="82"/>
      <c r="AA651" s="82"/>
      <c r="AB651" s="80"/>
      <c r="AC651" s="77"/>
      <c r="AD651" s="77"/>
      <c r="AE651" s="77"/>
      <c r="AF651" s="77"/>
      <c r="AG651" s="77"/>
      <c r="AH651" s="77"/>
      <c r="AI651" s="92"/>
      <c r="AJ651" s="77"/>
      <c r="AK651" s="77"/>
      <c r="AL651" s="77"/>
      <c r="AM651" s="77"/>
      <c r="AN651" s="77"/>
      <c r="AO651" s="77"/>
      <c r="AP651" s="76"/>
      <c r="AQ651" s="81"/>
      <c r="AR651" s="76"/>
      <c r="AS651" s="81"/>
      <c r="AT651" s="76"/>
      <c r="AU651" s="81"/>
      <c r="AV651" s="77"/>
      <c r="AW651" s="81"/>
      <c r="AX651" s="77"/>
      <c r="AY651" s="81"/>
      <c r="AZ651" s="77"/>
      <c r="BA651" s="81"/>
      <c r="BB651" s="77"/>
      <c r="BC651" s="81"/>
      <c r="BD651" s="77"/>
      <c r="BE651" s="81"/>
      <c r="BF651" s="77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77"/>
      <c r="BU651" s="77"/>
      <c r="BV651" s="77"/>
      <c r="BW651" s="77"/>
      <c r="BX651" s="77"/>
      <c r="BY651" s="77"/>
      <c r="BZ651" s="77"/>
      <c r="CA651" s="77"/>
      <c r="CB651" s="77"/>
      <c r="CC651" s="77"/>
      <c r="CD651" s="77"/>
      <c r="CE651" s="77"/>
      <c r="CF651" s="77"/>
      <c r="CG651" s="77"/>
      <c r="CH651" s="77"/>
      <c r="CI651" s="77"/>
      <c r="CJ651" s="77"/>
      <c r="CK651" s="77"/>
      <c r="CL651" s="77"/>
      <c r="CM651" s="77"/>
      <c r="CN651" s="77"/>
      <c r="CO651" s="77"/>
      <c r="CP651" s="77"/>
      <c r="CQ651" s="77"/>
      <c r="CR651" s="77"/>
      <c r="CS651" s="77"/>
      <c r="CT651" s="77"/>
      <c r="CU651" s="77"/>
      <c r="CV651" s="77"/>
      <c r="CW651" s="77"/>
    </row>
    <row r="652" spans="1:101" ht="16.5" x14ac:dyDescent="0.45">
      <c r="A652" s="76"/>
      <c r="B652" s="77"/>
      <c r="C652" s="77"/>
      <c r="D652" s="78"/>
      <c r="E652" s="80"/>
      <c r="F652" s="80"/>
      <c r="G652" s="81"/>
      <c r="H652" s="81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82"/>
      <c r="Z652" s="82"/>
      <c r="AA652" s="82"/>
      <c r="AB652" s="80"/>
      <c r="AC652" s="77"/>
      <c r="AD652" s="77"/>
      <c r="AE652" s="77"/>
      <c r="AF652" s="77"/>
      <c r="AG652" s="77"/>
      <c r="AH652" s="77"/>
      <c r="AI652" s="92"/>
      <c r="AJ652" s="77"/>
      <c r="AK652" s="77"/>
      <c r="AL652" s="77"/>
      <c r="AM652" s="77"/>
      <c r="AN652" s="77"/>
      <c r="AO652" s="77"/>
      <c r="AP652" s="76"/>
      <c r="AQ652" s="81"/>
      <c r="AR652" s="76"/>
      <c r="AS652" s="81"/>
      <c r="AT652" s="76"/>
      <c r="AU652" s="81"/>
      <c r="AV652" s="77"/>
      <c r="AW652" s="81"/>
      <c r="AX652" s="77"/>
      <c r="AY652" s="81"/>
      <c r="AZ652" s="77"/>
      <c r="BA652" s="81"/>
      <c r="BB652" s="77"/>
      <c r="BC652" s="81"/>
      <c r="BD652" s="77"/>
      <c r="BE652" s="81"/>
      <c r="BF652" s="77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77"/>
      <c r="BU652" s="77"/>
      <c r="BV652" s="77"/>
      <c r="BW652" s="77"/>
      <c r="BX652" s="77"/>
      <c r="BY652" s="77"/>
      <c r="BZ652" s="77"/>
      <c r="CA652" s="77"/>
      <c r="CB652" s="77"/>
      <c r="CC652" s="77"/>
      <c r="CD652" s="77"/>
      <c r="CE652" s="77"/>
      <c r="CF652" s="77"/>
      <c r="CG652" s="77"/>
      <c r="CH652" s="77"/>
      <c r="CI652" s="77"/>
      <c r="CJ652" s="77"/>
      <c r="CK652" s="77"/>
      <c r="CL652" s="77"/>
      <c r="CM652" s="77"/>
      <c r="CN652" s="77"/>
      <c r="CO652" s="77"/>
      <c r="CP652" s="77"/>
      <c r="CQ652" s="77"/>
      <c r="CR652" s="77"/>
      <c r="CS652" s="77"/>
      <c r="CT652" s="77"/>
      <c r="CU652" s="77"/>
      <c r="CV652" s="77"/>
      <c r="CW652" s="77"/>
    </row>
    <row r="653" spans="1:101" ht="16.5" x14ac:dyDescent="0.45">
      <c r="A653" s="76"/>
      <c r="B653" s="77"/>
      <c r="C653" s="77"/>
      <c r="D653" s="78"/>
      <c r="E653" s="80"/>
      <c r="F653" s="80"/>
      <c r="G653" s="81"/>
      <c r="H653" s="81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82"/>
      <c r="Z653" s="82"/>
      <c r="AA653" s="82"/>
      <c r="AB653" s="80"/>
      <c r="AC653" s="77"/>
      <c r="AD653" s="77"/>
      <c r="AE653" s="77"/>
      <c r="AF653" s="77"/>
      <c r="AG653" s="77"/>
      <c r="AH653" s="77"/>
      <c r="AI653" s="92"/>
      <c r="AJ653" s="77"/>
      <c r="AK653" s="77"/>
      <c r="AL653" s="77"/>
      <c r="AM653" s="77"/>
      <c r="AN653" s="77"/>
      <c r="AO653" s="77"/>
      <c r="AP653" s="76"/>
      <c r="AQ653" s="81"/>
      <c r="AR653" s="76"/>
      <c r="AS653" s="81"/>
      <c r="AT653" s="76"/>
      <c r="AU653" s="81"/>
      <c r="AV653" s="77"/>
      <c r="AW653" s="81"/>
      <c r="AX653" s="77"/>
      <c r="AY653" s="81"/>
      <c r="AZ653" s="77"/>
      <c r="BA653" s="81"/>
      <c r="BB653" s="77"/>
      <c r="BC653" s="81"/>
      <c r="BD653" s="77"/>
      <c r="BE653" s="81"/>
      <c r="BF653" s="77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77"/>
      <c r="BU653" s="77"/>
      <c r="BV653" s="77"/>
      <c r="BW653" s="77"/>
      <c r="BX653" s="77"/>
      <c r="BY653" s="77"/>
      <c r="BZ653" s="77"/>
      <c r="CA653" s="77"/>
      <c r="CB653" s="77"/>
      <c r="CC653" s="77"/>
      <c r="CD653" s="77"/>
      <c r="CE653" s="77"/>
      <c r="CF653" s="77"/>
      <c r="CG653" s="77"/>
      <c r="CH653" s="77"/>
      <c r="CI653" s="77"/>
      <c r="CJ653" s="77"/>
      <c r="CK653" s="77"/>
      <c r="CL653" s="77"/>
      <c r="CM653" s="77"/>
      <c r="CN653" s="77"/>
      <c r="CO653" s="77"/>
      <c r="CP653" s="77"/>
      <c r="CQ653" s="77"/>
      <c r="CR653" s="77"/>
      <c r="CS653" s="77"/>
      <c r="CT653" s="77"/>
      <c r="CU653" s="77"/>
      <c r="CV653" s="77"/>
      <c r="CW653" s="77"/>
    </row>
    <row r="654" spans="1:101" ht="16.5" x14ac:dyDescent="0.45">
      <c r="A654" s="76"/>
      <c r="B654" s="77"/>
      <c r="C654" s="77"/>
      <c r="D654" s="78"/>
      <c r="E654" s="80"/>
      <c r="F654" s="80"/>
      <c r="G654" s="81"/>
      <c r="H654" s="81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82"/>
      <c r="Z654" s="82"/>
      <c r="AA654" s="82"/>
      <c r="AB654" s="80"/>
      <c r="AC654" s="77"/>
      <c r="AD654" s="77"/>
      <c r="AE654" s="77"/>
      <c r="AF654" s="77"/>
      <c r="AG654" s="77"/>
      <c r="AH654" s="77"/>
      <c r="AI654" s="92"/>
      <c r="AJ654" s="77"/>
      <c r="AK654" s="77"/>
      <c r="AL654" s="77"/>
      <c r="AM654" s="77"/>
      <c r="AN654" s="77"/>
      <c r="AO654" s="77"/>
      <c r="AP654" s="76"/>
      <c r="AQ654" s="81"/>
      <c r="AR654" s="76"/>
      <c r="AS654" s="81"/>
      <c r="AT654" s="76"/>
      <c r="AU654" s="81"/>
      <c r="AV654" s="77"/>
      <c r="AW654" s="81"/>
      <c r="AX654" s="77"/>
      <c r="AY654" s="81"/>
      <c r="AZ654" s="77"/>
      <c r="BA654" s="81"/>
      <c r="BB654" s="77"/>
      <c r="BC654" s="81"/>
      <c r="BD654" s="77"/>
      <c r="BE654" s="81"/>
      <c r="BF654" s="77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77"/>
      <c r="BU654" s="77"/>
      <c r="BV654" s="77"/>
      <c r="BW654" s="77"/>
      <c r="BX654" s="77"/>
      <c r="BY654" s="77"/>
      <c r="BZ654" s="77"/>
      <c r="CA654" s="77"/>
      <c r="CB654" s="77"/>
      <c r="CC654" s="77"/>
      <c r="CD654" s="77"/>
      <c r="CE654" s="77"/>
      <c r="CF654" s="77"/>
      <c r="CG654" s="77"/>
      <c r="CH654" s="77"/>
      <c r="CI654" s="77"/>
      <c r="CJ654" s="77"/>
      <c r="CK654" s="77"/>
      <c r="CL654" s="77"/>
      <c r="CM654" s="77"/>
      <c r="CN654" s="77"/>
      <c r="CO654" s="77"/>
      <c r="CP654" s="77"/>
      <c r="CQ654" s="77"/>
      <c r="CR654" s="77"/>
      <c r="CS654" s="77"/>
      <c r="CT654" s="77"/>
      <c r="CU654" s="77"/>
      <c r="CV654" s="77"/>
      <c r="CW654" s="77"/>
    </row>
    <row r="655" spans="1:101" ht="16.5" x14ac:dyDescent="0.45">
      <c r="A655" s="76"/>
      <c r="B655" s="77"/>
      <c r="C655" s="77"/>
      <c r="D655" s="78"/>
      <c r="E655" s="80"/>
      <c r="F655" s="80"/>
      <c r="G655" s="81"/>
      <c r="H655" s="81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82"/>
      <c r="Z655" s="82"/>
      <c r="AA655" s="82"/>
      <c r="AB655" s="80"/>
      <c r="AC655" s="77"/>
      <c r="AD655" s="77"/>
      <c r="AE655" s="77"/>
      <c r="AF655" s="77"/>
      <c r="AG655" s="77"/>
      <c r="AH655" s="77"/>
      <c r="AI655" s="92"/>
      <c r="AJ655" s="77"/>
      <c r="AK655" s="77"/>
      <c r="AL655" s="77"/>
      <c r="AM655" s="77"/>
      <c r="AN655" s="77"/>
      <c r="AO655" s="77"/>
      <c r="AP655" s="76"/>
      <c r="AQ655" s="81"/>
      <c r="AR655" s="76"/>
      <c r="AS655" s="81"/>
      <c r="AT655" s="76"/>
      <c r="AU655" s="81"/>
      <c r="AV655" s="77"/>
      <c r="AW655" s="81"/>
      <c r="AX655" s="77"/>
      <c r="AY655" s="81"/>
      <c r="AZ655" s="77"/>
      <c r="BA655" s="81"/>
      <c r="BB655" s="77"/>
      <c r="BC655" s="81"/>
      <c r="BD655" s="77"/>
      <c r="BE655" s="81"/>
      <c r="BF655" s="77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77"/>
      <c r="BU655" s="77"/>
      <c r="BV655" s="77"/>
      <c r="BW655" s="77"/>
      <c r="BX655" s="77"/>
      <c r="BY655" s="77"/>
      <c r="BZ655" s="77"/>
      <c r="CA655" s="77"/>
      <c r="CB655" s="77"/>
      <c r="CC655" s="77"/>
      <c r="CD655" s="77"/>
      <c r="CE655" s="77"/>
      <c r="CF655" s="77"/>
      <c r="CG655" s="77"/>
      <c r="CH655" s="77"/>
      <c r="CI655" s="77"/>
      <c r="CJ655" s="77"/>
      <c r="CK655" s="77"/>
      <c r="CL655" s="77"/>
      <c r="CM655" s="77"/>
      <c r="CN655" s="77"/>
      <c r="CO655" s="77"/>
      <c r="CP655" s="77"/>
      <c r="CQ655" s="77"/>
      <c r="CR655" s="77"/>
      <c r="CS655" s="77"/>
      <c r="CT655" s="77"/>
      <c r="CU655" s="77"/>
      <c r="CV655" s="77"/>
      <c r="CW655" s="77"/>
    </row>
    <row r="656" spans="1:101" ht="16.5" x14ac:dyDescent="0.45">
      <c r="A656" s="76"/>
      <c r="B656" s="77"/>
      <c r="C656" s="77"/>
      <c r="D656" s="78"/>
      <c r="E656" s="80"/>
      <c r="F656" s="80"/>
      <c r="G656" s="81"/>
      <c r="H656" s="81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82"/>
      <c r="Z656" s="82"/>
      <c r="AA656" s="82"/>
      <c r="AB656" s="80"/>
      <c r="AC656" s="77"/>
      <c r="AD656" s="77"/>
      <c r="AE656" s="77"/>
      <c r="AF656" s="77"/>
      <c r="AG656" s="77"/>
      <c r="AH656" s="77"/>
      <c r="AI656" s="92"/>
      <c r="AJ656" s="77"/>
      <c r="AK656" s="77"/>
      <c r="AL656" s="77"/>
      <c r="AM656" s="77"/>
      <c r="AN656" s="77"/>
      <c r="AO656" s="77"/>
      <c r="AP656" s="76"/>
      <c r="AQ656" s="81"/>
      <c r="AR656" s="76"/>
      <c r="AS656" s="81"/>
      <c r="AT656" s="76"/>
      <c r="AU656" s="81"/>
      <c r="AV656" s="77"/>
      <c r="AW656" s="81"/>
      <c r="AX656" s="77"/>
      <c r="AY656" s="81"/>
      <c r="AZ656" s="77"/>
      <c r="BA656" s="81"/>
      <c r="BB656" s="77"/>
      <c r="BC656" s="81"/>
      <c r="BD656" s="77"/>
      <c r="BE656" s="81"/>
      <c r="BF656" s="77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77"/>
      <c r="BU656" s="77"/>
      <c r="BV656" s="77"/>
      <c r="BW656" s="77"/>
      <c r="BX656" s="77"/>
      <c r="BY656" s="77"/>
      <c r="BZ656" s="77"/>
      <c r="CA656" s="77"/>
      <c r="CB656" s="77"/>
      <c r="CC656" s="77"/>
      <c r="CD656" s="77"/>
      <c r="CE656" s="77"/>
      <c r="CF656" s="77"/>
      <c r="CG656" s="77"/>
      <c r="CH656" s="77"/>
      <c r="CI656" s="77"/>
      <c r="CJ656" s="77"/>
      <c r="CK656" s="77"/>
      <c r="CL656" s="77"/>
      <c r="CM656" s="77"/>
      <c r="CN656" s="77"/>
      <c r="CO656" s="77"/>
      <c r="CP656" s="77"/>
      <c r="CQ656" s="77"/>
      <c r="CR656" s="77"/>
      <c r="CS656" s="77"/>
      <c r="CT656" s="77"/>
      <c r="CU656" s="77"/>
      <c r="CV656" s="77"/>
      <c r="CW656" s="77"/>
    </row>
    <row r="657" spans="1:101" ht="16.5" x14ac:dyDescent="0.45">
      <c r="A657" s="76"/>
      <c r="B657" s="77"/>
      <c r="C657" s="77"/>
      <c r="D657" s="78"/>
      <c r="E657" s="80"/>
      <c r="F657" s="80"/>
      <c r="G657" s="81"/>
      <c r="H657" s="81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82"/>
      <c r="Z657" s="82"/>
      <c r="AA657" s="82"/>
      <c r="AB657" s="80"/>
      <c r="AC657" s="77"/>
      <c r="AD657" s="77"/>
      <c r="AE657" s="77"/>
      <c r="AF657" s="77"/>
      <c r="AG657" s="77"/>
      <c r="AH657" s="77"/>
      <c r="AI657" s="92"/>
      <c r="AJ657" s="77"/>
      <c r="AK657" s="77"/>
      <c r="AL657" s="77"/>
      <c r="AM657" s="77"/>
      <c r="AN657" s="77"/>
      <c r="AO657" s="77"/>
      <c r="AP657" s="76"/>
      <c r="AQ657" s="81"/>
      <c r="AR657" s="76"/>
      <c r="AS657" s="81"/>
      <c r="AT657" s="76"/>
      <c r="AU657" s="81"/>
      <c r="AV657" s="77"/>
      <c r="AW657" s="81"/>
      <c r="AX657" s="77"/>
      <c r="AY657" s="81"/>
      <c r="AZ657" s="77"/>
      <c r="BA657" s="81"/>
      <c r="BB657" s="77"/>
      <c r="BC657" s="81"/>
      <c r="BD657" s="77"/>
      <c r="BE657" s="81"/>
      <c r="BF657" s="77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77"/>
      <c r="BU657" s="77"/>
      <c r="BV657" s="77"/>
      <c r="BW657" s="77"/>
      <c r="BX657" s="77"/>
      <c r="BY657" s="77"/>
      <c r="BZ657" s="77"/>
      <c r="CA657" s="77"/>
      <c r="CB657" s="77"/>
      <c r="CC657" s="77"/>
      <c r="CD657" s="77"/>
      <c r="CE657" s="77"/>
      <c r="CF657" s="77"/>
      <c r="CG657" s="77"/>
      <c r="CH657" s="77"/>
      <c r="CI657" s="77"/>
      <c r="CJ657" s="77"/>
      <c r="CK657" s="77"/>
      <c r="CL657" s="77"/>
      <c r="CM657" s="77"/>
      <c r="CN657" s="77"/>
      <c r="CO657" s="77"/>
      <c r="CP657" s="77"/>
      <c r="CQ657" s="77"/>
      <c r="CR657" s="77"/>
      <c r="CS657" s="77"/>
      <c r="CT657" s="77"/>
      <c r="CU657" s="77"/>
      <c r="CV657" s="77"/>
      <c r="CW657" s="77"/>
    </row>
    <row r="658" spans="1:101" ht="16.5" x14ac:dyDescent="0.45">
      <c r="A658" s="76"/>
      <c r="B658" s="77"/>
      <c r="C658" s="77"/>
      <c r="D658" s="78"/>
      <c r="E658" s="80"/>
      <c r="F658" s="80"/>
      <c r="G658" s="81"/>
      <c r="H658" s="81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82"/>
      <c r="Z658" s="82"/>
      <c r="AA658" s="82"/>
      <c r="AB658" s="80"/>
      <c r="AC658" s="77"/>
      <c r="AD658" s="77"/>
      <c r="AE658" s="77"/>
      <c r="AF658" s="77"/>
      <c r="AG658" s="77"/>
      <c r="AH658" s="77"/>
      <c r="AI658" s="92"/>
      <c r="AJ658" s="77"/>
      <c r="AK658" s="77"/>
      <c r="AL658" s="77"/>
      <c r="AM658" s="77"/>
      <c r="AN658" s="77"/>
      <c r="AO658" s="77"/>
      <c r="AP658" s="76"/>
      <c r="AQ658" s="81"/>
      <c r="AR658" s="76"/>
      <c r="AS658" s="81"/>
      <c r="AT658" s="76"/>
      <c r="AU658" s="81"/>
      <c r="AV658" s="77"/>
      <c r="AW658" s="81"/>
      <c r="AX658" s="77"/>
      <c r="AY658" s="81"/>
      <c r="AZ658" s="77"/>
      <c r="BA658" s="81"/>
      <c r="BB658" s="77"/>
      <c r="BC658" s="81"/>
      <c r="BD658" s="77"/>
      <c r="BE658" s="81"/>
      <c r="BF658" s="77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77"/>
      <c r="BU658" s="77"/>
      <c r="BV658" s="77"/>
      <c r="BW658" s="77"/>
      <c r="BX658" s="77"/>
      <c r="BY658" s="77"/>
      <c r="BZ658" s="77"/>
      <c r="CA658" s="77"/>
      <c r="CB658" s="77"/>
      <c r="CC658" s="77"/>
      <c r="CD658" s="77"/>
      <c r="CE658" s="77"/>
      <c r="CF658" s="77"/>
      <c r="CG658" s="77"/>
      <c r="CH658" s="77"/>
      <c r="CI658" s="77"/>
      <c r="CJ658" s="77"/>
      <c r="CK658" s="77"/>
      <c r="CL658" s="77"/>
      <c r="CM658" s="77"/>
      <c r="CN658" s="77"/>
      <c r="CO658" s="77"/>
      <c r="CP658" s="77"/>
      <c r="CQ658" s="77"/>
      <c r="CR658" s="77"/>
      <c r="CS658" s="77"/>
      <c r="CT658" s="77"/>
      <c r="CU658" s="77"/>
      <c r="CV658" s="77"/>
      <c r="CW658" s="77"/>
    </row>
    <row r="659" spans="1:101" ht="16.5" x14ac:dyDescent="0.45">
      <c r="A659" s="76"/>
      <c r="B659" s="77"/>
      <c r="C659" s="77"/>
      <c r="D659" s="78"/>
      <c r="E659" s="80"/>
      <c r="F659" s="80"/>
      <c r="G659" s="81"/>
      <c r="H659" s="81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82"/>
      <c r="Z659" s="82"/>
      <c r="AA659" s="82"/>
      <c r="AB659" s="80"/>
      <c r="AC659" s="77"/>
      <c r="AD659" s="77"/>
      <c r="AE659" s="77"/>
      <c r="AF659" s="77"/>
      <c r="AG659" s="77"/>
      <c r="AH659" s="77"/>
      <c r="AI659" s="92"/>
      <c r="AJ659" s="77"/>
      <c r="AK659" s="77"/>
      <c r="AL659" s="77"/>
      <c r="AM659" s="77"/>
      <c r="AN659" s="77"/>
      <c r="AO659" s="77"/>
      <c r="AP659" s="76"/>
      <c r="AQ659" s="81"/>
      <c r="AR659" s="76"/>
      <c r="AS659" s="81"/>
      <c r="AT659" s="76"/>
      <c r="AU659" s="81"/>
      <c r="AV659" s="77"/>
      <c r="AW659" s="81"/>
      <c r="AX659" s="77"/>
      <c r="AY659" s="81"/>
      <c r="AZ659" s="77"/>
      <c r="BA659" s="81"/>
      <c r="BB659" s="77"/>
      <c r="BC659" s="81"/>
      <c r="BD659" s="77"/>
      <c r="BE659" s="81"/>
      <c r="BF659" s="77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77"/>
      <c r="BU659" s="77"/>
      <c r="BV659" s="77"/>
      <c r="BW659" s="77"/>
      <c r="BX659" s="77"/>
      <c r="BY659" s="77"/>
      <c r="BZ659" s="77"/>
      <c r="CA659" s="77"/>
      <c r="CB659" s="77"/>
      <c r="CC659" s="77"/>
      <c r="CD659" s="77"/>
      <c r="CE659" s="77"/>
      <c r="CF659" s="77"/>
      <c r="CG659" s="77"/>
      <c r="CH659" s="77"/>
      <c r="CI659" s="77"/>
      <c r="CJ659" s="77"/>
      <c r="CK659" s="77"/>
      <c r="CL659" s="77"/>
      <c r="CM659" s="77"/>
      <c r="CN659" s="77"/>
      <c r="CO659" s="77"/>
      <c r="CP659" s="77"/>
      <c r="CQ659" s="77"/>
      <c r="CR659" s="77"/>
      <c r="CS659" s="77"/>
      <c r="CT659" s="77"/>
      <c r="CU659" s="77"/>
      <c r="CV659" s="77"/>
      <c r="CW659" s="77"/>
    </row>
    <row r="660" spans="1:101" ht="16.5" x14ac:dyDescent="0.45">
      <c r="A660" s="76"/>
      <c r="B660" s="77"/>
      <c r="C660" s="77"/>
      <c r="D660" s="78"/>
      <c r="E660" s="80"/>
      <c r="F660" s="80"/>
      <c r="G660" s="81"/>
      <c r="H660" s="81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82"/>
      <c r="Z660" s="82"/>
      <c r="AA660" s="82"/>
      <c r="AB660" s="80"/>
      <c r="AC660" s="77"/>
      <c r="AD660" s="77"/>
      <c r="AE660" s="77"/>
      <c r="AF660" s="77"/>
      <c r="AG660" s="77"/>
      <c r="AH660" s="77"/>
      <c r="AI660" s="92"/>
      <c r="AJ660" s="77"/>
      <c r="AK660" s="77"/>
      <c r="AL660" s="77"/>
      <c r="AM660" s="77"/>
      <c r="AN660" s="77"/>
      <c r="AO660" s="77"/>
      <c r="AP660" s="76"/>
      <c r="AQ660" s="81"/>
      <c r="AR660" s="76"/>
      <c r="AS660" s="81"/>
      <c r="AT660" s="76"/>
      <c r="AU660" s="81"/>
      <c r="AV660" s="77"/>
      <c r="AW660" s="81"/>
      <c r="AX660" s="77"/>
      <c r="AY660" s="81"/>
      <c r="AZ660" s="77"/>
      <c r="BA660" s="81"/>
      <c r="BB660" s="77"/>
      <c r="BC660" s="81"/>
      <c r="BD660" s="77"/>
      <c r="BE660" s="81"/>
      <c r="BF660" s="77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77"/>
      <c r="BU660" s="77"/>
      <c r="BV660" s="77"/>
      <c r="BW660" s="77"/>
      <c r="BX660" s="77"/>
      <c r="BY660" s="77"/>
      <c r="BZ660" s="77"/>
      <c r="CA660" s="77"/>
      <c r="CB660" s="77"/>
      <c r="CC660" s="77"/>
      <c r="CD660" s="77"/>
      <c r="CE660" s="77"/>
      <c r="CF660" s="77"/>
      <c r="CG660" s="77"/>
      <c r="CH660" s="77"/>
      <c r="CI660" s="77"/>
      <c r="CJ660" s="77"/>
      <c r="CK660" s="77"/>
      <c r="CL660" s="77"/>
      <c r="CM660" s="77"/>
      <c r="CN660" s="77"/>
      <c r="CO660" s="77"/>
      <c r="CP660" s="77"/>
      <c r="CQ660" s="77"/>
      <c r="CR660" s="77"/>
      <c r="CS660" s="77"/>
      <c r="CT660" s="77"/>
      <c r="CU660" s="77"/>
      <c r="CV660" s="77"/>
      <c r="CW660" s="77"/>
    </row>
    <row r="661" spans="1:101" ht="16.5" x14ac:dyDescent="0.45">
      <c r="A661" s="76"/>
      <c r="B661" s="77"/>
      <c r="C661" s="77"/>
      <c r="D661" s="78"/>
      <c r="E661" s="80"/>
      <c r="F661" s="80"/>
      <c r="G661" s="81"/>
      <c r="H661" s="81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82"/>
      <c r="Z661" s="82"/>
      <c r="AA661" s="82"/>
      <c r="AB661" s="80"/>
      <c r="AC661" s="77"/>
      <c r="AD661" s="77"/>
      <c r="AE661" s="77"/>
      <c r="AF661" s="77"/>
      <c r="AG661" s="77"/>
      <c r="AH661" s="77"/>
      <c r="AI661" s="92"/>
      <c r="AJ661" s="77"/>
      <c r="AK661" s="77"/>
      <c r="AL661" s="77"/>
      <c r="AM661" s="77"/>
      <c r="AN661" s="77"/>
      <c r="AO661" s="77"/>
      <c r="AP661" s="76"/>
      <c r="AQ661" s="81"/>
      <c r="AR661" s="76"/>
      <c r="AS661" s="81"/>
      <c r="AT661" s="76"/>
      <c r="AU661" s="81"/>
      <c r="AV661" s="77"/>
      <c r="AW661" s="81"/>
      <c r="AX661" s="77"/>
      <c r="AY661" s="81"/>
      <c r="AZ661" s="77"/>
      <c r="BA661" s="81"/>
      <c r="BB661" s="77"/>
      <c r="BC661" s="81"/>
      <c r="BD661" s="77"/>
      <c r="BE661" s="81"/>
      <c r="BF661" s="77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77"/>
      <c r="BU661" s="77"/>
      <c r="BV661" s="77"/>
      <c r="BW661" s="77"/>
      <c r="BX661" s="77"/>
      <c r="BY661" s="77"/>
      <c r="BZ661" s="77"/>
      <c r="CA661" s="77"/>
      <c r="CB661" s="77"/>
      <c r="CC661" s="77"/>
      <c r="CD661" s="77"/>
      <c r="CE661" s="77"/>
      <c r="CF661" s="77"/>
      <c r="CG661" s="77"/>
      <c r="CH661" s="77"/>
      <c r="CI661" s="77"/>
      <c r="CJ661" s="77"/>
      <c r="CK661" s="77"/>
      <c r="CL661" s="77"/>
      <c r="CM661" s="77"/>
      <c r="CN661" s="77"/>
      <c r="CO661" s="77"/>
      <c r="CP661" s="77"/>
      <c r="CQ661" s="77"/>
      <c r="CR661" s="77"/>
      <c r="CS661" s="77"/>
      <c r="CT661" s="77"/>
      <c r="CU661" s="77"/>
      <c r="CV661" s="77"/>
      <c r="CW661" s="77"/>
    </row>
    <row r="662" spans="1:101" ht="16.5" x14ac:dyDescent="0.45">
      <c r="A662" s="76"/>
      <c r="B662" s="77"/>
      <c r="C662" s="77"/>
      <c r="D662" s="78"/>
      <c r="E662" s="80"/>
      <c r="F662" s="80"/>
      <c r="G662" s="81"/>
      <c r="H662" s="81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82"/>
      <c r="Z662" s="82"/>
      <c r="AA662" s="82"/>
      <c r="AB662" s="80"/>
      <c r="AC662" s="77"/>
      <c r="AD662" s="77"/>
      <c r="AE662" s="77"/>
      <c r="AF662" s="77"/>
      <c r="AG662" s="77"/>
      <c r="AH662" s="77"/>
      <c r="AI662" s="92"/>
      <c r="AJ662" s="77"/>
      <c r="AK662" s="77"/>
      <c r="AL662" s="77"/>
      <c r="AM662" s="77"/>
      <c r="AN662" s="77"/>
      <c r="AO662" s="77"/>
      <c r="AP662" s="76"/>
      <c r="AQ662" s="81"/>
      <c r="AR662" s="76"/>
      <c r="AS662" s="81"/>
      <c r="AT662" s="76"/>
      <c r="AU662" s="81"/>
      <c r="AV662" s="77"/>
      <c r="AW662" s="81"/>
      <c r="AX662" s="77"/>
      <c r="AY662" s="81"/>
      <c r="AZ662" s="77"/>
      <c r="BA662" s="81"/>
      <c r="BB662" s="77"/>
      <c r="BC662" s="81"/>
      <c r="BD662" s="77"/>
      <c r="BE662" s="81"/>
      <c r="BF662" s="77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77"/>
      <c r="BU662" s="77"/>
      <c r="BV662" s="77"/>
      <c r="BW662" s="77"/>
      <c r="BX662" s="77"/>
      <c r="BY662" s="77"/>
      <c r="BZ662" s="77"/>
      <c r="CA662" s="77"/>
      <c r="CB662" s="77"/>
      <c r="CC662" s="77"/>
      <c r="CD662" s="77"/>
      <c r="CE662" s="77"/>
      <c r="CF662" s="77"/>
      <c r="CG662" s="77"/>
      <c r="CH662" s="77"/>
      <c r="CI662" s="77"/>
      <c r="CJ662" s="77"/>
      <c r="CK662" s="77"/>
      <c r="CL662" s="77"/>
      <c r="CM662" s="77"/>
      <c r="CN662" s="77"/>
      <c r="CO662" s="77"/>
      <c r="CP662" s="77"/>
      <c r="CQ662" s="77"/>
      <c r="CR662" s="77"/>
      <c r="CS662" s="77"/>
      <c r="CT662" s="77"/>
      <c r="CU662" s="77"/>
      <c r="CV662" s="77"/>
      <c r="CW662" s="77"/>
    </row>
    <row r="663" spans="1:101" ht="16.5" x14ac:dyDescent="0.45">
      <c r="A663" s="76"/>
      <c r="B663" s="77"/>
      <c r="C663" s="77"/>
      <c r="D663" s="78"/>
      <c r="E663" s="80"/>
      <c r="F663" s="80"/>
      <c r="G663" s="81"/>
      <c r="H663" s="81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82"/>
      <c r="Z663" s="82"/>
      <c r="AA663" s="82"/>
      <c r="AB663" s="80"/>
      <c r="AC663" s="77"/>
      <c r="AD663" s="77"/>
      <c r="AE663" s="77"/>
      <c r="AF663" s="77"/>
      <c r="AG663" s="77"/>
      <c r="AH663" s="77"/>
      <c r="AI663" s="92"/>
      <c r="AJ663" s="77"/>
      <c r="AK663" s="77"/>
      <c r="AL663" s="77"/>
      <c r="AM663" s="77"/>
      <c r="AN663" s="77"/>
      <c r="AO663" s="77"/>
      <c r="AP663" s="76"/>
      <c r="AQ663" s="81"/>
      <c r="AR663" s="76"/>
      <c r="AS663" s="81"/>
      <c r="AT663" s="76"/>
      <c r="AU663" s="81"/>
      <c r="AV663" s="77"/>
      <c r="AW663" s="81"/>
      <c r="AX663" s="77"/>
      <c r="AY663" s="81"/>
      <c r="AZ663" s="77"/>
      <c r="BA663" s="81"/>
      <c r="BB663" s="77"/>
      <c r="BC663" s="81"/>
      <c r="BD663" s="77"/>
      <c r="BE663" s="81"/>
      <c r="BF663" s="77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77"/>
      <c r="BU663" s="77"/>
      <c r="BV663" s="77"/>
      <c r="BW663" s="77"/>
      <c r="BX663" s="77"/>
      <c r="BY663" s="77"/>
      <c r="BZ663" s="77"/>
      <c r="CA663" s="77"/>
      <c r="CB663" s="77"/>
      <c r="CC663" s="77"/>
      <c r="CD663" s="77"/>
      <c r="CE663" s="77"/>
      <c r="CF663" s="77"/>
      <c r="CG663" s="77"/>
      <c r="CH663" s="77"/>
      <c r="CI663" s="77"/>
      <c r="CJ663" s="77"/>
      <c r="CK663" s="77"/>
      <c r="CL663" s="77"/>
      <c r="CM663" s="77"/>
      <c r="CN663" s="77"/>
      <c r="CO663" s="77"/>
      <c r="CP663" s="77"/>
      <c r="CQ663" s="77"/>
      <c r="CR663" s="77"/>
      <c r="CS663" s="77"/>
      <c r="CT663" s="77"/>
      <c r="CU663" s="77"/>
      <c r="CV663" s="77"/>
      <c r="CW663" s="77"/>
    </row>
    <row r="664" spans="1:101" ht="16.5" x14ac:dyDescent="0.45">
      <c r="A664" s="76"/>
      <c r="B664" s="77"/>
      <c r="C664" s="77"/>
      <c r="D664" s="78"/>
      <c r="E664" s="80"/>
      <c r="F664" s="80"/>
      <c r="G664" s="81"/>
      <c r="H664" s="81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82"/>
      <c r="Z664" s="82"/>
      <c r="AA664" s="82"/>
      <c r="AB664" s="80"/>
      <c r="AC664" s="77"/>
      <c r="AD664" s="77"/>
      <c r="AE664" s="77"/>
      <c r="AF664" s="77"/>
      <c r="AG664" s="77"/>
      <c r="AH664" s="77"/>
      <c r="AI664" s="92"/>
      <c r="AJ664" s="77"/>
      <c r="AK664" s="77"/>
      <c r="AL664" s="77"/>
      <c r="AM664" s="77"/>
      <c r="AN664" s="77"/>
      <c r="AO664" s="77"/>
      <c r="AP664" s="76"/>
      <c r="AQ664" s="81"/>
      <c r="AR664" s="76"/>
      <c r="AS664" s="81"/>
      <c r="AT664" s="76"/>
      <c r="AU664" s="81"/>
      <c r="AV664" s="77"/>
      <c r="AW664" s="81"/>
      <c r="AX664" s="77"/>
      <c r="AY664" s="81"/>
      <c r="AZ664" s="77"/>
      <c r="BA664" s="81"/>
      <c r="BB664" s="77"/>
      <c r="BC664" s="81"/>
      <c r="BD664" s="77"/>
      <c r="BE664" s="81"/>
      <c r="BF664" s="77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77"/>
      <c r="BU664" s="77"/>
      <c r="BV664" s="77"/>
      <c r="BW664" s="77"/>
      <c r="BX664" s="77"/>
      <c r="BY664" s="77"/>
      <c r="BZ664" s="77"/>
      <c r="CA664" s="77"/>
      <c r="CB664" s="77"/>
      <c r="CC664" s="77"/>
      <c r="CD664" s="77"/>
      <c r="CE664" s="77"/>
      <c r="CF664" s="77"/>
      <c r="CG664" s="77"/>
      <c r="CH664" s="77"/>
      <c r="CI664" s="77"/>
      <c r="CJ664" s="77"/>
      <c r="CK664" s="77"/>
      <c r="CL664" s="77"/>
      <c r="CM664" s="77"/>
      <c r="CN664" s="77"/>
      <c r="CO664" s="77"/>
      <c r="CP664" s="77"/>
      <c r="CQ664" s="77"/>
      <c r="CR664" s="77"/>
      <c r="CS664" s="77"/>
      <c r="CT664" s="77"/>
      <c r="CU664" s="77"/>
      <c r="CV664" s="77"/>
      <c r="CW664" s="77"/>
    </row>
    <row r="665" spans="1:101" ht="16.5" x14ac:dyDescent="0.45">
      <c r="A665" s="76"/>
      <c r="B665" s="77"/>
      <c r="C665" s="77"/>
      <c r="D665" s="78"/>
      <c r="E665" s="80"/>
      <c r="F665" s="80"/>
      <c r="G665" s="81"/>
      <c r="H665" s="81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82"/>
      <c r="Z665" s="82"/>
      <c r="AA665" s="82"/>
      <c r="AB665" s="80"/>
      <c r="AC665" s="77"/>
      <c r="AD665" s="77"/>
      <c r="AE665" s="77"/>
      <c r="AF665" s="77"/>
      <c r="AG665" s="77"/>
      <c r="AH665" s="77"/>
      <c r="AI665" s="92"/>
      <c r="AJ665" s="77"/>
      <c r="AK665" s="77"/>
      <c r="AL665" s="77"/>
      <c r="AM665" s="77"/>
      <c r="AN665" s="77"/>
      <c r="AO665" s="77"/>
      <c r="AP665" s="76"/>
      <c r="AQ665" s="81"/>
      <c r="AR665" s="76"/>
      <c r="AS665" s="81"/>
      <c r="AT665" s="76"/>
      <c r="AU665" s="81"/>
      <c r="AV665" s="77"/>
      <c r="AW665" s="81"/>
      <c r="AX665" s="77"/>
      <c r="AY665" s="81"/>
      <c r="AZ665" s="77"/>
      <c r="BA665" s="81"/>
      <c r="BB665" s="77"/>
      <c r="BC665" s="81"/>
      <c r="BD665" s="77"/>
      <c r="BE665" s="81"/>
      <c r="BF665" s="77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77"/>
      <c r="BU665" s="77"/>
      <c r="BV665" s="77"/>
      <c r="BW665" s="77"/>
      <c r="BX665" s="77"/>
      <c r="BY665" s="77"/>
      <c r="BZ665" s="77"/>
      <c r="CA665" s="77"/>
      <c r="CB665" s="77"/>
      <c r="CC665" s="77"/>
      <c r="CD665" s="77"/>
      <c r="CE665" s="77"/>
      <c r="CF665" s="77"/>
      <c r="CG665" s="77"/>
      <c r="CH665" s="77"/>
      <c r="CI665" s="77"/>
      <c r="CJ665" s="77"/>
      <c r="CK665" s="77"/>
      <c r="CL665" s="77"/>
      <c r="CM665" s="77"/>
      <c r="CN665" s="77"/>
      <c r="CO665" s="77"/>
      <c r="CP665" s="77"/>
      <c r="CQ665" s="77"/>
      <c r="CR665" s="77"/>
      <c r="CS665" s="77"/>
      <c r="CT665" s="77"/>
      <c r="CU665" s="77"/>
      <c r="CV665" s="77"/>
      <c r="CW665" s="77"/>
    </row>
    <row r="666" spans="1:101" ht="16.5" x14ac:dyDescent="0.45">
      <c r="A666" s="76"/>
      <c r="B666" s="77"/>
      <c r="C666" s="77"/>
      <c r="D666" s="78"/>
      <c r="E666" s="80"/>
      <c r="F666" s="80"/>
      <c r="G666" s="81"/>
      <c r="H666" s="81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82"/>
      <c r="Z666" s="82"/>
      <c r="AA666" s="82"/>
      <c r="AB666" s="80"/>
      <c r="AC666" s="77"/>
      <c r="AD666" s="77"/>
      <c r="AE666" s="77"/>
      <c r="AF666" s="77"/>
      <c r="AG666" s="77"/>
      <c r="AH666" s="77"/>
      <c r="AI666" s="92"/>
      <c r="AJ666" s="77"/>
      <c r="AK666" s="77"/>
      <c r="AL666" s="77"/>
      <c r="AM666" s="77"/>
      <c r="AN666" s="77"/>
      <c r="AO666" s="77"/>
      <c r="AP666" s="76"/>
      <c r="AQ666" s="81"/>
      <c r="AR666" s="76"/>
      <c r="AS666" s="81"/>
      <c r="AT666" s="76"/>
      <c r="AU666" s="81"/>
      <c r="AV666" s="77"/>
      <c r="AW666" s="81"/>
      <c r="AX666" s="77"/>
      <c r="AY666" s="81"/>
      <c r="AZ666" s="77"/>
      <c r="BA666" s="81"/>
      <c r="BB666" s="77"/>
      <c r="BC666" s="81"/>
      <c r="BD666" s="77"/>
      <c r="BE666" s="81"/>
      <c r="BF666" s="77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77"/>
      <c r="BU666" s="77"/>
      <c r="BV666" s="77"/>
      <c r="BW666" s="77"/>
      <c r="BX666" s="77"/>
      <c r="BY666" s="77"/>
      <c r="BZ666" s="77"/>
      <c r="CA666" s="77"/>
      <c r="CB666" s="77"/>
      <c r="CC666" s="77"/>
      <c r="CD666" s="77"/>
      <c r="CE666" s="77"/>
      <c r="CF666" s="77"/>
      <c r="CG666" s="77"/>
      <c r="CH666" s="77"/>
      <c r="CI666" s="77"/>
      <c r="CJ666" s="77"/>
      <c r="CK666" s="77"/>
      <c r="CL666" s="77"/>
      <c r="CM666" s="77"/>
      <c r="CN666" s="77"/>
      <c r="CO666" s="77"/>
      <c r="CP666" s="77"/>
      <c r="CQ666" s="77"/>
      <c r="CR666" s="77"/>
      <c r="CS666" s="77"/>
      <c r="CT666" s="77"/>
      <c r="CU666" s="77"/>
      <c r="CV666" s="77"/>
      <c r="CW666" s="77"/>
    </row>
    <row r="667" spans="1:101" ht="16.5" x14ac:dyDescent="0.45">
      <c r="A667" s="76"/>
      <c r="B667" s="77"/>
      <c r="C667" s="77"/>
      <c r="D667" s="78"/>
      <c r="E667" s="80"/>
      <c r="F667" s="80"/>
      <c r="G667" s="81"/>
      <c r="H667" s="81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82"/>
      <c r="Z667" s="82"/>
      <c r="AA667" s="82"/>
      <c r="AB667" s="80"/>
      <c r="AC667" s="77"/>
      <c r="AD667" s="77"/>
      <c r="AE667" s="77"/>
      <c r="AF667" s="77"/>
      <c r="AG667" s="77"/>
      <c r="AH667" s="77"/>
      <c r="AI667" s="92"/>
      <c r="AJ667" s="77"/>
      <c r="AK667" s="77"/>
      <c r="AL667" s="77"/>
      <c r="AM667" s="77"/>
      <c r="AN667" s="77"/>
      <c r="AO667" s="77"/>
      <c r="AP667" s="76"/>
      <c r="AQ667" s="81"/>
      <c r="AR667" s="76"/>
      <c r="AS667" s="81"/>
      <c r="AT667" s="76"/>
      <c r="AU667" s="81"/>
      <c r="AV667" s="77"/>
      <c r="AW667" s="81"/>
      <c r="AX667" s="77"/>
      <c r="AY667" s="81"/>
      <c r="AZ667" s="77"/>
      <c r="BA667" s="81"/>
      <c r="BB667" s="77"/>
      <c r="BC667" s="81"/>
      <c r="BD667" s="77"/>
      <c r="BE667" s="81"/>
      <c r="BF667" s="77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77"/>
      <c r="BU667" s="77"/>
      <c r="BV667" s="77"/>
      <c r="BW667" s="77"/>
      <c r="BX667" s="77"/>
      <c r="BY667" s="77"/>
      <c r="BZ667" s="77"/>
      <c r="CA667" s="77"/>
      <c r="CB667" s="77"/>
      <c r="CC667" s="77"/>
      <c r="CD667" s="77"/>
      <c r="CE667" s="77"/>
      <c r="CF667" s="77"/>
      <c r="CG667" s="77"/>
      <c r="CH667" s="77"/>
      <c r="CI667" s="77"/>
      <c r="CJ667" s="77"/>
      <c r="CK667" s="77"/>
      <c r="CL667" s="77"/>
      <c r="CM667" s="77"/>
      <c r="CN667" s="77"/>
      <c r="CO667" s="77"/>
      <c r="CP667" s="77"/>
      <c r="CQ667" s="77"/>
      <c r="CR667" s="77"/>
      <c r="CS667" s="77"/>
      <c r="CT667" s="77"/>
      <c r="CU667" s="77"/>
      <c r="CV667" s="77"/>
      <c r="CW667" s="77"/>
    </row>
    <row r="668" spans="1:101" ht="16.5" x14ac:dyDescent="0.45">
      <c r="A668" s="76"/>
      <c r="B668" s="77"/>
      <c r="C668" s="77"/>
      <c r="D668" s="78"/>
      <c r="E668" s="80"/>
      <c r="F668" s="80"/>
      <c r="G668" s="81"/>
      <c r="H668" s="81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82"/>
      <c r="Z668" s="82"/>
      <c r="AA668" s="82"/>
      <c r="AB668" s="80"/>
      <c r="AC668" s="77"/>
      <c r="AD668" s="77"/>
      <c r="AE668" s="77"/>
      <c r="AF668" s="77"/>
      <c r="AG668" s="77"/>
      <c r="AH668" s="77"/>
      <c r="AI668" s="92"/>
      <c r="AJ668" s="77"/>
      <c r="AK668" s="77"/>
      <c r="AL668" s="77"/>
      <c r="AM668" s="77"/>
      <c r="AN668" s="77"/>
      <c r="AO668" s="77"/>
      <c r="AP668" s="76"/>
      <c r="AQ668" s="81"/>
      <c r="AR668" s="76"/>
      <c r="AS668" s="81"/>
      <c r="AT668" s="76"/>
      <c r="AU668" s="81"/>
      <c r="AV668" s="77"/>
      <c r="AW668" s="81"/>
      <c r="AX668" s="77"/>
      <c r="AY668" s="81"/>
      <c r="AZ668" s="77"/>
      <c r="BA668" s="81"/>
      <c r="BB668" s="77"/>
      <c r="BC668" s="81"/>
      <c r="BD668" s="77"/>
      <c r="BE668" s="81"/>
      <c r="BF668" s="77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77"/>
      <c r="BU668" s="77"/>
      <c r="BV668" s="77"/>
      <c r="BW668" s="77"/>
      <c r="BX668" s="77"/>
      <c r="BY668" s="77"/>
      <c r="BZ668" s="77"/>
      <c r="CA668" s="77"/>
      <c r="CB668" s="77"/>
      <c r="CC668" s="77"/>
      <c r="CD668" s="77"/>
      <c r="CE668" s="77"/>
      <c r="CF668" s="77"/>
      <c r="CG668" s="77"/>
      <c r="CH668" s="77"/>
      <c r="CI668" s="77"/>
      <c r="CJ668" s="77"/>
      <c r="CK668" s="77"/>
      <c r="CL668" s="77"/>
      <c r="CM668" s="77"/>
      <c r="CN668" s="77"/>
      <c r="CO668" s="77"/>
      <c r="CP668" s="77"/>
      <c r="CQ668" s="77"/>
      <c r="CR668" s="77"/>
      <c r="CS668" s="77"/>
      <c r="CT668" s="77"/>
      <c r="CU668" s="77"/>
      <c r="CV668" s="77"/>
      <c r="CW668" s="77"/>
    </row>
    <row r="669" spans="1:101" ht="16.5" x14ac:dyDescent="0.45">
      <c r="A669" s="76"/>
      <c r="B669" s="77"/>
      <c r="C669" s="77"/>
      <c r="D669" s="78"/>
      <c r="E669" s="80"/>
      <c r="F669" s="80"/>
      <c r="G669" s="81"/>
      <c r="H669" s="81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82"/>
      <c r="Z669" s="82"/>
      <c r="AA669" s="82"/>
      <c r="AB669" s="80"/>
      <c r="AC669" s="77"/>
      <c r="AD669" s="77"/>
      <c r="AE669" s="77"/>
      <c r="AF669" s="77"/>
      <c r="AG669" s="77"/>
      <c r="AH669" s="77"/>
      <c r="AI669" s="92"/>
      <c r="AJ669" s="77"/>
      <c r="AK669" s="77"/>
      <c r="AL669" s="77"/>
      <c r="AM669" s="77"/>
      <c r="AN669" s="77"/>
      <c r="AO669" s="77"/>
      <c r="AP669" s="76"/>
      <c r="AQ669" s="81"/>
      <c r="AR669" s="76"/>
      <c r="AS669" s="81"/>
      <c r="AT669" s="76"/>
      <c r="AU669" s="81"/>
      <c r="AV669" s="77"/>
      <c r="AW669" s="81"/>
      <c r="AX669" s="77"/>
      <c r="AY669" s="81"/>
      <c r="AZ669" s="77"/>
      <c r="BA669" s="81"/>
      <c r="BB669" s="77"/>
      <c r="BC669" s="81"/>
      <c r="BD669" s="77"/>
      <c r="BE669" s="81"/>
      <c r="BF669" s="77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77"/>
      <c r="BU669" s="77"/>
      <c r="BV669" s="77"/>
      <c r="BW669" s="77"/>
      <c r="BX669" s="77"/>
      <c r="BY669" s="77"/>
      <c r="BZ669" s="77"/>
      <c r="CA669" s="77"/>
      <c r="CB669" s="77"/>
      <c r="CC669" s="77"/>
      <c r="CD669" s="77"/>
      <c r="CE669" s="77"/>
      <c r="CF669" s="77"/>
      <c r="CG669" s="77"/>
      <c r="CH669" s="77"/>
      <c r="CI669" s="77"/>
      <c r="CJ669" s="77"/>
      <c r="CK669" s="77"/>
      <c r="CL669" s="77"/>
      <c r="CM669" s="77"/>
      <c r="CN669" s="77"/>
      <c r="CO669" s="77"/>
      <c r="CP669" s="77"/>
      <c r="CQ669" s="77"/>
      <c r="CR669" s="77"/>
      <c r="CS669" s="77"/>
      <c r="CT669" s="77"/>
      <c r="CU669" s="77"/>
      <c r="CV669" s="77"/>
      <c r="CW669" s="77"/>
    </row>
    <row r="670" spans="1:101" ht="16.5" x14ac:dyDescent="0.45">
      <c r="A670" s="76"/>
      <c r="B670" s="77"/>
      <c r="C670" s="77"/>
      <c r="D670" s="78"/>
      <c r="E670" s="80"/>
      <c r="F670" s="80"/>
      <c r="G670" s="81"/>
      <c r="H670" s="81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82"/>
      <c r="Z670" s="82"/>
      <c r="AA670" s="82"/>
      <c r="AB670" s="80"/>
      <c r="AC670" s="77"/>
      <c r="AD670" s="77"/>
      <c r="AE670" s="77"/>
      <c r="AF670" s="77"/>
      <c r="AG670" s="77"/>
      <c r="AH670" s="77"/>
      <c r="AI670" s="92"/>
      <c r="AJ670" s="77"/>
      <c r="AK670" s="77"/>
      <c r="AL670" s="77"/>
      <c r="AM670" s="77"/>
      <c r="AN670" s="77"/>
      <c r="AO670" s="77"/>
      <c r="AP670" s="76"/>
      <c r="AQ670" s="81"/>
      <c r="AR670" s="76"/>
      <c r="AS670" s="81"/>
      <c r="AT670" s="76"/>
      <c r="AU670" s="81"/>
      <c r="AV670" s="77"/>
      <c r="AW670" s="81"/>
      <c r="AX670" s="77"/>
      <c r="AY670" s="81"/>
      <c r="AZ670" s="77"/>
      <c r="BA670" s="81"/>
      <c r="BB670" s="77"/>
      <c r="BC670" s="81"/>
      <c r="BD670" s="77"/>
      <c r="BE670" s="81"/>
      <c r="BF670" s="77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77"/>
      <c r="BU670" s="77"/>
      <c r="BV670" s="77"/>
      <c r="BW670" s="77"/>
      <c r="BX670" s="77"/>
      <c r="BY670" s="77"/>
      <c r="BZ670" s="77"/>
      <c r="CA670" s="77"/>
      <c r="CB670" s="77"/>
      <c r="CC670" s="77"/>
      <c r="CD670" s="77"/>
      <c r="CE670" s="77"/>
      <c r="CF670" s="77"/>
      <c r="CG670" s="77"/>
      <c r="CH670" s="77"/>
      <c r="CI670" s="77"/>
      <c r="CJ670" s="77"/>
      <c r="CK670" s="77"/>
      <c r="CL670" s="77"/>
      <c r="CM670" s="77"/>
      <c r="CN670" s="77"/>
      <c r="CO670" s="77"/>
      <c r="CP670" s="77"/>
      <c r="CQ670" s="77"/>
      <c r="CR670" s="77"/>
      <c r="CS670" s="77"/>
      <c r="CT670" s="77"/>
      <c r="CU670" s="77"/>
      <c r="CV670" s="77"/>
      <c r="CW670" s="77"/>
    </row>
    <row r="671" spans="1:101" ht="16.5" x14ac:dyDescent="0.45">
      <c r="A671" s="76"/>
      <c r="B671" s="77"/>
      <c r="C671" s="77"/>
      <c r="D671" s="78"/>
      <c r="E671" s="80"/>
      <c r="F671" s="80"/>
      <c r="G671" s="81"/>
      <c r="H671" s="81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82"/>
      <c r="Z671" s="82"/>
      <c r="AA671" s="82"/>
      <c r="AB671" s="80"/>
      <c r="AC671" s="77"/>
      <c r="AD671" s="77"/>
      <c r="AE671" s="77"/>
      <c r="AF671" s="77"/>
      <c r="AG671" s="77"/>
      <c r="AH671" s="77"/>
      <c r="AI671" s="92"/>
      <c r="AJ671" s="77"/>
      <c r="AK671" s="77"/>
      <c r="AL671" s="77"/>
      <c r="AM671" s="77"/>
      <c r="AN671" s="77"/>
      <c r="AO671" s="77"/>
      <c r="AP671" s="76"/>
      <c r="AQ671" s="81"/>
      <c r="AR671" s="76"/>
      <c r="AS671" s="81"/>
      <c r="AT671" s="76"/>
      <c r="AU671" s="81"/>
      <c r="AV671" s="77"/>
      <c r="AW671" s="81"/>
      <c r="AX671" s="77"/>
      <c r="AY671" s="81"/>
      <c r="AZ671" s="77"/>
      <c r="BA671" s="81"/>
      <c r="BB671" s="77"/>
      <c r="BC671" s="81"/>
      <c r="BD671" s="77"/>
      <c r="BE671" s="81"/>
      <c r="BF671" s="77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77"/>
      <c r="BU671" s="77"/>
      <c r="BV671" s="77"/>
      <c r="BW671" s="77"/>
      <c r="BX671" s="77"/>
      <c r="BY671" s="77"/>
      <c r="BZ671" s="77"/>
      <c r="CA671" s="77"/>
      <c r="CB671" s="77"/>
      <c r="CC671" s="77"/>
      <c r="CD671" s="77"/>
      <c r="CE671" s="77"/>
      <c r="CF671" s="77"/>
      <c r="CG671" s="77"/>
      <c r="CH671" s="77"/>
      <c r="CI671" s="77"/>
      <c r="CJ671" s="77"/>
      <c r="CK671" s="77"/>
      <c r="CL671" s="77"/>
      <c r="CM671" s="77"/>
      <c r="CN671" s="77"/>
      <c r="CO671" s="77"/>
      <c r="CP671" s="77"/>
      <c r="CQ671" s="77"/>
      <c r="CR671" s="77"/>
      <c r="CS671" s="77"/>
      <c r="CT671" s="77"/>
      <c r="CU671" s="77"/>
      <c r="CV671" s="77"/>
      <c r="CW671" s="77"/>
    </row>
    <row r="672" spans="1:101" ht="16.5" x14ac:dyDescent="0.45">
      <c r="A672" s="76"/>
      <c r="B672" s="77"/>
      <c r="C672" s="77"/>
      <c r="D672" s="78"/>
      <c r="E672" s="80"/>
      <c r="F672" s="80"/>
      <c r="G672" s="81"/>
      <c r="H672" s="81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82"/>
      <c r="Z672" s="82"/>
      <c r="AA672" s="82"/>
      <c r="AB672" s="80"/>
      <c r="AC672" s="77"/>
      <c r="AD672" s="77"/>
      <c r="AE672" s="77"/>
      <c r="AF672" s="77"/>
      <c r="AG672" s="77"/>
      <c r="AH672" s="77"/>
      <c r="AI672" s="92"/>
      <c r="AJ672" s="77"/>
      <c r="AK672" s="77"/>
      <c r="AL672" s="77"/>
      <c r="AM672" s="77"/>
      <c r="AN672" s="77"/>
      <c r="AO672" s="77"/>
      <c r="AP672" s="76"/>
      <c r="AQ672" s="81"/>
      <c r="AR672" s="76"/>
      <c r="AS672" s="81"/>
      <c r="AT672" s="76"/>
      <c r="AU672" s="81"/>
      <c r="AV672" s="77"/>
      <c r="AW672" s="81"/>
      <c r="AX672" s="77"/>
      <c r="AY672" s="81"/>
      <c r="AZ672" s="77"/>
      <c r="BA672" s="81"/>
      <c r="BB672" s="77"/>
      <c r="BC672" s="81"/>
      <c r="BD672" s="77"/>
      <c r="BE672" s="81"/>
      <c r="BF672" s="77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77"/>
      <c r="BU672" s="77"/>
      <c r="BV672" s="77"/>
      <c r="BW672" s="77"/>
      <c r="BX672" s="77"/>
      <c r="BY672" s="77"/>
      <c r="BZ672" s="77"/>
      <c r="CA672" s="77"/>
      <c r="CB672" s="77"/>
      <c r="CC672" s="77"/>
      <c r="CD672" s="77"/>
      <c r="CE672" s="77"/>
      <c r="CF672" s="77"/>
      <c r="CG672" s="77"/>
      <c r="CH672" s="77"/>
      <c r="CI672" s="77"/>
      <c r="CJ672" s="77"/>
      <c r="CK672" s="77"/>
      <c r="CL672" s="77"/>
      <c r="CM672" s="77"/>
      <c r="CN672" s="77"/>
      <c r="CO672" s="77"/>
      <c r="CP672" s="77"/>
      <c r="CQ672" s="77"/>
      <c r="CR672" s="77"/>
      <c r="CS672" s="77"/>
      <c r="CT672" s="77"/>
      <c r="CU672" s="77"/>
      <c r="CV672" s="77"/>
      <c r="CW672" s="77"/>
    </row>
    <row r="673" spans="1:101" ht="16.5" x14ac:dyDescent="0.45">
      <c r="A673" s="76"/>
      <c r="B673" s="77"/>
      <c r="C673" s="77"/>
      <c r="D673" s="78"/>
      <c r="E673" s="80"/>
      <c r="F673" s="80"/>
      <c r="G673" s="81"/>
      <c r="H673" s="81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82"/>
      <c r="Z673" s="82"/>
      <c r="AA673" s="82"/>
      <c r="AB673" s="80"/>
      <c r="AC673" s="77"/>
      <c r="AD673" s="77"/>
      <c r="AE673" s="77"/>
      <c r="AF673" s="77"/>
      <c r="AG673" s="77"/>
      <c r="AH673" s="77"/>
      <c r="AI673" s="92"/>
      <c r="AJ673" s="77"/>
      <c r="AK673" s="77"/>
      <c r="AL673" s="77"/>
      <c r="AM673" s="77"/>
      <c r="AN673" s="77"/>
      <c r="AO673" s="77"/>
      <c r="AP673" s="76"/>
      <c r="AQ673" s="81"/>
      <c r="AR673" s="76"/>
      <c r="AS673" s="81"/>
      <c r="AT673" s="76"/>
      <c r="AU673" s="81"/>
      <c r="AV673" s="77"/>
      <c r="AW673" s="81"/>
      <c r="AX673" s="77"/>
      <c r="AY673" s="81"/>
      <c r="AZ673" s="77"/>
      <c r="BA673" s="81"/>
      <c r="BB673" s="77"/>
      <c r="BC673" s="81"/>
      <c r="BD673" s="77"/>
      <c r="BE673" s="81"/>
      <c r="BF673" s="77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77"/>
      <c r="BU673" s="77"/>
      <c r="BV673" s="77"/>
      <c r="BW673" s="77"/>
      <c r="BX673" s="77"/>
      <c r="BY673" s="77"/>
      <c r="BZ673" s="77"/>
      <c r="CA673" s="77"/>
      <c r="CB673" s="77"/>
      <c r="CC673" s="77"/>
      <c r="CD673" s="77"/>
      <c r="CE673" s="77"/>
      <c r="CF673" s="77"/>
      <c r="CG673" s="77"/>
      <c r="CH673" s="77"/>
      <c r="CI673" s="77"/>
      <c r="CJ673" s="77"/>
      <c r="CK673" s="77"/>
      <c r="CL673" s="77"/>
      <c r="CM673" s="77"/>
      <c r="CN673" s="77"/>
      <c r="CO673" s="77"/>
      <c r="CP673" s="77"/>
      <c r="CQ673" s="77"/>
      <c r="CR673" s="77"/>
      <c r="CS673" s="77"/>
      <c r="CT673" s="77"/>
      <c r="CU673" s="77"/>
      <c r="CV673" s="77"/>
      <c r="CW673" s="77"/>
    </row>
    <row r="674" spans="1:101" ht="16.5" x14ac:dyDescent="0.45">
      <c r="A674" s="76"/>
      <c r="B674" s="77"/>
      <c r="C674" s="77"/>
      <c r="D674" s="78"/>
      <c r="E674" s="80"/>
      <c r="F674" s="80"/>
      <c r="G674" s="81"/>
      <c r="H674" s="81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82"/>
      <c r="Z674" s="82"/>
      <c r="AA674" s="82"/>
      <c r="AB674" s="80"/>
      <c r="AC674" s="77"/>
      <c r="AD674" s="77"/>
      <c r="AE674" s="77"/>
      <c r="AF674" s="77"/>
      <c r="AG674" s="77"/>
      <c r="AH674" s="77"/>
      <c r="AI674" s="92"/>
      <c r="AJ674" s="77"/>
      <c r="AK674" s="77"/>
      <c r="AL674" s="77"/>
      <c r="AM674" s="77"/>
      <c r="AN674" s="77"/>
      <c r="AO674" s="77"/>
      <c r="AP674" s="76"/>
      <c r="AQ674" s="81"/>
      <c r="AR674" s="76"/>
      <c r="AS674" s="81"/>
      <c r="AT674" s="76"/>
      <c r="AU674" s="81"/>
      <c r="AV674" s="77"/>
      <c r="AW674" s="81"/>
      <c r="AX674" s="77"/>
      <c r="AY674" s="81"/>
      <c r="AZ674" s="77"/>
      <c r="BA674" s="81"/>
      <c r="BB674" s="77"/>
      <c r="BC674" s="81"/>
      <c r="BD674" s="77"/>
      <c r="BE674" s="81"/>
      <c r="BF674" s="77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77"/>
      <c r="BU674" s="77"/>
      <c r="BV674" s="77"/>
      <c r="BW674" s="77"/>
      <c r="BX674" s="77"/>
      <c r="BY674" s="77"/>
      <c r="BZ674" s="77"/>
      <c r="CA674" s="77"/>
      <c r="CB674" s="77"/>
      <c r="CC674" s="77"/>
      <c r="CD674" s="77"/>
      <c r="CE674" s="77"/>
      <c r="CF674" s="77"/>
      <c r="CG674" s="77"/>
      <c r="CH674" s="77"/>
      <c r="CI674" s="77"/>
      <c r="CJ674" s="77"/>
      <c r="CK674" s="77"/>
      <c r="CL674" s="77"/>
      <c r="CM674" s="77"/>
      <c r="CN674" s="77"/>
      <c r="CO674" s="77"/>
      <c r="CP674" s="77"/>
      <c r="CQ674" s="77"/>
      <c r="CR674" s="77"/>
      <c r="CS674" s="77"/>
      <c r="CT674" s="77"/>
      <c r="CU674" s="77"/>
      <c r="CV674" s="77"/>
      <c r="CW674" s="77"/>
    </row>
    <row r="675" spans="1:101" ht="16.5" x14ac:dyDescent="0.45">
      <c r="A675" s="76"/>
      <c r="B675" s="77"/>
      <c r="C675" s="77"/>
      <c r="D675" s="78"/>
      <c r="E675" s="80"/>
      <c r="F675" s="80"/>
      <c r="G675" s="81"/>
      <c r="H675" s="81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82"/>
      <c r="Z675" s="82"/>
      <c r="AA675" s="82"/>
      <c r="AB675" s="80"/>
      <c r="AC675" s="77"/>
      <c r="AD675" s="77"/>
      <c r="AE675" s="77"/>
      <c r="AF675" s="77"/>
      <c r="AG675" s="77"/>
      <c r="AH675" s="77"/>
      <c r="AI675" s="92"/>
      <c r="AJ675" s="77"/>
      <c r="AK675" s="77"/>
      <c r="AL675" s="77"/>
      <c r="AM675" s="77"/>
      <c r="AN675" s="77"/>
      <c r="AO675" s="77"/>
      <c r="AP675" s="76"/>
      <c r="AQ675" s="81"/>
      <c r="AR675" s="76"/>
      <c r="AS675" s="81"/>
      <c r="AT675" s="76"/>
      <c r="AU675" s="81"/>
      <c r="AV675" s="77"/>
      <c r="AW675" s="81"/>
      <c r="AX675" s="77"/>
      <c r="AY675" s="81"/>
      <c r="AZ675" s="77"/>
      <c r="BA675" s="81"/>
      <c r="BB675" s="77"/>
      <c r="BC675" s="81"/>
      <c r="BD675" s="77"/>
      <c r="BE675" s="81"/>
      <c r="BF675" s="77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77"/>
      <c r="BU675" s="77"/>
      <c r="BV675" s="77"/>
      <c r="BW675" s="77"/>
      <c r="BX675" s="77"/>
      <c r="BY675" s="77"/>
      <c r="BZ675" s="77"/>
      <c r="CA675" s="77"/>
      <c r="CB675" s="77"/>
      <c r="CC675" s="77"/>
      <c r="CD675" s="77"/>
      <c r="CE675" s="77"/>
      <c r="CF675" s="77"/>
      <c r="CG675" s="77"/>
      <c r="CH675" s="77"/>
      <c r="CI675" s="77"/>
      <c r="CJ675" s="77"/>
      <c r="CK675" s="77"/>
      <c r="CL675" s="77"/>
      <c r="CM675" s="77"/>
      <c r="CN675" s="77"/>
      <c r="CO675" s="77"/>
      <c r="CP675" s="77"/>
      <c r="CQ675" s="77"/>
      <c r="CR675" s="77"/>
      <c r="CS675" s="77"/>
      <c r="CT675" s="77"/>
      <c r="CU675" s="77"/>
      <c r="CV675" s="77"/>
      <c r="CW675" s="77"/>
    </row>
    <row r="676" spans="1:101" ht="16.5" x14ac:dyDescent="0.45">
      <c r="A676" s="76"/>
      <c r="B676" s="77"/>
      <c r="C676" s="77"/>
      <c r="D676" s="78"/>
      <c r="E676" s="80"/>
      <c r="F676" s="80"/>
      <c r="G676" s="81"/>
      <c r="H676" s="81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82"/>
      <c r="Z676" s="82"/>
      <c r="AA676" s="82"/>
      <c r="AB676" s="80"/>
      <c r="AC676" s="77"/>
      <c r="AD676" s="77"/>
      <c r="AE676" s="77"/>
      <c r="AF676" s="77"/>
      <c r="AG676" s="77"/>
      <c r="AH676" s="77"/>
      <c r="AI676" s="92"/>
      <c r="AJ676" s="77"/>
      <c r="AK676" s="77"/>
      <c r="AL676" s="77"/>
      <c r="AM676" s="77"/>
      <c r="AN676" s="77"/>
      <c r="AO676" s="77"/>
      <c r="AP676" s="76"/>
      <c r="AQ676" s="81"/>
      <c r="AR676" s="76"/>
      <c r="AS676" s="81"/>
      <c r="AT676" s="76"/>
      <c r="AU676" s="81"/>
      <c r="AV676" s="77"/>
      <c r="AW676" s="81"/>
      <c r="AX676" s="77"/>
      <c r="AY676" s="81"/>
      <c r="AZ676" s="77"/>
      <c r="BA676" s="81"/>
      <c r="BB676" s="77"/>
      <c r="BC676" s="81"/>
      <c r="BD676" s="77"/>
      <c r="BE676" s="81"/>
      <c r="BF676" s="77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77"/>
      <c r="BU676" s="77"/>
      <c r="BV676" s="77"/>
      <c r="BW676" s="77"/>
      <c r="BX676" s="77"/>
      <c r="BY676" s="77"/>
      <c r="BZ676" s="77"/>
      <c r="CA676" s="77"/>
      <c r="CB676" s="77"/>
      <c r="CC676" s="77"/>
      <c r="CD676" s="77"/>
      <c r="CE676" s="77"/>
      <c r="CF676" s="77"/>
      <c r="CG676" s="77"/>
      <c r="CH676" s="77"/>
      <c r="CI676" s="77"/>
      <c r="CJ676" s="77"/>
      <c r="CK676" s="77"/>
      <c r="CL676" s="77"/>
      <c r="CM676" s="77"/>
      <c r="CN676" s="77"/>
      <c r="CO676" s="77"/>
      <c r="CP676" s="77"/>
      <c r="CQ676" s="77"/>
      <c r="CR676" s="77"/>
      <c r="CS676" s="77"/>
      <c r="CT676" s="77"/>
      <c r="CU676" s="77"/>
      <c r="CV676" s="77"/>
      <c r="CW676" s="77"/>
    </row>
    <row r="677" spans="1:101" ht="16.5" x14ac:dyDescent="0.45">
      <c r="A677" s="76"/>
      <c r="B677" s="77"/>
      <c r="C677" s="77"/>
      <c r="D677" s="78"/>
      <c r="E677" s="80"/>
      <c r="F677" s="80"/>
      <c r="G677" s="81"/>
      <c r="H677" s="81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82"/>
      <c r="Z677" s="82"/>
      <c r="AA677" s="82"/>
      <c r="AB677" s="80"/>
      <c r="AC677" s="77"/>
      <c r="AD677" s="77"/>
      <c r="AE677" s="77"/>
      <c r="AF677" s="77"/>
      <c r="AG677" s="77"/>
      <c r="AH677" s="77"/>
      <c r="AI677" s="92"/>
      <c r="AJ677" s="77"/>
      <c r="AK677" s="77"/>
      <c r="AL677" s="77"/>
      <c r="AM677" s="77"/>
      <c r="AN677" s="77"/>
      <c r="AO677" s="77"/>
      <c r="AP677" s="76"/>
      <c r="AQ677" s="81"/>
      <c r="AR677" s="76"/>
      <c r="AS677" s="81"/>
      <c r="AT677" s="76"/>
      <c r="AU677" s="81"/>
      <c r="AV677" s="77"/>
      <c r="AW677" s="81"/>
      <c r="AX677" s="77"/>
      <c r="AY677" s="81"/>
      <c r="AZ677" s="77"/>
      <c r="BA677" s="81"/>
      <c r="BB677" s="77"/>
      <c r="BC677" s="81"/>
      <c r="BD677" s="77"/>
      <c r="BE677" s="81"/>
      <c r="BF677" s="77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77"/>
      <c r="BU677" s="77"/>
      <c r="BV677" s="77"/>
      <c r="BW677" s="77"/>
      <c r="BX677" s="77"/>
      <c r="BY677" s="77"/>
      <c r="BZ677" s="77"/>
      <c r="CA677" s="77"/>
      <c r="CB677" s="77"/>
      <c r="CC677" s="77"/>
      <c r="CD677" s="77"/>
      <c r="CE677" s="77"/>
      <c r="CF677" s="77"/>
      <c r="CG677" s="77"/>
      <c r="CH677" s="77"/>
      <c r="CI677" s="77"/>
      <c r="CJ677" s="77"/>
      <c r="CK677" s="77"/>
      <c r="CL677" s="77"/>
      <c r="CM677" s="77"/>
      <c r="CN677" s="77"/>
      <c r="CO677" s="77"/>
      <c r="CP677" s="77"/>
      <c r="CQ677" s="77"/>
      <c r="CR677" s="77"/>
      <c r="CS677" s="77"/>
      <c r="CT677" s="77"/>
      <c r="CU677" s="77"/>
      <c r="CV677" s="77"/>
      <c r="CW677" s="77"/>
    </row>
    <row r="678" spans="1:101" ht="16.5" x14ac:dyDescent="0.45">
      <c r="A678" s="76"/>
      <c r="B678" s="77"/>
      <c r="C678" s="77"/>
      <c r="D678" s="78"/>
      <c r="E678" s="80"/>
      <c r="F678" s="80"/>
      <c r="G678" s="81"/>
      <c r="H678" s="81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82"/>
      <c r="Z678" s="82"/>
      <c r="AA678" s="82"/>
      <c r="AB678" s="80"/>
      <c r="AC678" s="77"/>
      <c r="AD678" s="77"/>
      <c r="AE678" s="77"/>
      <c r="AF678" s="77"/>
      <c r="AG678" s="77"/>
      <c r="AH678" s="77"/>
      <c r="AI678" s="92"/>
      <c r="AJ678" s="77"/>
      <c r="AK678" s="77"/>
      <c r="AL678" s="77"/>
      <c r="AM678" s="77"/>
      <c r="AN678" s="77"/>
      <c r="AO678" s="77"/>
      <c r="AP678" s="76"/>
      <c r="AQ678" s="81"/>
      <c r="AR678" s="76"/>
      <c r="AS678" s="81"/>
      <c r="AT678" s="76"/>
      <c r="AU678" s="81"/>
      <c r="AV678" s="77"/>
      <c r="AW678" s="81"/>
      <c r="AX678" s="77"/>
      <c r="AY678" s="81"/>
      <c r="AZ678" s="77"/>
      <c r="BA678" s="81"/>
      <c r="BB678" s="77"/>
      <c r="BC678" s="81"/>
      <c r="BD678" s="77"/>
      <c r="BE678" s="81"/>
      <c r="BF678" s="77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77"/>
      <c r="BU678" s="77"/>
      <c r="BV678" s="77"/>
      <c r="BW678" s="77"/>
      <c r="BX678" s="77"/>
      <c r="BY678" s="77"/>
      <c r="BZ678" s="77"/>
      <c r="CA678" s="77"/>
      <c r="CB678" s="77"/>
      <c r="CC678" s="77"/>
      <c r="CD678" s="77"/>
      <c r="CE678" s="77"/>
      <c r="CF678" s="77"/>
      <c r="CG678" s="77"/>
      <c r="CH678" s="77"/>
      <c r="CI678" s="77"/>
      <c r="CJ678" s="77"/>
      <c r="CK678" s="77"/>
      <c r="CL678" s="77"/>
      <c r="CM678" s="77"/>
      <c r="CN678" s="77"/>
      <c r="CO678" s="77"/>
      <c r="CP678" s="77"/>
      <c r="CQ678" s="77"/>
      <c r="CR678" s="77"/>
      <c r="CS678" s="77"/>
      <c r="CT678" s="77"/>
      <c r="CU678" s="77"/>
      <c r="CV678" s="77"/>
      <c r="CW678" s="77"/>
    </row>
    <row r="679" spans="1:101" ht="16.5" x14ac:dyDescent="0.45">
      <c r="A679" s="76"/>
      <c r="B679" s="77"/>
      <c r="C679" s="77"/>
      <c r="D679" s="78"/>
      <c r="E679" s="80"/>
      <c r="F679" s="80"/>
      <c r="G679" s="81"/>
      <c r="H679" s="81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82"/>
      <c r="Z679" s="82"/>
      <c r="AA679" s="82"/>
      <c r="AB679" s="80"/>
      <c r="AC679" s="77"/>
      <c r="AD679" s="77"/>
      <c r="AE679" s="77"/>
      <c r="AF679" s="77"/>
      <c r="AG679" s="77"/>
      <c r="AH679" s="77"/>
      <c r="AI679" s="92"/>
      <c r="AJ679" s="77"/>
      <c r="AK679" s="77"/>
      <c r="AL679" s="77"/>
      <c r="AM679" s="77"/>
      <c r="AN679" s="77"/>
      <c r="AO679" s="77"/>
      <c r="AP679" s="76"/>
      <c r="AQ679" s="81"/>
      <c r="AR679" s="76"/>
      <c r="AS679" s="81"/>
      <c r="AT679" s="76"/>
      <c r="AU679" s="81"/>
      <c r="AV679" s="77"/>
      <c r="AW679" s="81"/>
      <c r="AX679" s="77"/>
      <c r="AY679" s="81"/>
      <c r="AZ679" s="77"/>
      <c r="BA679" s="81"/>
      <c r="BB679" s="77"/>
      <c r="BC679" s="81"/>
      <c r="BD679" s="77"/>
      <c r="BE679" s="81"/>
      <c r="BF679" s="77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77"/>
      <c r="BU679" s="77"/>
      <c r="BV679" s="77"/>
      <c r="BW679" s="77"/>
      <c r="BX679" s="77"/>
      <c r="BY679" s="77"/>
      <c r="BZ679" s="77"/>
      <c r="CA679" s="77"/>
      <c r="CB679" s="77"/>
      <c r="CC679" s="77"/>
      <c r="CD679" s="77"/>
      <c r="CE679" s="77"/>
      <c r="CF679" s="77"/>
      <c r="CG679" s="77"/>
      <c r="CH679" s="77"/>
      <c r="CI679" s="77"/>
      <c r="CJ679" s="77"/>
      <c r="CK679" s="77"/>
      <c r="CL679" s="77"/>
      <c r="CM679" s="77"/>
      <c r="CN679" s="77"/>
      <c r="CO679" s="77"/>
      <c r="CP679" s="77"/>
      <c r="CQ679" s="77"/>
      <c r="CR679" s="77"/>
      <c r="CS679" s="77"/>
      <c r="CT679" s="77"/>
      <c r="CU679" s="77"/>
      <c r="CV679" s="77"/>
      <c r="CW679" s="77"/>
    </row>
    <row r="680" spans="1:101" ht="16.5" x14ac:dyDescent="0.45">
      <c r="A680" s="76"/>
      <c r="B680" s="77"/>
      <c r="C680" s="77"/>
      <c r="D680" s="78"/>
      <c r="E680" s="80"/>
      <c r="F680" s="80"/>
      <c r="G680" s="81"/>
      <c r="H680" s="81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82"/>
      <c r="Z680" s="82"/>
      <c r="AA680" s="82"/>
      <c r="AB680" s="80"/>
      <c r="AC680" s="77"/>
      <c r="AD680" s="77"/>
      <c r="AE680" s="77"/>
      <c r="AF680" s="77"/>
      <c r="AG680" s="77"/>
      <c r="AH680" s="77"/>
      <c r="AI680" s="92"/>
      <c r="AJ680" s="77"/>
      <c r="AK680" s="77"/>
      <c r="AL680" s="77"/>
      <c r="AM680" s="77"/>
      <c r="AN680" s="77"/>
      <c r="AO680" s="77"/>
      <c r="AP680" s="76"/>
      <c r="AQ680" s="81"/>
      <c r="AR680" s="76"/>
      <c r="AS680" s="81"/>
      <c r="AT680" s="76"/>
      <c r="AU680" s="81"/>
      <c r="AV680" s="77"/>
      <c r="AW680" s="81"/>
      <c r="AX680" s="77"/>
      <c r="AY680" s="81"/>
      <c r="AZ680" s="77"/>
      <c r="BA680" s="81"/>
      <c r="BB680" s="77"/>
      <c r="BC680" s="81"/>
      <c r="BD680" s="77"/>
      <c r="BE680" s="81"/>
      <c r="BF680" s="77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77"/>
      <c r="BU680" s="77"/>
      <c r="BV680" s="77"/>
      <c r="BW680" s="77"/>
      <c r="BX680" s="77"/>
      <c r="BY680" s="77"/>
      <c r="BZ680" s="77"/>
      <c r="CA680" s="77"/>
      <c r="CB680" s="77"/>
      <c r="CC680" s="77"/>
      <c r="CD680" s="77"/>
      <c r="CE680" s="77"/>
      <c r="CF680" s="77"/>
      <c r="CG680" s="77"/>
      <c r="CH680" s="77"/>
      <c r="CI680" s="77"/>
      <c r="CJ680" s="77"/>
      <c r="CK680" s="77"/>
      <c r="CL680" s="77"/>
      <c r="CM680" s="77"/>
      <c r="CN680" s="77"/>
      <c r="CO680" s="77"/>
      <c r="CP680" s="77"/>
      <c r="CQ680" s="77"/>
      <c r="CR680" s="77"/>
      <c r="CS680" s="77"/>
      <c r="CT680" s="77"/>
      <c r="CU680" s="77"/>
      <c r="CV680" s="77"/>
      <c r="CW680" s="77"/>
    </row>
    <row r="681" spans="1:101" ht="16.5" x14ac:dyDescent="0.45">
      <c r="A681" s="76"/>
      <c r="B681" s="77"/>
      <c r="C681" s="77"/>
      <c r="D681" s="78"/>
      <c r="E681" s="80"/>
      <c r="F681" s="80"/>
      <c r="G681" s="81"/>
      <c r="H681" s="81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82"/>
      <c r="Z681" s="82"/>
      <c r="AA681" s="82"/>
      <c r="AB681" s="80"/>
      <c r="AC681" s="77"/>
      <c r="AD681" s="77"/>
      <c r="AE681" s="77"/>
      <c r="AF681" s="77"/>
      <c r="AG681" s="77"/>
      <c r="AH681" s="77"/>
      <c r="AI681" s="92"/>
      <c r="AJ681" s="77"/>
      <c r="AK681" s="77"/>
      <c r="AL681" s="77"/>
      <c r="AM681" s="77"/>
      <c r="AN681" s="77"/>
      <c r="AO681" s="77"/>
      <c r="AP681" s="76"/>
      <c r="AQ681" s="81"/>
      <c r="AR681" s="76"/>
      <c r="AS681" s="81"/>
      <c r="AT681" s="76"/>
      <c r="AU681" s="81"/>
      <c r="AV681" s="77"/>
      <c r="AW681" s="81"/>
      <c r="AX681" s="77"/>
      <c r="AY681" s="81"/>
      <c r="AZ681" s="77"/>
      <c r="BA681" s="81"/>
      <c r="BB681" s="77"/>
      <c r="BC681" s="81"/>
      <c r="BD681" s="77"/>
      <c r="BE681" s="81"/>
      <c r="BF681" s="77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77"/>
      <c r="BU681" s="77"/>
      <c r="BV681" s="77"/>
      <c r="BW681" s="77"/>
      <c r="BX681" s="77"/>
      <c r="BY681" s="77"/>
      <c r="BZ681" s="77"/>
      <c r="CA681" s="77"/>
      <c r="CB681" s="77"/>
      <c r="CC681" s="77"/>
      <c r="CD681" s="77"/>
      <c r="CE681" s="77"/>
      <c r="CF681" s="77"/>
      <c r="CG681" s="77"/>
      <c r="CH681" s="77"/>
      <c r="CI681" s="77"/>
      <c r="CJ681" s="77"/>
      <c r="CK681" s="77"/>
      <c r="CL681" s="77"/>
      <c r="CM681" s="77"/>
      <c r="CN681" s="77"/>
      <c r="CO681" s="77"/>
      <c r="CP681" s="77"/>
      <c r="CQ681" s="77"/>
      <c r="CR681" s="77"/>
      <c r="CS681" s="77"/>
      <c r="CT681" s="77"/>
      <c r="CU681" s="77"/>
      <c r="CV681" s="77"/>
      <c r="CW681" s="77"/>
    </row>
    <row r="682" spans="1:101" ht="16.5" x14ac:dyDescent="0.45">
      <c r="A682" s="76"/>
      <c r="B682" s="77"/>
      <c r="C682" s="77"/>
      <c r="D682" s="78"/>
      <c r="E682" s="80"/>
      <c r="F682" s="80"/>
      <c r="G682" s="81"/>
      <c r="H682" s="81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82"/>
      <c r="Z682" s="82"/>
      <c r="AA682" s="82"/>
      <c r="AB682" s="80"/>
      <c r="AC682" s="77"/>
      <c r="AD682" s="77"/>
      <c r="AE682" s="77"/>
      <c r="AF682" s="77"/>
      <c r="AG682" s="77"/>
      <c r="AH682" s="77"/>
      <c r="AI682" s="92"/>
      <c r="AJ682" s="77"/>
      <c r="AK682" s="77"/>
      <c r="AL682" s="77"/>
      <c r="AM682" s="77"/>
      <c r="AN682" s="77"/>
      <c r="AO682" s="77"/>
      <c r="AP682" s="76"/>
      <c r="AQ682" s="81"/>
      <c r="AR682" s="76"/>
      <c r="AS682" s="81"/>
      <c r="AT682" s="76"/>
      <c r="AU682" s="81"/>
      <c r="AV682" s="77"/>
      <c r="AW682" s="81"/>
      <c r="AX682" s="77"/>
      <c r="AY682" s="81"/>
      <c r="AZ682" s="77"/>
      <c r="BA682" s="81"/>
      <c r="BB682" s="77"/>
      <c r="BC682" s="81"/>
      <c r="BD682" s="77"/>
      <c r="BE682" s="81"/>
      <c r="BF682" s="77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77"/>
      <c r="BU682" s="77"/>
      <c r="BV682" s="77"/>
      <c r="BW682" s="77"/>
      <c r="BX682" s="77"/>
      <c r="BY682" s="77"/>
      <c r="BZ682" s="77"/>
      <c r="CA682" s="77"/>
      <c r="CB682" s="77"/>
      <c r="CC682" s="77"/>
      <c r="CD682" s="77"/>
      <c r="CE682" s="77"/>
      <c r="CF682" s="77"/>
      <c r="CG682" s="77"/>
      <c r="CH682" s="77"/>
      <c r="CI682" s="77"/>
      <c r="CJ682" s="77"/>
      <c r="CK682" s="77"/>
      <c r="CL682" s="77"/>
      <c r="CM682" s="77"/>
      <c r="CN682" s="77"/>
      <c r="CO682" s="77"/>
      <c r="CP682" s="77"/>
      <c r="CQ682" s="77"/>
      <c r="CR682" s="77"/>
      <c r="CS682" s="77"/>
      <c r="CT682" s="77"/>
      <c r="CU682" s="77"/>
      <c r="CV682" s="77"/>
      <c r="CW682" s="77"/>
    </row>
    <row r="683" spans="1:101" ht="16.5" x14ac:dyDescent="0.45">
      <c r="A683" s="76"/>
      <c r="B683" s="77"/>
      <c r="C683" s="77"/>
      <c r="D683" s="78"/>
      <c r="E683" s="80"/>
      <c r="F683" s="80"/>
      <c r="G683" s="81"/>
      <c r="H683" s="81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82"/>
      <c r="Z683" s="82"/>
      <c r="AA683" s="82"/>
      <c r="AB683" s="80"/>
      <c r="AC683" s="77"/>
      <c r="AD683" s="77"/>
      <c r="AE683" s="77"/>
      <c r="AF683" s="77"/>
      <c r="AG683" s="77"/>
      <c r="AH683" s="77"/>
      <c r="AI683" s="92"/>
      <c r="AJ683" s="77"/>
      <c r="AK683" s="77"/>
      <c r="AL683" s="77"/>
      <c r="AM683" s="77"/>
      <c r="AN683" s="77"/>
      <c r="AO683" s="77"/>
      <c r="AP683" s="76"/>
      <c r="AQ683" s="81"/>
      <c r="AR683" s="76"/>
      <c r="AS683" s="81"/>
      <c r="AT683" s="76"/>
      <c r="AU683" s="81"/>
      <c r="AV683" s="77"/>
      <c r="AW683" s="81"/>
      <c r="AX683" s="77"/>
      <c r="AY683" s="81"/>
      <c r="AZ683" s="77"/>
      <c r="BA683" s="81"/>
      <c r="BB683" s="77"/>
      <c r="BC683" s="81"/>
      <c r="BD683" s="77"/>
      <c r="BE683" s="81"/>
      <c r="BF683" s="77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77"/>
      <c r="BU683" s="77"/>
      <c r="BV683" s="77"/>
      <c r="BW683" s="77"/>
      <c r="BX683" s="77"/>
      <c r="BY683" s="77"/>
      <c r="BZ683" s="77"/>
      <c r="CA683" s="77"/>
      <c r="CB683" s="77"/>
      <c r="CC683" s="77"/>
      <c r="CD683" s="77"/>
      <c r="CE683" s="77"/>
      <c r="CF683" s="77"/>
      <c r="CG683" s="77"/>
      <c r="CH683" s="77"/>
      <c r="CI683" s="77"/>
      <c r="CJ683" s="77"/>
      <c r="CK683" s="77"/>
      <c r="CL683" s="77"/>
      <c r="CM683" s="77"/>
      <c r="CN683" s="77"/>
      <c r="CO683" s="77"/>
      <c r="CP683" s="77"/>
      <c r="CQ683" s="77"/>
      <c r="CR683" s="77"/>
      <c r="CS683" s="77"/>
      <c r="CT683" s="77"/>
      <c r="CU683" s="77"/>
      <c r="CV683" s="77"/>
      <c r="CW683" s="77"/>
    </row>
    <row r="684" spans="1:101" ht="16.5" x14ac:dyDescent="0.45">
      <c r="A684" s="76"/>
      <c r="B684" s="77"/>
      <c r="C684" s="77"/>
      <c r="D684" s="78"/>
      <c r="E684" s="80"/>
      <c r="F684" s="80"/>
      <c r="G684" s="81"/>
      <c r="H684" s="81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82"/>
      <c r="Z684" s="82"/>
      <c r="AA684" s="82"/>
      <c r="AB684" s="80"/>
      <c r="AC684" s="77"/>
      <c r="AD684" s="77"/>
      <c r="AE684" s="77"/>
      <c r="AF684" s="77"/>
      <c r="AG684" s="77"/>
      <c r="AH684" s="77"/>
      <c r="AI684" s="92"/>
      <c r="AJ684" s="77"/>
      <c r="AK684" s="77"/>
      <c r="AL684" s="77"/>
      <c r="AM684" s="77"/>
      <c r="AN684" s="77"/>
      <c r="AO684" s="77"/>
      <c r="AP684" s="76"/>
      <c r="AQ684" s="81"/>
      <c r="AR684" s="76"/>
      <c r="AS684" s="81"/>
      <c r="AT684" s="76"/>
      <c r="AU684" s="81"/>
      <c r="AV684" s="77"/>
      <c r="AW684" s="81"/>
      <c r="AX684" s="77"/>
      <c r="AY684" s="81"/>
      <c r="AZ684" s="77"/>
      <c r="BA684" s="81"/>
      <c r="BB684" s="77"/>
      <c r="BC684" s="81"/>
      <c r="BD684" s="77"/>
      <c r="BE684" s="81"/>
      <c r="BF684" s="77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77"/>
      <c r="BU684" s="77"/>
      <c r="BV684" s="77"/>
      <c r="BW684" s="77"/>
      <c r="BX684" s="77"/>
      <c r="BY684" s="77"/>
      <c r="BZ684" s="77"/>
      <c r="CA684" s="77"/>
      <c r="CB684" s="77"/>
      <c r="CC684" s="77"/>
      <c r="CD684" s="77"/>
      <c r="CE684" s="77"/>
      <c r="CF684" s="77"/>
      <c r="CG684" s="77"/>
      <c r="CH684" s="77"/>
      <c r="CI684" s="77"/>
      <c r="CJ684" s="77"/>
      <c r="CK684" s="77"/>
      <c r="CL684" s="77"/>
      <c r="CM684" s="77"/>
      <c r="CN684" s="77"/>
      <c r="CO684" s="77"/>
      <c r="CP684" s="77"/>
      <c r="CQ684" s="77"/>
      <c r="CR684" s="77"/>
      <c r="CS684" s="77"/>
      <c r="CT684" s="77"/>
      <c r="CU684" s="77"/>
      <c r="CV684" s="77"/>
      <c r="CW684" s="77"/>
    </row>
    <row r="685" spans="1:101" ht="16.5" x14ac:dyDescent="0.45">
      <c r="A685" s="76"/>
      <c r="B685" s="77"/>
      <c r="C685" s="77"/>
      <c r="D685" s="78"/>
      <c r="E685" s="80"/>
      <c r="F685" s="80"/>
      <c r="G685" s="81"/>
      <c r="H685" s="81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82"/>
      <c r="Z685" s="82"/>
      <c r="AA685" s="82"/>
      <c r="AB685" s="80"/>
      <c r="AC685" s="77"/>
      <c r="AD685" s="77"/>
      <c r="AE685" s="77"/>
      <c r="AF685" s="77"/>
      <c r="AG685" s="77"/>
      <c r="AH685" s="77"/>
      <c r="AI685" s="92"/>
      <c r="AJ685" s="77"/>
      <c r="AK685" s="77"/>
      <c r="AL685" s="77"/>
      <c r="AM685" s="77"/>
      <c r="AN685" s="77"/>
      <c r="AO685" s="77"/>
      <c r="AP685" s="76"/>
      <c r="AQ685" s="81"/>
      <c r="AR685" s="76"/>
      <c r="AS685" s="81"/>
      <c r="AT685" s="76"/>
      <c r="AU685" s="81"/>
      <c r="AV685" s="77"/>
      <c r="AW685" s="81"/>
      <c r="AX685" s="77"/>
      <c r="AY685" s="81"/>
      <c r="AZ685" s="77"/>
      <c r="BA685" s="81"/>
      <c r="BB685" s="77"/>
      <c r="BC685" s="81"/>
      <c r="BD685" s="77"/>
      <c r="BE685" s="81"/>
      <c r="BF685" s="77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77"/>
      <c r="BU685" s="77"/>
      <c r="BV685" s="77"/>
      <c r="BW685" s="77"/>
      <c r="BX685" s="77"/>
      <c r="BY685" s="77"/>
      <c r="BZ685" s="77"/>
      <c r="CA685" s="77"/>
      <c r="CB685" s="77"/>
      <c r="CC685" s="77"/>
      <c r="CD685" s="77"/>
      <c r="CE685" s="77"/>
      <c r="CF685" s="77"/>
      <c r="CG685" s="77"/>
      <c r="CH685" s="77"/>
      <c r="CI685" s="77"/>
      <c r="CJ685" s="77"/>
      <c r="CK685" s="77"/>
      <c r="CL685" s="77"/>
      <c r="CM685" s="77"/>
      <c r="CN685" s="77"/>
      <c r="CO685" s="77"/>
      <c r="CP685" s="77"/>
      <c r="CQ685" s="77"/>
      <c r="CR685" s="77"/>
      <c r="CS685" s="77"/>
      <c r="CT685" s="77"/>
      <c r="CU685" s="77"/>
      <c r="CV685" s="77"/>
      <c r="CW685" s="77"/>
    </row>
    <row r="686" spans="1:101" ht="16.5" x14ac:dyDescent="0.45">
      <c r="A686" s="76"/>
      <c r="B686" s="77"/>
      <c r="C686" s="77"/>
      <c r="D686" s="78"/>
      <c r="E686" s="80"/>
      <c r="F686" s="80"/>
      <c r="G686" s="81"/>
      <c r="H686" s="81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82"/>
      <c r="Z686" s="82"/>
      <c r="AA686" s="82"/>
      <c r="AB686" s="80"/>
      <c r="AC686" s="77"/>
      <c r="AD686" s="77"/>
      <c r="AE686" s="77"/>
      <c r="AF686" s="77"/>
      <c r="AG686" s="77"/>
      <c r="AH686" s="77"/>
      <c r="AI686" s="92"/>
      <c r="AJ686" s="77"/>
      <c r="AK686" s="77"/>
      <c r="AL686" s="77"/>
      <c r="AM686" s="77"/>
      <c r="AN686" s="77"/>
      <c r="AO686" s="77"/>
      <c r="AP686" s="76"/>
      <c r="AQ686" s="81"/>
      <c r="AR686" s="76"/>
      <c r="AS686" s="81"/>
      <c r="AT686" s="76"/>
      <c r="AU686" s="81"/>
      <c r="AV686" s="77"/>
      <c r="AW686" s="81"/>
      <c r="AX686" s="77"/>
      <c r="AY686" s="81"/>
      <c r="AZ686" s="77"/>
      <c r="BA686" s="81"/>
      <c r="BB686" s="77"/>
      <c r="BC686" s="81"/>
      <c r="BD686" s="77"/>
      <c r="BE686" s="81"/>
      <c r="BF686" s="77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77"/>
      <c r="BU686" s="77"/>
      <c r="BV686" s="77"/>
      <c r="BW686" s="77"/>
      <c r="BX686" s="77"/>
      <c r="BY686" s="77"/>
      <c r="BZ686" s="77"/>
      <c r="CA686" s="77"/>
      <c r="CB686" s="77"/>
      <c r="CC686" s="77"/>
      <c r="CD686" s="77"/>
      <c r="CE686" s="77"/>
      <c r="CF686" s="77"/>
      <c r="CG686" s="77"/>
      <c r="CH686" s="77"/>
      <c r="CI686" s="77"/>
      <c r="CJ686" s="77"/>
      <c r="CK686" s="77"/>
      <c r="CL686" s="77"/>
      <c r="CM686" s="77"/>
      <c r="CN686" s="77"/>
      <c r="CO686" s="77"/>
      <c r="CP686" s="77"/>
      <c r="CQ686" s="77"/>
      <c r="CR686" s="77"/>
      <c r="CS686" s="77"/>
      <c r="CT686" s="77"/>
      <c r="CU686" s="77"/>
      <c r="CV686" s="77"/>
      <c r="CW686" s="77"/>
    </row>
    <row r="687" spans="1:101" ht="16.5" x14ac:dyDescent="0.45">
      <c r="A687" s="76"/>
      <c r="B687" s="77"/>
      <c r="C687" s="77"/>
      <c r="D687" s="78"/>
      <c r="E687" s="80"/>
      <c r="F687" s="80"/>
      <c r="G687" s="81"/>
      <c r="H687" s="81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82"/>
      <c r="Z687" s="82"/>
      <c r="AA687" s="82"/>
      <c r="AB687" s="80"/>
      <c r="AC687" s="77"/>
      <c r="AD687" s="77"/>
      <c r="AE687" s="77"/>
      <c r="AF687" s="77"/>
      <c r="AG687" s="77"/>
      <c r="AH687" s="77"/>
      <c r="AI687" s="92"/>
      <c r="AJ687" s="77"/>
      <c r="AK687" s="77"/>
      <c r="AL687" s="77"/>
      <c r="AM687" s="77"/>
      <c r="AN687" s="77"/>
      <c r="AO687" s="77"/>
      <c r="AP687" s="76"/>
      <c r="AQ687" s="81"/>
      <c r="AR687" s="76"/>
      <c r="AS687" s="81"/>
      <c r="AT687" s="76"/>
      <c r="AU687" s="81"/>
      <c r="AV687" s="77"/>
      <c r="AW687" s="81"/>
      <c r="AX687" s="77"/>
      <c r="AY687" s="81"/>
      <c r="AZ687" s="77"/>
      <c r="BA687" s="81"/>
      <c r="BB687" s="77"/>
      <c r="BC687" s="81"/>
      <c r="BD687" s="77"/>
      <c r="BE687" s="81"/>
      <c r="BF687" s="77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77"/>
      <c r="BU687" s="77"/>
      <c r="BV687" s="77"/>
      <c r="BW687" s="77"/>
      <c r="BX687" s="77"/>
      <c r="BY687" s="77"/>
      <c r="BZ687" s="77"/>
      <c r="CA687" s="77"/>
      <c r="CB687" s="77"/>
      <c r="CC687" s="77"/>
      <c r="CD687" s="77"/>
      <c r="CE687" s="77"/>
      <c r="CF687" s="77"/>
      <c r="CG687" s="77"/>
      <c r="CH687" s="77"/>
      <c r="CI687" s="77"/>
      <c r="CJ687" s="77"/>
      <c r="CK687" s="77"/>
      <c r="CL687" s="77"/>
      <c r="CM687" s="77"/>
      <c r="CN687" s="77"/>
      <c r="CO687" s="77"/>
      <c r="CP687" s="77"/>
      <c r="CQ687" s="77"/>
      <c r="CR687" s="77"/>
      <c r="CS687" s="77"/>
      <c r="CT687" s="77"/>
      <c r="CU687" s="77"/>
      <c r="CV687" s="77"/>
      <c r="CW687" s="77"/>
    </row>
    <row r="688" spans="1:101" ht="16.5" x14ac:dyDescent="0.45">
      <c r="A688" s="76"/>
      <c r="B688" s="77"/>
      <c r="C688" s="77"/>
      <c r="D688" s="78"/>
      <c r="E688" s="80"/>
      <c r="F688" s="80"/>
      <c r="G688" s="81"/>
      <c r="H688" s="81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82"/>
      <c r="Z688" s="82"/>
      <c r="AA688" s="82"/>
      <c r="AB688" s="80"/>
      <c r="AC688" s="77"/>
      <c r="AD688" s="77"/>
      <c r="AE688" s="77"/>
      <c r="AF688" s="77"/>
      <c r="AG688" s="77"/>
      <c r="AH688" s="77"/>
      <c r="AI688" s="92"/>
      <c r="AJ688" s="77"/>
      <c r="AK688" s="77"/>
      <c r="AL688" s="77"/>
      <c r="AM688" s="77"/>
      <c r="AN688" s="77"/>
      <c r="AO688" s="77"/>
      <c r="AP688" s="76"/>
      <c r="AQ688" s="81"/>
      <c r="AR688" s="76"/>
      <c r="AS688" s="81"/>
      <c r="AT688" s="76"/>
      <c r="AU688" s="81"/>
      <c r="AV688" s="77"/>
      <c r="AW688" s="81"/>
      <c r="AX688" s="77"/>
      <c r="AY688" s="81"/>
      <c r="AZ688" s="77"/>
      <c r="BA688" s="81"/>
      <c r="BB688" s="77"/>
      <c r="BC688" s="81"/>
      <c r="BD688" s="77"/>
      <c r="BE688" s="81"/>
      <c r="BF688" s="77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77"/>
      <c r="BU688" s="77"/>
      <c r="BV688" s="77"/>
      <c r="BW688" s="77"/>
      <c r="BX688" s="77"/>
      <c r="BY688" s="77"/>
      <c r="BZ688" s="77"/>
      <c r="CA688" s="77"/>
      <c r="CB688" s="77"/>
      <c r="CC688" s="77"/>
      <c r="CD688" s="77"/>
      <c r="CE688" s="77"/>
      <c r="CF688" s="77"/>
      <c r="CG688" s="77"/>
      <c r="CH688" s="77"/>
      <c r="CI688" s="77"/>
      <c r="CJ688" s="77"/>
      <c r="CK688" s="77"/>
      <c r="CL688" s="77"/>
      <c r="CM688" s="77"/>
      <c r="CN688" s="77"/>
      <c r="CO688" s="77"/>
      <c r="CP688" s="77"/>
      <c r="CQ688" s="77"/>
      <c r="CR688" s="77"/>
      <c r="CS688" s="77"/>
      <c r="CT688" s="77"/>
      <c r="CU688" s="77"/>
      <c r="CV688" s="77"/>
      <c r="CW688" s="77"/>
    </row>
    <row r="689" spans="1:101" ht="16.5" x14ac:dyDescent="0.45">
      <c r="A689" s="76"/>
      <c r="B689" s="77"/>
      <c r="C689" s="77"/>
      <c r="D689" s="78"/>
      <c r="E689" s="80"/>
      <c r="F689" s="80"/>
      <c r="G689" s="81"/>
      <c r="H689" s="81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82"/>
      <c r="Z689" s="82"/>
      <c r="AA689" s="82"/>
      <c r="AB689" s="80"/>
      <c r="AC689" s="77"/>
      <c r="AD689" s="77"/>
      <c r="AE689" s="77"/>
      <c r="AF689" s="77"/>
      <c r="AG689" s="77"/>
      <c r="AH689" s="77"/>
      <c r="AI689" s="92"/>
      <c r="AJ689" s="77"/>
      <c r="AK689" s="77"/>
      <c r="AL689" s="77"/>
      <c r="AM689" s="77"/>
      <c r="AN689" s="77"/>
      <c r="AO689" s="77"/>
      <c r="AP689" s="76"/>
      <c r="AQ689" s="81"/>
      <c r="AR689" s="76"/>
      <c r="AS689" s="81"/>
      <c r="AT689" s="76"/>
      <c r="AU689" s="81"/>
      <c r="AV689" s="77"/>
      <c r="AW689" s="81"/>
      <c r="AX689" s="77"/>
      <c r="AY689" s="81"/>
      <c r="AZ689" s="77"/>
      <c r="BA689" s="81"/>
      <c r="BB689" s="77"/>
      <c r="BC689" s="81"/>
      <c r="BD689" s="77"/>
      <c r="BE689" s="81"/>
      <c r="BF689" s="77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77"/>
      <c r="BU689" s="77"/>
      <c r="BV689" s="77"/>
      <c r="BW689" s="77"/>
      <c r="BX689" s="77"/>
      <c r="BY689" s="77"/>
      <c r="BZ689" s="77"/>
      <c r="CA689" s="77"/>
      <c r="CB689" s="77"/>
      <c r="CC689" s="77"/>
      <c r="CD689" s="77"/>
      <c r="CE689" s="77"/>
      <c r="CF689" s="77"/>
      <c r="CG689" s="77"/>
      <c r="CH689" s="77"/>
      <c r="CI689" s="77"/>
      <c r="CJ689" s="77"/>
      <c r="CK689" s="77"/>
      <c r="CL689" s="77"/>
      <c r="CM689" s="77"/>
      <c r="CN689" s="77"/>
      <c r="CO689" s="77"/>
      <c r="CP689" s="77"/>
      <c r="CQ689" s="77"/>
      <c r="CR689" s="77"/>
      <c r="CS689" s="77"/>
      <c r="CT689" s="77"/>
      <c r="CU689" s="77"/>
      <c r="CV689" s="77"/>
      <c r="CW689" s="77"/>
    </row>
    <row r="690" spans="1:101" ht="16.5" x14ac:dyDescent="0.45">
      <c r="A690" s="76"/>
      <c r="B690" s="77"/>
      <c r="C690" s="77"/>
      <c r="D690" s="78"/>
      <c r="E690" s="80"/>
      <c r="F690" s="80"/>
      <c r="G690" s="81"/>
      <c r="H690" s="81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82"/>
      <c r="Z690" s="82"/>
      <c r="AA690" s="82"/>
      <c r="AB690" s="80"/>
      <c r="AC690" s="77"/>
      <c r="AD690" s="77"/>
      <c r="AE690" s="77"/>
      <c r="AF690" s="77"/>
      <c r="AG690" s="77"/>
      <c r="AH690" s="77"/>
      <c r="AI690" s="92"/>
      <c r="AJ690" s="77"/>
      <c r="AK690" s="77"/>
      <c r="AL690" s="77"/>
      <c r="AM690" s="77"/>
      <c r="AN690" s="77"/>
      <c r="AO690" s="77"/>
      <c r="AP690" s="76"/>
      <c r="AQ690" s="81"/>
      <c r="AR690" s="76"/>
      <c r="AS690" s="81"/>
      <c r="AT690" s="76"/>
      <c r="AU690" s="81"/>
      <c r="AV690" s="77"/>
      <c r="AW690" s="81"/>
      <c r="AX690" s="77"/>
      <c r="AY690" s="81"/>
      <c r="AZ690" s="77"/>
      <c r="BA690" s="81"/>
      <c r="BB690" s="77"/>
      <c r="BC690" s="81"/>
      <c r="BD690" s="77"/>
      <c r="BE690" s="81"/>
      <c r="BF690" s="77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77"/>
      <c r="BU690" s="77"/>
      <c r="BV690" s="77"/>
      <c r="BW690" s="77"/>
      <c r="BX690" s="77"/>
      <c r="BY690" s="77"/>
      <c r="BZ690" s="77"/>
      <c r="CA690" s="77"/>
      <c r="CB690" s="77"/>
      <c r="CC690" s="77"/>
      <c r="CD690" s="77"/>
      <c r="CE690" s="77"/>
      <c r="CF690" s="77"/>
      <c r="CG690" s="77"/>
      <c r="CH690" s="77"/>
      <c r="CI690" s="77"/>
      <c r="CJ690" s="77"/>
      <c r="CK690" s="77"/>
      <c r="CL690" s="77"/>
      <c r="CM690" s="77"/>
      <c r="CN690" s="77"/>
      <c r="CO690" s="77"/>
      <c r="CP690" s="77"/>
      <c r="CQ690" s="77"/>
      <c r="CR690" s="77"/>
      <c r="CS690" s="77"/>
      <c r="CT690" s="77"/>
      <c r="CU690" s="77"/>
      <c r="CV690" s="77"/>
      <c r="CW690" s="77"/>
    </row>
    <row r="691" spans="1:101" ht="16.5" x14ac:dyDescent="0.45">
      <c r="A691" s="76"/>
      <c r="B691" s="77"/>
      <c r="C691" s="77"/>
      <c r="D691" s="78"/>
      <c r="E691" s="80"/>
      <c r="F691" s="80"/>
      <c r="G691" s="81"/>
      <c r="H691" s="81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82"/>
      <c r="Z691" s="82"/>
      <c r="AA691" s="82"/>
      <c r="AB691" s="80"/>
      <c r="AC691" s="77"/>
      <c r="AD691" s="77"/>
      <c r="AE691" s="77"/>
      <c r="AF691" s="77"/>
      <c r="AG691" s="77"/>
      <c r="AH691" s="77"/>
      <c r="AI691" s="92"/>
      <c r="AJ691" s="77"/>
      <c r="AK691" s="77"/>
      <c r="AL691" s="77"/>
      <c r="AM691" s="77"/>
      <c r="AN691" s="77"/>
      <c r="AO691" s="77"/>
      <c r="AP691" s="76"/>
      <c r="AQ691" s="81"/>
      <c r="AR691" s="76"/>
      <c r="AS691" s="81"/>
      <c r="AT691" s="76"/>
      <c r="AU691" s="81"/>
      <c r="AV691" s="77"/>
      <c r="AW691" s="81"/>
      <c r="AX691" s="77"/>
      <c r="AY691" s="81"/>
      <c r="AZ691" s="77"/>
      <c r="BA691" s="81"/>
      <c r="BB691" s="77"/>
      <c r="BC691" s="81"/>
      <c r="BD691" s="77"/>
      <c r="BE691" s="81"/>
      <c r="BF691" s="77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77"/>
      <c r="BU691" s="77"/>
      <c r="BV691" s="77"/>
      <c r="BW691" s="77"/>
      <c r="BX691" s="77"/>
      <c r="BY691" s="77"/>
      <c r="BZ691" s="77"/>
      <c r="CA691" s="77"/>
      <c r="CB691" s="77"/>
      <c r="CC691" s="77"/>
      <c r="CD691" s="77"/>
      <c r="CE691" s="77"/>
      <c r="CF691" s="77"/>
      <c r="CG691" s="77"/>
      <c r="CH691" s="77"/>
      <c r="CI691" s="77"/>
      <c r="CJ691" s="77"/>
      <c r="CK691" s="77"/>
      <c r="CL691" s="77"/>
      <c r="CM691" s="77"/>
      <c r="CN691" s="77"/>
      <c r="CO691" s="77"/>
      <c r="CP691" s="77"/>
      <c r="CQ691" s="77"/>
      <c r="CR691" s="77"/>
      <c r="CS691" s="77"/>
      <c r="CT691" s="77"/>
      <c r="CU691" s="77"/>
      <c r="CV691" s="77"/>
      <c r="CW691" s="77"/>
    </row>
    <row r="692" spans="1:101" ht="16.5" x14ac:dyDescent="0.45">
      <c r="A692" s="76"/>
      <c r="B692" s="77"/>
      <c r="C692" s="77"/>
      <c r="D692" s="78"/>
      <c r="E692" s="80"/>
      <c r="F692" s="80"/>
      <c r="G692" s="81"/>
      <c r="H692" s="81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82"/>
      <c r="Z692" s="82"/>
      <c r="AA692" s="82"/>
      <c r="AB692" s="80"/>
      <c r="AC692" s="77"/>
      <c r="AD692" s="77"/>
      <c r="AE692" s="77"/>
      <c r="AF692" s="77"/>
      <c r="AG692" s="77"/>
      <c r="AH692" s="77"/>
      <c r="AI692" s="92"/>
      <c r="AJ692" s="77"/>
      <c r="AK692" s="77"/>
      <c r="AL692" s="77"/>
      <c r="AM692" s="77"/>
      <c r="AN692" s="77"/>
      <c r="AO692" s="77"/>
      <c r="AP692" s="76"/>
      <c r="AQ692" s="81"/>
      <c r="AR692" s="76"/>
      <c r="AS692" s="81"/>
      <c r="AT692" s="76"/>
      <c r="AU692" s="81"/>
      <c r="AV692" s="77"/>
      <c r="AW692" s="81"/>
      <c r="AX692" s="77"/>
      <c r="AY692" s="81"/>
      <c r="AZ692" s="77"/>
      <c r="BA692" s="81"/>
      <c r="BB692" s="77"/>
      <c r="BC692" s="81"/>
      <c r="BD692" s="77"/>
      <c r="BE692" s="81"/>
      <c r="BF692" s="77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77"/>
      <c r="BU692" s="77"/>
      <c r="BV692" s="77"/>
      <c r="BW692" s="77"/>
      <c r="BX692" s="77"/>
      <c r="BY692" s="77"/>
      <c r="BZ692" s="77"/>
      <c r="CA692" s="77"/>
      <c r="CB692" s="77"/>
      <c r="CC692" s="77"/>
      <c r="CD692" s="77"/>
      <c r="CE692" s="77"/>
      <c r="CF692" s="77"/>
      <c r="CG692" s="77"/>
      <c r="CH692" s="77"/>
      <c r="CI692" s="77"/>
      <c r="CJ692" s="77"/>
      <c r="CK692" s="77"/>
      <c r="CL692" s="77"/>
      <c r="CM692" s="77"/>
      <c r="CN692" s="77"/>
      <c r="CO692" s="77"/>
      <c r="CP692" s="77"/>
      <c r="CQ692" s="77"/>
      <c r="CR692" s="77"/>
      <c r="CS692" s="77"/>
      <c r="CT692" s="77"/>
      <c r="CU692" s="77"/>
      <c r="CV692" s="77"/>
      <c r="CW692" s="77"/>
    </row>
    <row r="693" spans="1:101" ht="16.5" x14ac:dyDescent="0.45">
      <c r="A693" s="76"/>
      <c r="B693" s="77"/>
      <c r="C693" s="77"/>
      <c r="D693" s="78"/>
      <c r="E693" s="80"/>
      <c r="F693" s="80"/>
      <c r="G693" s="81"/>
      <c r="H693" s="81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82"/>
      <c r="Z693" s="82"/>
      <c r="AA693" s="82"/>
      <c r="AB693" s="80"/>
      <c r="AC693" s="77"/>
      <c r="AD693" s="77"/>
      <c r="AE693" s="77"/>
      <c r="AF693" s="77"/>
      <c r="AG693" s="77"/>
      <c r="AH693" s="77"/>
      <c r="AI693" s="92"/>
      <c r="AJ693" s="77"/>
      <c r="AK693" s="77"/>
      <c r="AL693" s="77"/>
      <c r="AM693" s="77"/>
      <c r="AN693" s="77"/>
      <c r="AO693" s="77"/>
      <c r="AP693" s="76"/>
      <c r="AQ693" s="81"/>
      <c r="AR693" s="76"/>
      <c r="AS693" s="81"/>
      <c r="AT693" s="76"/>
      <c r="AU693" s="81"/>
      <c r="AV693" s="77"/>
      <c r="AW693" s="81"/>
      <c r="AX693" s="77"/>
      <c r="AY693" s="81"/>
      <c r="AZ693" s="77"/>
      <c r="BA693" s="81"/>
      <c r="BB693" s="77"/>
      <c r="BC693" s="81"/>
      <c r="BD693" s="77"/>
      <c r="BE693" s="81"/>
      <c r="BF693" s="77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77"/>
      <c r="BU693" s="77"/>
      <c r="BV693" s="77"/>
      <c r="BW693" s="77"/>
      <c r="BX693" s="77"/>
      <c r="BY693" s="77"/>
      <c r="BZ693" s="77"/>
      <c r="CA693" s="77"/>
      <c r="CB693" s="77"/>
      <c r="CC693" s="77"/>
      <c r="CD693" s="77"/>
      <c r="CE693" s="77"/>
      <c r="CF693" s="77"/>
      <c r="CG693" s="77"/>
      <c r="CH693" s="77"/>
      <c r="CI693" s="77"/>
      <c r="CJ693" s="77"/>
      <c r="CK693" s="77"/>
      <c r="CL693" s="77"/>
      <c r="CM693" s="77"/>
      <c r="CN693" s="77"/>
      <c r="CO693" s="77"/>
      <c r="CP693" s="77"/>
      <c r="CQ693" s="77"/>
      <c r="CR693" s="77"/>
      <c r="CS693" s="77"/>
      <c r="CT693" s="77"/>
      <c r="CU693" s="77"/>
      <c r="CV693" s="77"/>
      <c r="CW693" s="77"/>
    </row>
    <row r="694" spans="1:101" ht="16.5" x14ac:dyDescent="0.45">
      <c r="A694" s="76"/>
      <c r="B694" s="77"/>
      <c r="C694" s="77"/>
      <c r="D694" s="78"/>
      <c r="E694" s="80"/>
      <c r="F694" s="80"/>
      <c r="G694" s="81"/>
      <c r="H694" s="81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82"/>
      <c r="Z694" s="82"/>
      <c r="AA694" s="82"/>
      <c r="AB694" s="80"/>
      <c r="AC694" s="77"/>
      <c r="AD694" s="77"/>
      <c r="AE694" s="77"/>
      <c r="AF694" s="77"/>
      <c r="AG694" s="77"/>
      <c r="AH694" s="77"/>
      <c r="AI694" s="92"/>
      <c r="AJ694" s="77"/>
      <c r="AK694" s="77"/>
      <c r="AL694" s="77"/>
      <c r="AM694" s="77"/>
      <c r="AN694" s="77"/>
      <c r="AO694" s="77"/>
      <c r="AP694" s="76"/>
      <c r="AQ694" s="81"/>
      <c r="AR694" s="76"/>
      <c r="AS694" s="81"/>
      <c r="AT694" s="76"/>
      <c r="AU694" s="81"/>
      <c r="AV694" s="77"/>
      <c r="AW694" s="81"/>
      <c r="AX694" s="77"/>
      <c r="AY694" s="81"/>
      <c r="AZ694" s="77"/>
      <c r="BA694" s="81"/>
      <c r="BB694" s="77"/>
      <c r="BC694" s="81"/>
      <c r="BD694" s="77"/>
      <c r="BE694" s="81"/>
      <c r="BF694" s="77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77"/>
      <c r="BU694" s="77"/>
      <c r="BV694" s="77"/>
      <c r="BW694" s="77"/>
      <c r="BX694" s="77"/>
      <c r="BY694" s="77"/>
      <c r="BZ694" s="77"/>
      <c r="CA694" s="77"/>
      <c r="CB694" s="77"/>
      <c r="CC694" s="77"/>
      <c r="CD694" s="77"/>
      <c r="CE694" s="77"/>
      <c r="CF694" s="77"/>
      <c r="CG694" s="77"/>
      <c r="CH694" s="77"/>
      <c r="CI694" s="77"/>
      <c r="CJ694" s="77"/>
      <c r="CK694" s="77"/>
      <c r="CL694" s="77"/>
      <c r="CM694" s="77"/>
      <c r="CN694" s="77"/>
      <c r="CO694" s="77"/>
      <c r="CP694" s="77"/>
      <c r="CQ694" s="77"/>
      <c r="CR694" s="77"/>
      <c r="CS694" s="77"/>
      <c r="CT694" s="77"/>
      <c r="CU694" s="77"/>
      <c r="CV694" s="77"/>
      <c r="CW694" s="77"/>
    </row>
    <row r="695" spans="1:101" ht="16.5" x14ac:dyDescent="0.45">
      <c r="A695" s="76"/>
      <c r="B695" s="77"/>
      <c r="C695" s="77"/>
      <c r="D695" s="78"/>
      <c r="E695" s="80"/>
      <c r="F695" s="80"/>
      <c r="G695" s="81"/>
      <c r="H695" s="81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82"/>
      <c r="Z695" s="82"/>
      <c r="AA695" s="82"/>
      <c r="AB695" s="80"/>
      <c r="AC695" s="77"/>
      <c r="AD695" s="77"/>
      <c r="AE695" s="77"/>
      <c r="AF695" s="77"/>
      <c r="AG695" s="77"/>
      <c r="AH695" s="77"/>
      <c r="AI695" s="92"/>
      <c r="AJ695" s="77"/>
      <c r="AK695" s="77"/>
      <c r="AL695" s="77"/>
      <c r="AM695" s="77"/>
      <c r="AN695" s="77"/>
      <c r="AO695" s="77"/>
      <c r="AP695" s="76"/>
      <c r="AQ695" s="81"/>
      <c r="AR695" s="76"/>
      <c r="AS695" s="81"/>
      <c r="AT695" s="76"/>
      <c r="AU695" s="81"/>
      <c r="AV695" s="77"/>
      <c r="AW695" s="81"/>
      <c r="AX695" s="77"/>
      <c r="AY695" s="81"/>
      <c r="AZ695" s="77"/>
      <c r="BA695" s="81"/>
      <c r="BB695" s="77"/>
      <c r="BC695" s="81"/>
      <c r="BD695" s="77"/>
      <c r="BE695" s="81"/>
      <c r="BF695" s="77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77"/>
      <c r="BU695" s="77"/>
      <c r="BV695" s="77"/>
      <c r="BW695" s="77"/>
      <c r="BX695" s="77"/>
      <c r="BY695" s="77"/>
      <c r="BZ695" s="77"/>
      <c r="CA695" s="77"/>
      <c r="CB695" s="77"/>
      <c r="CC695" s="77"/>
      <c r="CD695" s="77"/>
      <c r="CE695" s="77"/>
      <c r="CF695" s="77"/>
      <c r="CG695" s="77"/>
      <c r="CH695" s="77"/>
      <c r="CI695" s="77"/>
      <c r="CJ695" s="77"/>
      <c r="CK695" s="77"/>
      <c r="CL695" s="77"/>
      <c r="CM695" s="77"/>
      <c r="CN695" s="77"/>
      <c r="CO695" s="77"/>
      <c r="CP695" s="77"/>
      <c r="CQ695" s="77"/>
      <c r="CR695" s="77"/>
      <c r="CS695" s="77"/>
      <c r="CT695" s="77"/>
      <c r="CU695" s="77"/>
      <c r="CV695" s="77"/>
      <c r="CW695" s="77"/>
    </row>
    <row r="696" spans="1:101" ht="16.5" x14ac:dyDescent="0.45">
      <c r="A696" s="76"/>
      <c r="B696" s="77"/>
      <c r="C696" s="77"/>
      <c r="D696" s="78"/>
      <c r="E696" s="80"/>
      <c r="F696" s="80"/>
      <c r="G696" s="81"/>
      <c r="H696" s="81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82"/>
      <c r="Z696" s="82"/>
      <c r="AA696" s="82"/>
      <c r="AB696" s="80"/>
      <c r="AC696" s="77"/>
      <c r="AD696" s="77"/>
      <c r="AE696" s="77"/>
      <c r="AF696" s="77"/>
      <c r="AG696" s="77"/>
      <c r="AH696" s="77"/>
      <c r="AI696" s="92"/>
      <c r="AJ696" s="77"/>
      <c r="AK696" s="77"/>
      <c r="AL696" s="77"/>
      <c r="AM696" s="77"/>
      <c r="AN696" s="77"/>
      <c r="AO696" s="77"/>
      <c r="AP696" s="76"/>
      <c r="AQ696" s="81"/>
      <c r="AR696" s="76"/>
      <c r="AS696" s="81"/>
      <c r="AT696" s="76"/>
      <c r="AU696" s="81"/>
      <c r="AV696" s="77"/>
      <c r="AW696" s="81"/>
      <c r="AX696" s="77"/>
      <c r="AY696" s="81"/>
      <c r="AZ696" s="77"/>
      <c r="BA696" s="81"/>
      <c r="BB696" s="77"/>
      <c r="BC696" s="81"/>
      <c r="BD696" s="77"/>
      <c r="BE696" s="81"/>
      <c r="BF696" s="77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77"/>
      <c r="BU696" s="77"/>
      <c r="BV696" s="77"/>
      <c r="BW696" s="77"/>
      <c r="BX696" s="77"/>
      <c r="BY696" s="77"/>
      <c r="BZ696" s="77"/>
      <c r="CA696" s="77"/>
      <c r="CB696" s="77"/>
      <c r="CC696" s="77"/>
      <c r="CD696" s="77"/>
      <c r="CE696" s="77"/>
      <c r="CF696" s="77"/>
      <c r="CG696" s="77"/>
      <c r="CH696" s="77"/>
      <c r="CI696" s="77"/>
      <c r="CJ696" s="77"/>
      <c r="CK696" s="77"/>
      <c r="CL696" s="77"/>
      <c r="CM696" s="77"/>
      <c r="CN696" s="77"/>
      <c r="CO696" s="77"/>
      <c r="CP696" s="77"/>
      <c r="CQ696" s="77"/>
      <c r="CR696" s="77"/>
      <c r="CS696" s="77"/>
      <c r="CT696" s="77"/>
      <c r="CU696" s="77"/>
      <c r="CV696" s="77"/>
      <c r="CW696" s="77"/>
    </row>
    <row r="697" spans="1:101" ht="16.5" x14ac:dyDescent="0.45">
      <c r="A697" s="76"/>
      <c r="B697" s="77"/>
      <c r="C697" s="77"/>
      <c r="D697" s="78"/>
      <c r="E697" s="80"/>
      <c r="F697" s="80"/>
      <c r="G697" s="81"/>
      <c r="H697" s="81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82"/>
      <c r="Z697" s="82"/>
      <c r="AA697" s="82"/>
      <c r="AB697" s="80"/>
      <c r="AC697" s="77"/>
      <c r="AD697" s="77"/>
      <c r="AE697" s="77"/>
      <c r="AF697" s="77"/>
      <c r="AG697" s="77"/>
      <c r="AH697" s="77"/>
      <c r="AI697" s="92"/>
      <c r="AJ697" s="77"/>
      <c r="AK697" s="77"/>
      <c r="AL697" s="77"/>
      <c r="AM697" s="77"/>
      <c r="AN697" s="77"/>
      <c r="AO697" s="77"/>
      <c r="AP697" s="76"/>
      <c r="AQ697" s="81"/>
      <c r="AR697" s="76"/>
      <c r="AS697" s="81"/>
      <c r="AT697" s="76"/>
      <c r="AU697" s="81"/>
      <c r="AV697" s="77"/>
      <c r="AW697" s="81"/>
      <c r="AX697" s="77"/>
      <c r="AY697" s="81"/>
      <c r="AZ697" s="77"/>
      <c r="BA697" s="81"/>
      <c r="BB697" s="77"/>
      <c r="BC697" s="81"/>
      <c r="BD697" s="77"/>
      <c r="BE697" s="81"/>
      <c r="BF697" s="77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77"/>
      <c r="BU697" s="77"/>
      <c r="BV697" s="77"/>
      <c r="BW697" s="77"/>
      <c r="BX697" s="77"/>
      <c r="BY697" s="77"/>
      <c r="BZ697" s="77"/>
      <c r="CA697" s="77"/>
      <c r="CB697" s="77"/>
      <c r="CC697" s="77"/>
      <c r="CD697" s="77"/>
      <c r="CE697" s="77"/>
      <c r="CF697" s="77"/>
      <c r="CG697" s="77"/>
      <c r="CH697" s="77"/>
      <c r="CI697" s="77"/>
      <c r="CJ697" s="77"/>
      <c r="CK697" s="77"/>
      <c r="CL697" s="77"/>
      <c r="CM697" s="77"/>
      <c r="CN697" s="77"/>
      <c r="CO697" s="77"/>
      <c r="CP697" s="77"/>
      <c r="CQ697" s="77"/>
      <c r="CR697" s="77"/>
      <c r="CS697" s="77"/>
      <c r="CT697" s="77"/>
      <c r="CU697" s="77"/>
      <c r="CV697" s="77"/>
      <c r="CW697" s="77"/>
    </row>
    <row r="698" spans="1:101" ht="16.5" x14ac:dyDescent="0.45">
      <c r="A698" s="76"/>
      <c r="B698" s="77"/>
      <c r="C698" s="77"/>
      <c r="D698" s="78"/>
      <c r="E698" s="80"/>
      <c r="F698" s="80"/>
      <c r="G698" s="81"/>
      <c r="H698" s="81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82"/>
      <c r="Z698" s="82"/>
      <c r="AA698" s="82"/>
      <c r="AB698" s="80"/>
      <c r="AC698" s="77"/>
      <c r="AD698" s="77"/>
      <c r="AE698" s="77"/>
      <c r="AF698" s="77"/>
      <c r="AG698" s="77"/>
      <c r="AH698" s="77"/>
      <c r="AI698" s="92"/>
      <c r="AJ698" s="77"/>
      <c r="AK698" s="77"/>
      <c r="AL698" s="77"/>
      <c r="AM698" s="77"/>
      <c r="AN698" s="77"/>
      <c r="AO698" s="77"/>
      <c r="AP698" s="76"/>
      <c r="AQ698" s="81"/>
      <c r="AR698" s="76"/>
      <c r="AS698" s="81"/>
      <c r="AT698" s="76"/>
      <c r="AU698" s="81"/>
      <c r="AV698" s="77"/>
      <c r="AW698" s="81"/>
      <c r="AX698" s="77"/>
      <c r="AY698" s="81"/>
      <c r="AZ698" s="77"/>
      <c r="BA698" s="81"/>
      <c r="BB698" s="77"/>
      <c r="BC698" s="81"/>
      <c r="BD698" s="77"/>
      <c r="BE698" s="81"/>
      <c r="BF698" s="77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77"/>
      <c r="BU698" s="77"/>
      <c r="BV698" s="77"/>
      <c r="BW698" s="77"/>
      <c r="BX698" s="77"/>
      <c r="BY698" s="77"/>
      <c r="BZ698" s="77"/>
      <c r="CA698" s="77"/>
      <c r="CB698" s="77"/>
      <c r="CC698" s="77"/>
      <c r="CD698" s="77"/>
      <c r="CE698" s="77"/>
      <c r="CF698" s="77"/>
      <c r="CG698" s="77"/>
      <c r="CH698" s="77"/>
      <c r="CI698" s="77"/>
      <c r="CJ698" s="77"/>
      <c r="CK698" s="77"/>
      <c r="CL698" s="77"/>
      <c r="CM698" s="77"/>
      <c r="CN698" s="77"/>
      <c r="CO698" s="77"/>
      <c r="CP698" s="77"/>
      <c r="CQ698" s="77"/>
      <c r="CR698" s="77"/>
      <c r="CS698" s="77"/>
      <c r="CT698" s="77"/>
      <c r="CU698" s="77"/>
      <c r="CV698" s="77"/>
      <c r="CW698" s="77"/>
    </row>
    <row r="699" spans="1:101" ht="16.5" x14ac:dyDescent="0.45">
      <c r="A699" s="76"/>
      <c r="B699" s="77"/>
      <c r="C699" s="77"/>
      <c r="D699" s="78"/>
      <c r="E699" s="80"/>
      <c r="F699" s="80"/>
      <c r="G699" s="81"/>
      <c r="H699" s="81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82"/>
      <c r="Z699" s="82"/>
      <c r="AA699" s="82"/>
      <c r="AB699" s="80"/>
      <c r="AC699" s="77"/>
      <c r="AD699" s="77"/>
      <c r="AE699" s="77"/>
      <c r="AF699" s="77"/>
      <c r="AG699" s="77"/>
      <c r="AH699" s="77"/>
      <c r="AI699" s="92"/>
      <c r="AJ699" s="77"/>
      <c r="AK699" s="77"/>
      <c r="AL699" s="77"/>
      <c r="AM699" s="77"/>
      <c r="AN699" s="77"/>
      <c r="AO699" s="77"/>
      <c r="AP699" s="76"/>
      <c r="AQ699" s="81"/>
      <c r="AR699" s="76"/>
      <c r="AS699" s="81"/>
      <c r="AT699" s="76"/>
      <c r="AU699" s="81"/>
      <c r="AV699" s="77"/>
      <c r="AW699" s="81"/>
      <c r="AX699" s="77"/>
      <c r="AY699" s="81"/>
      <c r="AZ699" s="77"/>
      <c r="BA699" s="81"/>
      <c r="BB699" s="77"/>
      <c r="BC699" s="81"/>
      <c r="BD699" s="77"/>
      <c r="BE699" s="81"/>
      <c r="BF699" s="77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77"/>
      <c r="BU699" s="77"/>
      <c r="BV699" s="77"/>
      <c r="BW699" s="77"/>
      <c r="BX699" s="77"/>
      <c r="BY699" s="77"/>
      <c r="BZ699" s="77"/>
      <c r="CA699" s="77"/>
      <c r="CB699" s="77"/>
      <c r="CC699" s="77"/>
      <c r="CD699" s="77"/>
      <c r="CE699" s="77"/>
      <c r="CF699" s="77"/>
      <c r="CG699" s="77"/>
      <c r="CH699" s="77"/>
      <c r="CI699" s="77"/>
      <c r="CJ699" s="77"/>
      <c r="CK699" s="77"/>
      <c r="CL699" s="77"/>
      <c r="CM699" s="77"/>
      <c r="CN699" s="77"/>
      <c r="CO699" s="77"/>
      <c r="CP699" s="77"/>
      <c r="CQ699" s="77"/>
      <c r="CR699" s="77"/>
      <c r="CS699" s="77"/>
      <c r="CT699" s="77"/>
      <c r="CU699" s="77"/>
      <c r="CV699" s="77"/>
      <c r="CW699" s="77"/>
    </row>
    <row r="700" spans="1:101" ht="16.5" x14ac:dyDescent="0.45">
      <c r="A700" s="76"/>
      <c r="B700" s="77"/>
      <c r="C700" s="77"/>
      <c r="D700" s="78"/>
      <c r="E700" s="80"/>
      <c r="F700" s="80"/>
      <c r="G700" s="81"/>
      <c r="H700" s="81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82"/>
      <c r="Z700" s="82"/>
      <c r="AA700" s="82"/>
      <c r="AB700" s="80"/>
      <c r="AC700" s="77"/>
      <c r="AD700" s="77"/>
      <c r="AE700" s="77"/>
      <c r="AF700" s="77"/>
      <c r="AG700" s="77"/>
      <c r="AH700" s="77"/>
      <c r="AI700" s="92"/>
      <c r="AJ700" s="77"/>
      <c r="AK700" s="77"/>
      <c r="AL700" s="77"/>
      <c r="AM700" s="77"/>
      <c r="AN700" s="77"/>
      <c r="AO700" s="77"/>
      <c r="AP700" s="76"/>
      <c r="AQ700" s="81"/>
      <c r="AR700" s="76"/>
      <c r="AS700" s="81"/>
      <c r="AT700" s="76"/>
      <c r="AU700" s="81"/>
      <c r="AV700" s="77"/>
      <c r="AW700" s="81"/>
      <c r="AX700" s="77"/>
      <c r="AY700" s="81"/>
      <c r="AZ700" s="77"/>
      <c r="BA700" s="81"/>
      <c r="BB700" s="77"/>
      <c r="BC700" s="81"/>
      <c r="BD700" s="77"/>
      <c r="BE700" s="81"/>
      <c r="BF700" s="77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77"/>
      <c r="BU700" s="77"/>
      <c r="BV700" s="77"/>
      <c r="BW700" s="77"/>
      <c r="BX700" s="77"/>
      <c r="BY700" s="77"/>
      <c r="BZ700" s="77"/>
      <c r="CA700" s="77"/>
      <c r="CB700" s="77"/>
      <c r="CC700" s="77"/>
      <c r="CD700" s="77"/>
      <c r="CE700" s="77"/>
      <c r="CF700" s="77"/>
      <c r="CG700" s="77"/>
      <c r="CH700" s="77"/>
      <c r="CI700" s="77"/>
      <c r="CJ700" s="77"/>
      <c r="CK700" s="77"/>
      <c r="CL700" s="77"/>
      <c r="CM700" s="77"/>
      <c r="CN700" s="77"/>
      <c r="CO700" s="77"/>
      <c r="CP700" s="77"/>
      <c r="CQ700" s="77"/>
      <c r="CR700" s="77"/>
      <c r="CS700" s="77"/>
      <c r="CT700" s="77"/>
      <c r="CU700" s="77"/>
      <c r="CV700" s="77"/>
      <c r="CW700" s="77"/>
    </row>
    <row r="701" spans="1:101" ht="16.5" x14ac:dyDescent="0.45">
      <c r="A701" s="76"/>
      <c r="B701" s="77"/>
      <c r="C701" s="77"/>
      <c r="D701" s="78"/>
      <c r="E701" s="80"/>
      <c r="F701" s="80"/>
      <c r="G701" s="81"/>
      <c r="H701" s="81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82"/>
      <c r="Z701" s="82"/>
      <c r="AA701" s="82"/>
      <c r="AB701" s="80"/>
      <c r="AC701" s="77"/>
      <c r="AD701" s="77"/>
      <c r="AE701" s="77"/>
      <c r="AF701" s="77"/>
      <c r="AG701" s="77"/>
      <c r="AH701" s="77"/>
      <c r="AI701" s="92"/>
      <c r="AJ701" s="77"/>
      <c r="AK701" s="77"/>
      <c r="AL701" s="77"/>
      <c r="AM701" s="77"/>
      <c r="AN701" s="77"/>
      <c r="AO701" s="77"/>
      <c r="AP701" s="76"/>
      <c r="AQ701" s="81"/>
      <c r="AR701" s="76"/>
      <c r="AS701" s="81"/>
      <c r="AT701" s="76"/>
      <c r="AU701" s="81"/>
      <c r="AV701" s="77"/>
      <c r="AW701" s="81"/>
      <c r="AX701" s="77"/>
      <c r="AY701" s="81"/>
      <c r="AZ701" s="77"/>
      <c r="BA701" s="81"/>
      <c r="BB701" s="77"/>
      <c r="BC701" s="81"/>
      <c r="BD701" s="77"/>
      <c r="BE701" s="81"/>
      <c r="BF701" s="77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77"/>
      <c r="BU701" s="77"/>
      <c r="BV701" s="77"/>
      <c r="BW701" s="77"/>
      <c r="BX701" s="77"/>
      <c r="BY701" s="77"/>
      <c r="BZ701" s="77"/>
      <c r="CA701" s="77"/>
      <c r="CB701" s="77"/>
      <c r="CC701" s="77"/>
      <c r="CD701" s="77"/>
      <c r="CE701" s="77"/>
      <c r="CF701" s="77"/>
      <c r="CG701" s="77"/>
      <c r="CH701" s="77"/>
      <c r="CI701" s="77"/>
      <c r="CJ701" s="77"/>
      <c r="CK701" s="77"/>
      <c r="CL701" s="77"/>
      <c r="CM701" s="77"/>
      <c r="CN701" s="77"/>
      <c r="CO701" s="77"/>
      <c r="CP701" s="77"/>
      <c r="CQ701" s="77"/>
      <c r="CR701" s="77"/>
      <c r="CS701" s="77"/>
      <c r="CT701" s="77"/>
      <c r="CU701" s="77"/>
      <c r="CV701" s="77"/>
      <c r="CW701" s="77"/>
    </row>
    <row r="702" spans="1:101" ht="16.5" x14ac:dyDescent="0.45">
      <c r="A702" s="76"/>
      <c r="B702" s="77"/>
      <c r="C702" s="77"/>
      <c r="D702" s="78"/>
      <c r="E702" s="80"/>
      <c r="F702" s="80"/>
      <c r="G702" s="81"/>
      <c r="H702" s="81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82"/>
      <c r="Z702" s="82"/>
      <c r="AA702" s="82"/>
      <c r="AB702" s="80"/>
      <c r="AC702" s="77"/>
      <c r="AD702" s="77"/>
      <c r="AE702" s="77"/>
      <c r="AF702" s="77"/>
      <c r="AG702" s="77"/>
      <c r="AH702" s="77"/>
      <c r="AI702" s="92"/>
      <c r="AJ702" s="77"/>
      <c r="AK702" s="77"/>
      <c r="AL702" s="77"/>
      <c r="AM702" s="77"/>
      <c r="AN702" s="77"/>
      <c r="AO702" s="77"/>
      <c r="AP702" s="76"/>
      <c r="AQ702" s="81"/>
      <c r="AR702" s="76"/>
      <c r="AS702" s="81"/>
      <c r="AT702" s="76"/>
      <c r="AU702" s="81"/>
      <c r="AV702" s="77"/>
      <c r="AW702" s="81"/>
      <c r="AX702" s="77"/>
      <c r="AY702" s="81"/>
      <c r="AZ702" s="77"/>
      <c r="BA702" s="81"/>
      <c r="BB702" s="77"/>
      <c r="BC702" s="81"/>
      <c r="BD702" s="77"/>
      <c r="BE702" s="81"/>
      <c r="BF702" s="77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77"/>
      <c r="BU702" s="77"/>
      <c r="BV702" s="77"/>
      <c r="BW702" s="77"/>
      <c r="BX702" s="77"/>
      <c r="BY702" s="77"/>
      <c r="BZ702" s="77"/>
      <c r="CA702" s="77"/>
      <c r="CB702" s="77"/>
      <c r="CC702" s="77"/>
      <c r="CD702" s="77"/>
      <c r="CE702" s="77"/>
      <c r="CF702" s="77"/>
      <c r="CG702" s="77"/>
      <c r="CH702" s="77"/>
      <c r="CI702" s="77"/>
      <c r="CJ702" s="77"/>
      <c r="CK702" s="77"/>
      <c r="CL702" s="77"/>
      <c r="CM702" s="77"/>
      <c r="CN702" s="77"/>
      <c r="CO702" s="77"/>
      <c r="CP702" s="77"/>
      <c r="CQ702" s="77"/>
      <c r="CR702" s="77"/>
      <c r="CS702" s="77"/>
      <c r="CT702" s="77"/>
      <c r="CU702" s="77"/>
      <c r="CV702" s="77"/>
      <c r="CW702" s="77"/>
    </row>
    <row r="703" spans="1:101" ht="16.5" x14ac:dyDescent="0.45">
      <c r="A703" s="76"/>
      <c r="B703" s="77"/>
      <c r="C703" s="77"/>
      <c r="D703" s="78"/>
      <c r="E703" s="80"/>
      <c r="F703" s="80"/>
      <c r="G703" s="81"/>
      <c r="H703" s="81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82"/>
      <c r="Z703" s="82"/>
      <c r="AA703" s="82"/>
      <c r="AB703" s="80"/>
      <c r="AC703" s="77"/>
      <c r="AD703" s="77"/>
      <c r="AE703" s="77"/>
      <c r="AF703" s="77"/>
      <c r="AG703" s="77"/>
      <c r="AH703" s="77"/>
      <c r="AI703" s="92"/>
      <c r="AJ703" s="77"/>
      <c r="AK703" s="77"/>
      <c r="AL703" s="77"/>
      <c r="AM703" s="77"/>
      <c r="AN703" s="77"/>
      <c r="AO703" s="77"/>
      <c r="AP703" s="76"/>
      <c r="AQ703" s="81"/>
      <c r="AR703" s="76"/>
      <c r="AS703" s="81"/>
      <c r="AT703" s="76"/>
      <c r="AU703" s="81"/>
      <c r="AV703" s="77"/>
      <c r="AW703" s="81"/>
      <c r="AX703" s="77"/>
      <c r="AY703" s="81"/>
      <c r="AZ703" s="77"/>
      <c r="BA703" s="81"/>
      <c r="BB703" s="77"/>
      <c r="BC703" s="81"/>
      <c r="BD703" s="77"/>
      <c r="BE703" s="81"/>
      <c r="BF703" s="77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77"/>
      <c r="BU703" s="77"/>
      <c r="BV703" s="77"/>
      <c r="BW703" s="77"/>
      <c r="BX703" s="77"/>
      <c r="BY703" s="77"/>
      <c r="BZ703" s="77"/>
      <c r="CA703" s="77"/>
      <c r="CB703" s="77"/>
      <c r="CC703" s="77"/>
      <c r="CD703" s="77"/>
      <c r="CE703" s="77"/>
      <c r="CF703" s="77"/>
      <c r="CG703" s="77"/>
      <c r="CH703" s="77"/>
      <c r="CI703" s="77"/>
      <c r="CJ703" s="77"/>
      <c r="CK703" s="77"/>
      <c r="CL703" s="77"/>
      <c r="CM703" s="77"/>
      <c r="CN703" s="77"/>
      <c r="CO703" s="77"/>
      <c r="CP703" s="77"/>
      <c r="CQ703" s="77"/>
      <c r="CR703" s="77"/>
      <c r="CS703" s="77"/>
      <c r="CT703" s="77"/>
      <c r="CU703" s="77"/>
      <c r="CV703" s="77"/>
      <c r="CW703" s="77"/>
    </row>
    <row r="704" spans="1:101" ht="16.5" x14ac:dyDescent="0.45">
      <c r="A704" s="76"/>
      <c r="B704" s="77"/>
      <c r="C704" s="77"/>
      <c r="D704" s="78"/>
      <c r="E704" s="80"/>
      <c r="F704" s="80"/>
      <c r="G704" s="81"/>
      <c r="H704" s="81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82"/>
      <c r="Z704" s="82"/>
      <c r="AA704" s="82"/>
      <c r="AB704" s="80"/>
      <c r="AC704" s="77"/>
      <c r="AD704" s="77"/>
      <c r="AE704" s="77"/>
      <c r="AF704" s="77"/>
      <c r="AG704" s="77"/>
      <c r="AH704" s="77"/>
      <c r="AI704" s="92"/>
      <c r="AJ704" s="77"/>
      <c r="AK704" s="77"/>
      <c r="AL704" s="77"/>
      <c r="AM704" s="77"/>
      <c r="AN704" s="77"/>
      <c r="AO704" s="77"/>
      <c r="AP704" s="76"/>
      <c r="AQ704" s="81"/>
      <c r="AR704" s="76"/>
      <c r="AS704" s="81"/>
      <c r="AT704" s="76"/>
      <c r="AU704" s="81"/>
      <c r="AV704" s="77"/>
      <c r="AW704" s="81"/>
      <c r="AX704" s="77"/>
      <c r="AY704" s="81"/>
      <c r="AZ704" s="77"/>
      <c r="BA704" s="81"/>
      <c r="BB704" s="77"/>
      <c r="BC704" s="81"/>
      <c r="BD704" s="77"/>
      <c r="BE704" s="81"/>
      <c r="BF704" s="77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77"/>
      <c r="BU704" s="77"/>
      <c r="BV704" s="77"/>
      <c r="BW704" s="77"/>
      <c r="BX704" s="77"/>
      <c r="BY704" s="77"/>
      <c r="BZ704" s="77"/>
      <c r="CA704" s="77"/>
      <c r="CB704" s="77"/>
      <c r="CC704" s="77"/>
      <c r="CD704" s="77"/>
      <c r="CE704" s="77"/>
      <c r="CF704" s="77"/>
      <c r="CG704" s="77"/>
      <c r="CH704" s="77"/>
      <c r="CI704" s="77"/>
      <c r="CJ704" s="77"/>
      <c r="CK704" s="77"/>
      <c r="CL704" s="77"/>
      <c r="CM704" s="77"/>
      <c r="CN704" s="77"/>
      <c r="CO704" s="77"/>
      <c r="CP704" s="77"/>
      <c r="CQ704" s="77"/>
      <c r="CR704" s="77"/>
      <c r="CS704" s="77"/>
      <c r="CT704" s="77"/>
      <c r="CU704" s="77"/>
      <c r="CV704" s="77"/>
      <c r="CW704" s="77"/>
    </row>
    <row r="705" spans="1:101" ht="16.5" x14ac:dyDescent="0.45">
      <c r="A705" s="76"/>
      <c r="B705" s="77"/>
      <c r="C705" s="77"/>
      <c r="D705" s="78"/>
      <c r="E705" s="80"/>
      <c r="F705" s="80"/>
      <c r="G705" s="81"/>
      <c r="H705" s="81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82"/>
      <c r="Z705" s="82"/>
      <c r="AA705" s="82"/>
      <c r="AB705" s="80"/>
      <c r="AC705" s="77"/>
      <c r="AD705" s="77"/>
      <c r="AE705" s="77"/>
      <c r="AF705" s="77"/>
      <c r="AG705" s="77"/>
      <c r="AH705" s="77"/>
      <c r="AI705" s="92"/>
      <c r="AJ705" s="77"/>
      <c r="AK705" s="77"/>
      <c r="AL705" s="77"/>
      <c r="AM705" s="77"/>
      <c r="AN705" s="77"/>
      <c r="AO705" s="77"/>
      <c r="AP705" s="76"/>
      <c r="AQ705" s="81"/>
      <c r="AR705" s="76"/>
      <c r="AS705" s="81"/>
      <c r="AT705" s="76"/>
      <c r="AU705" s="81"/>
      <c r="AV705" s="77"/>
      <c r="AW705" s="81"/>
      <c r="AX705" s="77"/>
      <c r="AY705" s="81"/>
      <c r="AZ705" s="77"/>
      <c r="BA705" s="81"/>
      <c r="BB705" s="77"/>
      <c r="BC705" s="81"/>
      <c r="BD705" s="77"/>
      <c r="BE705" s="81"/>
      <c r="BF705" s="77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77"/>
      <c r="CH705" s="77"/>
      <c r="CI705" s="77"/>
      <c r="CJ705" s="77"/>
      <c r="CK705" s="77"/>
      <c r="CL705" s="77"/>
      <c r="CM705" s="77"/>
      <c r="CN705" s="77"/>
      <c r="CO705" s="77"/>
      <c r="CP705" s="77"/>
      <c r="CQ705" s="77"/>
      <c r="CR705" s="77"/>
      <c r="CS705" s="77"/>
      <c r="CT705" s="77"/>
      <c r="CU705" s="77"/>
      <c r="CV705" s="77"/>
      <c r="CW705" s="77"/>
    </row>
    <row r="706" spans="1:101" ht="16.5" x14ac:dyDescent="0.45">
      <c r="A706" s="76"/>
      <c r="B706" s="77"/>
      <c r="C706" s="77"/>
      <c r="D706" s="78"/>
      <c r="E706" s="80"/>
      <c r="F706" s="80"/>
      <c r="G706" s="81"/>
      <c r="H706" s="81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82"/>
      <c r="Z706" s="82"/>
      <c r="AA706" s="82"/>
      <c r="AB706" s="80"/>
      <c r="AC706" s="77"/>
      <c r="AD706" s="77"/>
      <c r="AE706" s="77"/>
      <c r="AF706" s="77"/>
      <c r="AG706" s="77"/>
      <c r="AH706" s="77"/>
      <c r="AI706" s="92"/>
      <c r="AJ706" s="77"/>
      <c r="AK706" s="77"/>
      <c r="AL706" s="77"/>
      <c r="AM706" s="77"/>
      <c r="AN706" s="77"/>
      <c r="AO706" s="77"/>
      <c r="AP706" s="76"/>
      <c r="AQ706" s="81"/>
      <c r="AR706" s="76"/>
      <c r="AS706" s="81"/>
      <c r="AT706" s="76"/>
      <c r="AU706" s="81"/>
      <c r="AV706" s="77"/>
      <c r="AW706" s="81"/>
      <c r="AX706" s="77"/>
      <c r="AY706" s="81"/>
      <c r="AZ706" s="77"/>
      <c r="BA706" s="81"/>
      <c r="BB706" s="77"/>
      <c r="BC706" s="81"/>
      <c r="BD706" s="77"/>
      <c r="BE706" s="81"/>
      <c r="BF706" s="77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77"/>
      <c r="BU706" s="77"/>
      <c r="BV706" s="77"/>
      <c r="BW706" s="77"/>
      <c r="BX706" s="77"/>
      <c r="BY706" s="77"/>
      <c r="BZ706" s="77"/>
      <c r="CA706" s="77"/>
      <c r="CB706" s="77"/>
      <c r="CC706" s="77"/>
      <c r="CD706" s="77"/>
      <c r="CE706" s="77"/>
      <c r="CF706" s="77"/>
      <c r="CG706" s="77"/>
      <c r="CH706" s="77"/>
      <c r="CI706" s="77"/>
      <c r="CJ706" s="77"/>
      <c r="CK706" s="77"/>
      <c r="CL706" s="77"/>
      <c r="CM706" s="77"/>
      <c r="CN706" s="77"/>
      <c r="CO706" s="77"/>
      <c r="CP706" s="77"/>
      <c r="CQ706" s="77"/>
      <c r="CR706" s="77"/>
      <c r="CS706" s="77"/>
      <c r="CT706" s="77"/>
      <c r="CU706" s="77"/>
      <c r="CV706" s="77"/>
      <c r="CW706" s="77"/>
    </row>
    <row r="707" spans="1:101" ht="16.5" x14ac:dyDescent="0.45">
      <c r="A707" s="76"/>
      <c r="B707" s="77"/>
      <c r="C707" s="77"/>
      <c r="D707" s="78"/>
      <c r="E707" s="80"/>
      <c r="F707" s="80"/>
      <c r="G707" s="81"/>
      <c r="H707" s="81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82"/>
      <c r="Z707" s="82"/>
      <c r="AA707" s="82"/>
      <c r="AB707" s="80"/>
      <c r="AC707" s="77"/>
      <c r="AD707" s="77"/>
      <c r="AE707" s="77"/>
      <c r="AF707" s="77"/>
      <c r="AG707" s="77"/>
      <c r="AH707" s="77"/>
      <c r="AI707" s="92"/>
      <c r="AJ707" s="77"/>
      <c r="AK707" s="77"/>
      <c r="AL707" s="77"/>
      <c r="AM707" s="77"/>
      <c r="AN707" s="77"/>
      <c r="AO707" s="77"/>
      <c r="AP707" s="76"/>
      <c r="AQ707" s="81"/>
      <c r="AR707" s="76"/>
      <c r="AS707" s="81"/>
      <c r="AT707" s="76"/>
      <c r="AU707" s="81"/>
      <c r="AV707" s="77"/>
      <c r="AW707" s="81"/>
      <c r="AX707" s="77"/>
      <c r="AY707" s="81"/>
      <c r="AZ707" s="77"/>
      <c r="BA707" s="81"/>
      <c r="BB707" s="77"/>
      <c r="BC707" s="81"/>
      <c r="BD707" s="77"/>
      <c r="BE707" s="81"/>
      <c r="BF707" s="77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77"/>
      <c r="BU707" s="77"/>
      <c r="BV707" s="77"/>
      <c r="BW707" s="77"/>
      <c r="BX707" s="77"/>
      <c r="BY707" s="77"/>
      <c r="BZ707" s="77"/>
      <c r="CA707" s="77"/>
      <c r="CB707" s="77"/>
      <c r="CC707" s="77"/>
      <c r="CD707" s="77"/>
      <c r="CE707" s="77"/>
      <c r="CF707" s="77"/>
      <c r="CG707" s="77"/>
      <c r="CH707" s="77"/>
      <c r="CI707" s="77"/>
      <c r="CJ707" s="77"/>
      <c r="CK707" s="77"/>
      <c r="CL707" s="77"/>
      <c r="CM707" s="77"/>
      <c r="CN707" s="77"/>
      <c r="CO707" s="77"/>
      <c r="CP707" s="77"/>
      <c r="CQ707" s="77"/>
      <c r="CR707" s="77"/>
      <c r="CS707" s="77"/>
      <c r="CT707" s="77"/>
      <c r="CU707" s="77"/>
      <c r="CV707" s="77"/>
      <c r="CW707" s="77"/>
    </row>
    <row r="708" spans="1:101" ht="16.5" x14ac:dyDescent="0.45">
      <c r="A708" s="76"/>
      <c r="B708" s="77"/>
      <c r="C708" s="77"/>
      <c r="D708" s="78"/>
      <c r="E708" s="80"/>
      <c r="F708" s="80"/>
      <c r="G708" s="81"/>
      <c r="H708" s="81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82"/>
      <c r="Z708" s="82"/>
      <c r="AA708" s="82"/>
      <c r="AB708" s="80"/>
      <c r="AC708" s="77"/>
      <c r="AD708" s="77"/>
      <c r="AE708" s="77"/>
      <c r="AF708" s="77"/>
      <c r="AG708" s="77"/>
      <c r="AH708" s="77"/>
      <c r="AI708" s="92"/>
      <c r="AJ708" s="77"/>
      <c r="AK708" s="77"/>
      <c r="AL708" s="77"/>
      <c r="AM708" s="77"/>
      <c r="AN708" s="77"/>
      <c r="AO708" s="77"/>
      <c r="AP708" s="76"/>
      <c r="AQ708" s="81"/>
      <c r="AR708" s="76"/>
      <c r="AS708" s="81"/>
      <c r="AT708" s="76"/>
      <c r="AU708" s="81"/>
      <c r="AV708" s="77"/>
      <c r="AW708" s="81"/>
      <c r="AX708" s="77"/>
      <c r="AY708" s="81"/>
      <c r="AZ708" s="77"/>
      <c r="BA708" s="81"/>
      <c r="BB708" s="77"/>
      <c r="BC708" s="81"/>
      <c r="BD708" s="77"/>
      <c r="BE708" s="81"/>
      <c r="BF708" s="77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77"/>
      <c r="CH708" s="77"/>
      <c r="CI708" s="77"/>
      <c r="CJ708" s="77"/>
      <c r="CK708" s="77"/>
      <c r="CL708" s="77"/>
      <c r="CM708" s="77"/>
      <c r="CN708" s="77"/>
      <c r="CO708" s="77"/>
      <c r="CP708" s="77"/>
      <c r="CQ708" s="77"/>
      <c r="CR708" s="77"/>
      <c r="CS708" s="77"/>
      <c r="CT708" s="77"/>
      <c r="CU708" s="77"/>
      <c r="CV708" s="77"/>
      <c r="CW708" s="77"/>
    </row>
    <row r="709" spans="1:101" ht="16.5" x14ac:dyDescent="0.45">
      <c r="A709" s="76"/>
      <c r="B709" s="77"/>
      <c r="C709" s="77"/>
      <c r="D709" s="78"/>
      <c r="E709" s="80"/>
      <c r="F709" s="80"/>
      <c r="G709" s="81"/>
      <c r="H709" s="81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82"/>
      <c r="Z709" s="82"/>
      <c r="AA709" s="82"/>
      <c r="AB709" s="80"/>
      <c r="AC709" s="77"/>
      <c r="AD709" s="77"/>
      <c r="AE709" s="77"/>
      <c r="AF709" s="77"/>
      <c r="AG709" s="77"/>
      <c r="AH709" s="77"/>
      <c r="AI709" s="92"/>
      <c r="AJ709" s="77"/>
      <c r="AK709" s="77"/>
      <c r="AL709" s="77"/>
      <c r="AM709" s="77"/>
      <c r="AN709" s="77"/>
      <c r="AO709" s="77"/>
      <c r="AP709" s="76"/>
      <c r="AQ709" s="81"/>
      <c r="AR709" s="76"/>
      <c r="AS709" s="81"/>
      <c r="AT709" s="76"/>
      <c r="AU709" s="81"/>
      <c r="AV709" s="77"/>
      <c r="AW709" s="81"/>
      <c r="AX709" s="77"/>
      <c r="AY709" s="81"/>
      <c r="AZ709" s="77"/>
      <c r="BA709" s="81"/>
      <c r="BB709" s="77"/>
      <c r="BC709" s="81"/>
      <c r="BD709" s="77"/>
      <c r="BE709" s="81"/>
      <c r="BF709" s="77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77"/>
      <c r="BU709" s="77"/>
      <c r="BV709" s="77"/>
      <c r="BW709" s="77"/>
      <c r="BX709" s="77"/>
      <c r="BY709" s="77"/>
      <c r="BZ709" s="77"/>
      <c r="CA709" s="77"/>
      <c r="CB709" s="77"/>
      <c r="CC709" s="77"/>
      <c r="CD709" s="77"/>
      <c r="CE709" s="77"/>
      <c r="CF709" s="77"/>
      <c r="CG709" s="77"/>
      <c r="CH709" s="77"/>
      <c r="CI709" s="77"/>
      <c r="CJ709" s="77"/>
      <c r="CK709" s="77"/>
      <c r="CL709" s="77"/>
      <c r="CM709" s="77"/>
      <c r="CN709" s="77"/>
      <c r="CO709" s="77"/>
      <c r="CP709" s="77"/>
      <c r="CQ709" s="77"/>
      <c r="CR709" s="77"/>
      <c r="CS709" s="77"/>
      <c r="CT709" s="77"/>
      <c r="CU709" s="77"/>
      <c r="CV709" s="77"/>
      <c r="CW709" s="77"/>
    </row>
    <row r="710" spans="1:101" ht="16.5" x14ac:dyDescent="0.45">
      <c r="A710" s="76"/>
      <c r="B710" s="77"/>
      <c r="C710" s="77"/>
      <c r="D710" s="78"/>
      <c r="E710" s="80"/>
      <c r="F710" s="80"/>
      <c r="G710" s="81"/>
      <c r="H710" s="81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82"/>
      <c r="Z710" s="82"/>
      <c r="AA710" s="82"/>
      <c r="AB710" s="80"/>
      <c r="AC710" s="77"/>
      <c r="AD710" s="77"/>
      <c r="AE710" s="77"/>
      <c r="AF710" s="77"/>
      <c r="AG710" s="77"/>
      <c r="AH710" s="77"/>
      <c r="AI710" s="92"/>
      <c r="AJ710" s="77"/>
      <c r="AK710" s="77"/>
      <c r="AL710" s="77"/>
      <c r="AM710" s="77"/>
      <c r="AN710" s="77"/>
      <c r="AO710" s="77"/>
      <c r="AP710" s="76"/>
      <c r="AQ710" s="81"/>
      <c r="AR710" s="76"/>
      <c r="AS710" s="81"/>
      <c r="AT710" s="76"/>
      <c r="AU710" s="81"/>
      <c r="AV710" s="77"/>
      <c r="AW710" s="81"/>
      <c r="AX710" s="77"/>
      <c r="AY710" s="81"/>
      <c r="AZ710" s="77"/>
      <c r="BA710" s="81"/>
      <c r="BB710" s="77"/>
      <c r="BC710" s="81"/>
      <c r="BD710" s="77"/>
      <c r="BE710" s="81"/>
      <c r="BF710" s="77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77"/>
      <c r="BU710" s="77"/>
      <c r="BV710" s="77"/>
      <c r="BW710" s="77"/>
      <c r="BX710" s="77"/>
      <c r="BY710" s="77"/>
      <c r="BZ710" s="77"/>
      <c r="CA710" s="77"/>
      <c r="CB710" s="77"/>
      <c r="CC710" s="77"/>
      <c r="CD710" s="77"/>
      <c r="CE710" s="77"/>
      <c r="CF710" s="77"/>
      <c r="CG710" s="77"/>
      <c r="CH710" s="77"/>
      <c r="CI710" s="77"/>
      <c r="CJ710" s="77"/>
      <c r="CK710" s="77"/>
      <c r="CL710" s="77"/>
      <c r="CM710" s="77"/>
      <c r="CN710" s="77"/>
      <c r="CO710" s="77"/>
      <c r="CP710" s="77"/>
      <c r="CQ710" s="77"/>
      <c r="CR710" s="77"/>
      <c r="CS710" s="77"/>
      <c r="CT710" s="77"/>
      <c r="CU710" s="77"/>
      <c r="CV710" s="77"/>
      <c r="CW710" s="77"/>
    </row>
    <row r="711" spans="1:101" ht="16.5" x14ac:dyDescent="0.45">
      <c r="A711" s="76"/>
      <c r="B711" s="77"/>
      <c r="C711" s="77"/>
      <c r="D711" s="78"/>
      <c r="E711" s="80"/>
      <c r="F711" s="80"/>
      <c r="G711" s="81"/>
      <c r="H711" s="81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82"/>
      <c r="Z711" s="82"/>
      <c r="AA711" s="82"/>
      <c r="AB711" s="80"/>
      <c r="AC711" s="77"/>
      <c r="AD711" s="77"/>
      <c r="AE711" s="77"/>
      <c r="AF711" s="77"/>
      <c r="AG711" s="77"/>
      <c r="AH711" s="77"/>
      <c r="AI711" s="92"/>
      <c r="AJ711" s="77"/>
      <c r="AK711" s="77"/>
      <c r="AL711" s="77"/>
      <c r="AM711" s="77"/>
      <c r="AN711" s="77"/>
      <c r="AO711" s="77"/>
      <c r="AP711" s="76"/>
      <c r="AQ711" s="81"/>
      <c r="AR711" s="76"/>
      <c r="AS711" s="81"/>
      <c r="AT711" s="76"/>
      <c r="AU711" s="81"/>
      <c r="AV711" s="77"/>
      <c r="AW711" s="81"/>
      <c r="AX711" s="77"/>
      <c r="AY711" s="81"/>
      <c r="AZ711" s="77"/>
      <c r="BA711" s="81"/>
      <c r="BB711" s="77"/>
      <c r="BC711" s="81"/>
      <c r="BD711" s="77"/>
      <c r="BE711" s="81"/>
      <c r="BF711" s="77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77"/>
      <c r="BU711" s="77"/>
      <c r="BV711" s="77"/>
      <c r="BW711" s="77"/>
      <c r="BX711" s="77"/>
      <c r="BY711" s="77"/>
      <c r="BZ711" s="77"/>
      <c r="CA711" s="77"/>
      <c r="CB711" s="77"/>
      <c r="CC711" s="77"/>
      <c r="CD711" s="77"/>
      <c r="CE711" s="77"/>
      <c r="CF711" s="77"/>
      <c r="CG711" s="77"/>
      <c r="CH711" s="77"/>
      <c r="CI711" s="77"/>
      <c r="CJ711" s="77"/>
      <c r="CK711" s="77"/>
      <c r="CL711" s="77"/>
      <c r="CM711" s="77"/>
      <c r="CN711" s="77"/>
      <c r="CO711" s="77"/>
      <c r="CP711" s="77"/>
      <c r="CQ711" s="77"/>
      <c r="CR711" s="77"/>
      <c r="CS711" s="77"/>
      <c r="CT711" s="77"/>
      <c r="CU711" s="77"/>
      <c r="CV711" s="77"/>
      <c r="CW711" s="77"/>
    </row>
    <row r="712" spans="1:101" ht="16.5" x14ac:dyDescent="0.45">
      <c r="A712" s="76"/>
      <c r="B712" s="77"/>
      <c r="C712" s="77"/>
      <c r="D712" s="78"/>
      <c r="E712" s="80"/>
      <c r="F712" s="80"/>
      <c r="G712" s="81"/>
      <c r="H712" s="81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82"/>
      <c r="Z712" s="82"/>
      <c r="AA712" s="82"/>
      <c r="AB712" s="80"/>
      <c r="AC712" s="77"/>
      <c r="AD712" s="77"/>
      <c r="AE712" s="77"/>
      <c r="AF712" s="77"/>
      <c r="AG712" s="77"/>
      <c r="AH712" s="77"/>
      <c r="AI712" s="92"/>
      <c r="AJ712" s="77"/>
      <c r="AK712" s="77"/>
      <c r="AL712" s="77"/>
      <c r="AM712" s="77"/>
      <c r="AN712" s="77"/>
      <c r="AO712" s="77"/>
      <c r="AP712" s="76"/>
      <c r="AQ712" s="81"/>
      <c r="AR712" s="76"/>
      <c r="AS712" s="81"/>
      <c r="AT712" s="76"/>
      <c r="AU712" s="81"/>
      <c r="AV712" s="77"/>
      <c r="AW712" s="81"/>
      <c r="AX712" s="77"/>
      <c r="AY712" s="81"/>
      <c r="AZ712" s="77"/>
      <c r="BA712" s="81"/>
      <c r="BB712" s="77"/>
      <c r="BC712" s="81"/>
      <c r="BD712" s="77"/>
      <c r="BE712" s="81"/>
      <c r="BF712" s="77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77"/>
      <c r="BU712" s="77"/>
      <c r="BV712" s="77"/>
      <c r="BW712" s="77"/>
      <c r="BX712" s="77"/>
      <c r="BY712" s="77"/>
      <c r="BZ712" s="77"/>
      <c r="CA712" s="77"/>
      <c r="CB712" s="77"/>
      <c r="CC712" s="77"/>
      <c r="CD712" s="77"/>
      <c r="CE712" s="77"/>
      <c r="CF712" s="77"/>
      <c r="CG712" s="77"/>
      <c r="CH712" s="77"/>
      <c r="CI712" s="77"/>
      <c r="CJ712" s="77"/>
      <c r="CK712" s="77"/>
      <c r="CL712" s="77"/>
      <c r="CM712" s="77"/>
      <c r="CN712" s="77"/>
      <c r="CO712" s="77"/>
      <c r="CP712" s="77"/>
      <c r="CQ712" s="77"/>
      <c r="CR712" s="77"/>
      <c r="CS712" s="77"/>
      <c r="CT712" s="77"/>
      <c r="CU712" s="77"/>
      <c r="CV712" s="77"/>
      <c r="CW712" s="77"/>
    </row>
    <row r="713" spans="1:101" ht="16.5" x14ac:dyDescent="0.45">
      <c r="A713" s="76"/>
      <c r="B713" s="77"/>
      <c r="C713" s="77"/>
      <c r="D713" s="78"/>
      <c r="E713" s="80"/>
      <c r="F713" s="80"/>
      <c r="G713" s="81"/>
      <c r="H713" s="81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82"/>
      <c r="Z713" s="82"/>
      <c r="AA713" s="82"/>
      <c r="AB713" s="80"/>
      <c r="AC713" s="77"/>
      <c r="AD713" s="77"/>
      <c r="AE713" s="77"/>
      <c r="AF713" s="77"/>
      <c r="AG713" s="77"/>
      <c r="AH713" s="77"/>
      <c r="AI713" s="92"/>
      <c r="AJ713" s="77"/>
      <c r="AK713" s="77"/>
      <c r="AL713" s="77"/>
      <c r="AM713" s="77"/>
      <c r="AN713" s="77"/>
      <c r="AO713" s="77"/>
      <c r="AP713" s="76"/>
      <c r="AQ713" s="81"/>
      <c r="AR713" s="76"/>
      <c r="AS713" s="81"/>
      <c r="AT713" s="76"/>
      <c r="AU713" s="81"/>
      <c r="AV713" s="77"/>
      <c r="AW713" s="81"/>
      <c r="AX713" s="77"/>
      <c r="AY713" s="81"/>
      <c r="AZ713" s="77"/>
      <c r="BA713" s="81"/>
      <c r="BB713" s="77"/>
      <c r="BC713" s="81"/>
      <c r="BD713" s="77"/>
      <c r="BE713" s="81"/>
      <c r="BF713" s="77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77"/>
      <c r="BU713" s="77"/>
      <c r="BV713" s="77"/>
      <c r="BW713" s="77"/>
      <c r="BX713" s="77"/>
      <c r="BY713" s="77"/>
      <c r="BZ713" s="77"/>
      <c r="CA713" s="77"/>
      <c r="CB713" s="77"/>
      <c r="CC713" s="77"/>
      <c r="CD713" s="77"/>
      <c r="CE713" s="77"/>
      <c r="CF713" s="77"/>
      <c r="CG713" s="77"/>
      <c r="CH713" s="77"/>
      <c r="CI713" s="77"/>
      <c r="CJ713" s="77"/>
      <c r="CK713" s="77"/>
      <c r="CL713" s="77"/>
      <c r="CM713" s="77"/>
      <c r="CN713" s="77"/>
      <c r="CO713" s="77"/>
      <c r="CP713" s="77"/>
      <c r="CQ713" s="77"/>
      <c r="CR713" s="77"/>
      <c r="CS713" s="77"/>
      <c r="CT713" s="77"/>
      <c r="CU713" s="77"/>
      <c r="CV713" s="77"/>
      <c r="CW713" s="77"/>
    </row>
    <row r="714" spans="1:101" ht="16.5" x14ac:dyDescent="0.45">
      <c r="A714" s="76"/>
      <c r="B714" s="77"/>
      <c r="C714" s="77"/>
      <c r="D714" s="78"/>
      <c r="E714" s="80"/>
      <c r="F714" s="80"/>
      <c r="G714" s="81"/>
      <c r="H714" s="81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82"/>
      <c r="Z714" s="82"/>
      <c r="AA714" s="82"/>
      <c r="AB714" s="80"/>
      <c r="AC714" s="77"/>
      <c r="AD714" s="77"/>
      <c r="AE714" s="77"/>
      <c r="AF714" s="77"/>
      <c r="AG714" s="77"/>
      <c r="AH714" s="77"/>
      <c r="AI714" s="92"/>
      <c r="AJ714" s="77"/>
      <c r="AK714" s="77"/>
      <c r="AL714" s="77"/>
      <c r="AM714" s="77"/>
      <c r="AN714" s="77"/>
      <c r="AO714" s="77"/>
      <c r="AP714" s="76"/>
      <c r="AQ714" s="81"/>
      <c r="AR714" s="76"/>
      <c r="AS714" s="81"/>
      <c r="AT714" s="76"/>
      <c r="AU714" s="81"/>
      <c r="AV714" s="77"/>
      <c r="AW714" s="81"/>
      <c r="AX714" s="77"/>
      <c r="AY714" s="81"/>
      <c r="AZ714" s="77"/>
      <c r="BA714" s="81"/>
      <c r="BB714" s="77"/>
      <c r="BC714" s="81"/>
      <c r="BD714" s="77"/>
      <c r="BE714" s="81"/>
      <c r="BF714" s="77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77"/>
      <c r="BU714" s="77"/>
      <c r="BV714" s="77"/>
      <c r="BW714" s="77"/>
      <c r="BX714" s="77"/>
      <c r="BY714" s="77"/>
      <c r="BZ714" s="77"/>
      <c r="CA714" s="77"/>
      <c r="CB714" s="77"/>
      <c r="CC714" s="77"/>
      <c r="CD714" s="77"/>
      <c r="CE714" s="77"/>
      <c r="CF714" s="77"/>
      <c r="CG714" s="77"/>
      <c r="CH714" s="77"/>
      <c r="CI714" s="77"/>
      <c r="CJ714" s="77"/>
      <c r="CK714" s="77"/>
      <c r="CL714" s="77"/>
      <c r="CM714" s="77"/>
      <c r="CN714" s="77"/>
      <c r="CO714" s="77"/>
      <c r="CP714" s="77"/>
      <c r="CQ714" s="77"/>
      <c r="CR714" s="77"/>
      <c r="CS714" s="77"/>
      <c r="CT714" s="77"/>
      <c r="CU714" s="77"/>
      <c r="CV714" s="77"/>
      <c r="CW714" s="77"/>
    </row>
    <row r="715" spans="1:101" ht="16.5" x14ac:dyDescent="0.45">
      <c r="A715" s="76"/>
      <c r="B715" s="77"/>
      <c r="C715" s="77"/>
      <c r="D715" s="78"/>
      <c r="E715" s="80"/>
      <c r="F715" s="80"/>
      <c r="G715" s="81"/>
      <c r="H715" s="81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82"/>
      <c r="Z715" s="82"/>
      <c r="AA715" s="82"/>
      <c r="AB715" s="80"/>
      <c r="AC715" s="77"/>
      <c r="AD715" s="77"/>
      <c r="AE715" s="77"/>
      <c r="AF715" s="77"/>
      <c r="AG715" s="77"/>
      <c r="AH715" s="77"/>
      <c r="AI715" s="92"/>
      <c r="AJ715" s="77"/>
      <c r="AK715" s="77"/>
      <c r="AL715" s="77"/>
      <c r="AM715" s="77"/>
      <c r="AN715" s="77"/>
      <c r="AO715" s="77"/>
      <c r="AP715" s="76"/>
      <c r="AQ715" s="81"/>
      <c r="AR715" s="76"/>
      <c r="AS715" s="81"/>
      <c r="AT715" s="76"/>
      <c r="AU715" s="81"/>
      <c r="AV715" s="77"/>
      <c r="AW715" s="81"/>
      <c r="AX715" s="77"/>
      <c r="AY715" s="81"/>
      <c r="AZ715" s="77"/>
      <c r="BA715" s="81"/>
      <c r="BB715" s="77"/>
      <c r="BC715" s="81"/>
      <c r="BD715" s="77"/>
      <c r="BE715" s="81"/>
      <c r="BF715" s="77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77"/>
      <c r="BU715" s="77"/>
      <c r="BV715" s="77"/>
      <c r="BW715" s="77"/>
      <c r="BX715" s="77"/>
      <c r="BY715" s="77"/>
      <c r="BZ715" s="77"/>
      <c r="CA715" s="77"/>
      <c r="CB715" s="77"/>
      <c r="CC715" s="77"/>
      <c r="CD715" s="77"/>
      <c r="CE715" s="77"/>
      <c r="CF715" s="77"/>
      <c r="CG715" s="77"/>
      <c r="CH715" s="77"/>
      <c r="CI715" s="77"/>
      <c r="CJ715" s="77"/>
      <c r="CK715" s="77"/>
      <c r="CL715" s="77"/>
      <c r="CM715" s="77"/>
      <c r="CN715" s="77"/>
      <c r="CO715" s="77"/>
      <c r="CP715" s="77"/>
      <c r="CQ715" s="77"/>
      <c r="CR715" s="77"/>
      <c r="CS715" s="77"/>
      <c r="CT715" s="77"/>
      <c r="CU715" s="77"/>
      <c r="CV715" s="77"/>
      <c r="CW715" s="77"/>
    </row>
    <row r="716" spans="1:101" ht="16.5" x14ac:dyDescent="0.45">
      <c r="A716" s="76"/>
      <c r="B716" s="77"/>
      <c r="C716" s="77"/>
      <c r="D716" s="78"/>
      <c r="E716" s="80"/>
      <c r="F716" s="80"/>
      <c r="G716" s="81"/>
      <c r="H716" s="81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82"/>
      <c r="Z716" s="82"/>
      <c r="AA716" s="82"/>
      <c r="AB716" s="80"/>
      <c r="AC716" s="77"/>
      <c r="AD716" s="77"/>
      <c r="AE716" s="77"/>
      <c r="AF716" s="77"/>
      <c r="AG716" s="77"/>
      <c r="AH716" s="77"/>
      <c r="AI716" s="92"/>
      <c r="AJ716" s="77"/>
      <c r="AK716" s="77"/>
      <c r="AL716" s="77"/>
      <c r="AM716" s="77"/>
      <c r="AN716" s="77"/>
      <c r="AO716" s="77"/>
      <c r="AP716" s="76"/>
      <c r="AQ716" s="81"/>
      <c r="AR716" s="76"/>
      <c r="AS716" s="81"/>
      <c r="AT716" s="76"/>
      <c r="AU716" s="81"/>
      <c r="AV716" s="77"/>
      <c r="AW716" s="81"/>
      <c r="AX716" s="77"/>
      <c r="AY716" s="81"/>
      <c r="AZ716" s="77"/>
      <c r="BA716" s="81"/>
      <c r="BB716" s="77"/>
      <c r="BC716" s="81"/>
      <c r="BD716" s="77"/>
      <c r="BE716" s="81"/>
      <c r="BF716" s="77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77"/>
      <c r="BU716" s="77"/>
      <c r="BV716" s="77"/>
      <c r="BW716" s="77"/>
      <c r="BX716" s="77"/>
      <c r="BY716" s="77"/>
      <c r="BZ716" s="77"/>
      <c r="CA716" s="77"/>
      <c r="CB716" s="77"/>
      <c r="CC716" s="77"/>
      <c r="CD716" s="77"/>
      <c r="CE716" s="77"/>
      <c r="CF716" s="77"/>
      <c r="CG716" s="77"/>
      <c r="CH716" s="77"/>
      <c r="CI716" s="77"/>
      <c r="CJ716" s="77"/>
      <c r="CK716" s="77"/>
      <c r="CL716" s="77"/>
      <c r="CM716" s="77"/>
      <c r="CN716" s="77"/>
      <c r="CO716" s="77"/>
      <c r="CP716" s="77"/>
      <c r="CQ716" s="77"/>
      <c r="CR716" s="77"/>
      <c r="CS716" s="77"/>
      <c r="CT716" s="77"/>
      <c r="CU716" s="77"/>
      <c r="CV716" s="77"/>
      <c r="CW716" s="77"/>
    </row>
    <row r="717" spans="1:101" ht="16.5" x14ac:dyDescent="0.45">
      <c r="A717" s="76"/>
      <c r="B717" s="77"/>
      <c r="C717" s="77"/>
      <c r="D717" s="78"/>
      <c r="E717" s="80"/>
      <c r="F717" s="80"/>
      <c r="G717" s="81"/>
      <c r="H717" s="81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82"/>
      <c r="Z717" s="82"/>
      <c r="AA717" s="82"/>
      <c r="AB717" s="80"/>
      <c r="AC717" s="77"/>
      <c r="AD717" s="77"/>
      <c r="AE717" s="77"/>
      <c r="AF717" s="77"/>
      <c r="AG717" s="77"/>
      <c r="AH717" s="77"/>
      <c r="AI717" s="92"/>
      <c r="AJ717" s="77"/>
      <c r="AK717" s="77"/>
      <c r="AL717" s="77"/>
      <c r="AM717" s="77"/>
      <c r="AN717" s="77"/>
      <c r="AO717" s="77"/>
      <c r="AP717" s="76"/>
      <c r="AQ717" s="81"/>
      <c r="AR717" s="76"/>
      <c r="AS717" s="81"/>
      <c r="AT717" s="76"/>
      <c r="AU717" s="81"/>
      <c r="AV717" s="77"/>
      <c r="AW717" s="81"/>
      <c r="AX717" s="77"/>
      <c r="AY717" s="81"/>
      <c r="AZ717" s="77"/>
      <c r="BA717" s="81"/>
      <c r="BB717" s="77"/>
      <c r="BC717" s="81"/>
      <c r="BD717" s="77"/>
      <c r="BE717" s="81"/>
      <c r="BF717" s="77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77"/>
      <c r="BU717" s="77"/>
      <c r="BV717" s="77"/>
      <c r="BW717" s="77"/>
      <c r="BX717" s="77"/>
      <c r="BY717" s="77"/>
      <c r="BZ717" s="77"/>
      <c r="CA717" s="77"/>
      <c r="CB717" s="77"/>
      <c r="CC717" s="77"/>
      <c r="CD717" s="77"/>
      <c r="CE717" s="77"/>
      <c r="CF717" s="77"/>
      <c r="CG717" s="77"/>
      <c r="CH717" s="77"/>
      <c r="CI717" s="77"/>
      <c r="CJ717" s="77"/>
      <c r="CK717" s="77"/>
      <c r="CL717" s="77"/>
      <c r="CM717" s="77"/>
      <c r="CN717" s="77"/>
      <c r="CO717" s="77"/>
      <c r="CP717" s="77"/>
      <c r="CQ717" s="77"/>
      <c r="CR717" s="77"/>
      <c r="CS717" s="77"/>
      <c r="CT717" s="77"/>
      <c r="CU717" s="77"/>
      <c r="CV717" s="77"/>
      <c r="CW717" s="77"/>
    </row>
    <row r="718" spans="1:101" ht="16.5" x14ac:dyDescent="0.45">
      <c r="A718" s="76"/>
      <c r="B718" s="77"/>
      <c r="C718" s="77"/>
      <c r="D718" s="78"/>
      <c r="E718" s="80"/>
      <c r="F718" s="80"/>
      <c r="G718" s="81"/>
      <c r="H718" s="81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82"/>
      <c r="Z718" s="82"/>
      <c r="AA718" s="82"/>
      <c r="AB718" s="80"/>
      <c r="AC718" s="77"/>
      <c r="AD718" s="77"/>
      <c r="AE718" s="77"/>
      <c r="AF718" s="77"/>
      <c r="AG718" s="77"/>
      <c r="AH718" s="77"/>
      <c r="AI718" s="92"/>
      <c r="AJ718" s="77"/>
      <c r="AK718" s="77"/>
      <c r="AL718" s="77"/>
      <c r="AM718" s="77"/>
      <c r="AN718" s="77"/>
      <c r="AO718" s="77"/>
      <c r="AP718" s="76"/>
      <c r="AQ718" s="81"/>
      <c r="AR718" s="76"/>
      <c r="AS718" s="81"/>
      <c r="AT718" s="76"/>
      <c r="AU718" s="81"/>
      <c r="AV718" s="77"/>
      <c r="AW718" s="81"/>
      <c r="AX718" s="77"/>
      <c r="AY718" s="81"/>
      <c r="AZ718" s="77"/>
      <c r="BA718" s="81"/>
      <c r="BB718" s="77"/>
      <c r="BC718" s="81"/>
      <c r="BD718" s="77"/>
      <c r="BE718" s="81"/>
      <c r="BF718" s="77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77"/>
      <c r="BU718" s="77"/>
      <c r="BV718" s="77"/>
      <c r="BW718" s="77"/>
      <c r="BX718" s="77"/>
      <c r="BY718" s="77"/>
      <c r="BZ718" s="77"/>
      <c r="CA718" s="77"/>
      <c r="CB718" s="77"/>
      <c r="CC718" s="77"/>
      <c r="CD718" s="77"/>
      <c r="CE718" s="77"/>
      <c r="CF718" s="77"/>
      <c r="CG718" s="77"/>
      <c r="CH718" s="77"/>
      <c r="CI718" s="77"/>
      <c r="CJ718" s="77"/>
      <c r="CK718" s="77"/>
      <c r="CL718" s="77"/>
      <c r="CM718" s="77"/>
      <c r="CN718" s="77"/>
      <c r="CO718" s="77"/>
      <c r="CP718" s="77"/>
      <c r="CQ718" s="77"/>
      <c r="CR718" s="77"/>
      <c r="CS718" s="77"/>
      <c r="CT718" s="77"/>
      <c r="CU718" s="77"/>
      <c r="CV718" s="77"/>
      <c r="CW718" s="77"/>
    </row>
    <row r="719" spans="1:101" ht="16.5" x14ac:dyDescent="0.45">
      <c r="A719" s="76"/>
      <c r="B719" s="77"/>
      <c r="C719" s="77"/>
      <c r="D719" s="78"/>
      <c r="E719" s="80"/>
      <c r="F719" s="80"/>
      <c r="G719" s="81"/>
      <c r="H719" s="81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82"/>
      <c r="Z719" s="82"/>
      <c r="AA719" s="82"/>
      <c r="AB719" s="80"/>
      <c r="AC719" s="77"/>
      <c r="AD719" s="77"/>
      <c r="AE719" s="77"/>
      <c r="AF719" s="77"/>
      <c r="AG719" s="77"/>
      <c r="AH719" s="77"/>
      <c r="AI719" s="92"/>
      <c r="AJ719" s="77"/>
      <c r="AK719" s="77"/>
      <c r="AL719" s="77"/>
      <c r="AM719" s="77"/>
      <c r="AN719" s="77"/>
      <c r="AO719" s="77"/>
      <c r="AP719" s="76"/>
      <c r="AQ719" s="81"/>
      <c r="AR719" s="76"/>
      <c r="AS719" s="81"/>
      <c r="AT719" s="76"/>
      <c r="AU719" s="81"/>
      <c r="AV719" s="77"/>
      <c r="AW719" s="81"/>
      <c r="AX719" s="77"/>
      <c r="AY719" s="81"/>
      <c r="AZ719" s="77"/>
      <c r="BA719" s="81"/>
      <c r="BB719" s="77"/>
      <c r="BC719" s="81"/>
      <c r="BD719" s="77"/>
      <c r="BE719" s="81"/>
      <c r="BF719" s="77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77"/>
      <c r="BU719" s="77"/>
      <c r="BV719" s="77"/>
      <c r="BW719" s="77"/>
      <c r="BX719" s="77"/>
      <c r="BY719" s="77"/>
      <c r="BZ719" s="77"/>
      <c r="CA719" s="77"/>
      <c r="CB719" s="77"/>
      <c r="CC719" s="77"/>
      <c r="CD719" s="77"/>
      <c r="CE719" s="77"/>
      <c r="CF719" s="77"/>
      <c r="CG719" s="77"/>
      <c r="CH719" s="77"/>
      <c r="CI719" s="77"/>
      <c r="CJ719" s="77"/>
      <c r="CK719" s="77"/>
      <c r="CL719" s="77"/>
      <c r="CM719" s="77"/>
      <c r="CN719" s="77"/>
      <c r="CO719" s="77"/>
      <c r="CP719" s="77"/>
      <c r="CQ719" s="77"/>
      <c r="CR719" s="77"/>
      <c r="CS719" s="77"/>
      <c r="CT719" s="77"/>
      <c r="CU719" s="77"/>
      <c r="CV719" s="77"/>
      <c r="CW719" s="77"/>
    </row>
    <row r="720" spans="1:101" ht="16.5" x14ac:dyDescent="0.45">
      <c r="A720" s="76"/>
      <c r="B720" s="77"/>
      <c r="C720" s="77"/>
      <c r="D720" s="78"/>
      <c r="E720" s="80"/>
      <c r="F720" s="80"/>
      <c r="G720" s="81"/>
      <c r="H720" s="81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82"/>
      <c r="Z720" s="82"/>
      <c r="AA720" s="82"/>
      <c r="AB720" s="80"/>
      <c r="AC720" s="77"/>
      <c r="AD720" s="77"/>
      <c r="AE720" s="77"/>
      <c r="AF720" s="77"/>
      <c r="AG720" s="77"/>
      <c r="AH720" s="77"/>
      <c r="AI720" s="92"/>
      <c r="AJ720" s="77"/>
      <c r="AK720" s="77"/>
      <c r="AL720" s="77"/>
      <c r="AM720" s="77"/>
      <c r="AN720" s="77"/>
      <c r="AO720" s="77"/>
      <c r="AP720" s="76"/>
      <c r="AQ720" s="81"/>
      <c r="AR720" s="76"/>
      <c r="AS720" s="81"/>
      <c r="AT720" s="76"/>
      <c r="AU720" s="81"/>
      <c r="AV720" s="77"/>
      <c r="AW720" s="81"/>
      <c r="AX720" s="77"/>
      <c r="AY720" s="81"/>
      <c r="AZ720" s="77"/>
      <c r="BA720" s="81"/>
      <c r="BB720" s="77"/>
      <c r="BC720" s="81"/>
      <c r="BD720" s="77"/>
      <c r="BE720" s="81"/>
      <c r="BF720" s="77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77"/>
      <c r="BU720" s="77"/>
      <c r="BV720" s="77"/>
      <c r="BW720" s="77"/>
      <c r="BX720" s="77"/>
      <c r="BY720" s="77"/>
      <c r="BZ720" s="77"/>
      <c r="CA720" s="77"/>
      <c r="CB720" s="77"/>
      <c r="CC720" s="77"/>
      <c r="CD720" s="77"/>
      <c r="CE720" s="77"/>
      <c r="CF720" s="77"/>
      <c r="CG720" s="77"/>
      <c r="CH720" s="77"/>
      <c r="CI720" s="77"/>
      <c r="CJ720" s="77"/>
      <c r="CK720" s="77"/>
      <c r="CL720" s="77"/>
      <c r="CM720" s="77"/>
      <c r="CN720" s="77"/>
      <c r="CO720" s="77"/>
      <c r="CP720" s="77"/>
      <c r="CQ720" s="77"/>
      <c r="CR720" s="77"/>
      <c r="CS720" s="77"/>
      <c r="CT720" s="77"/>
      <c r="CU720" s="77"/>
      <c r="CV720" s="77"/>
      <c r="CW720" s="77"/>
    </row>
    <row r="721" spans="1:101" ht="16.5" x14ac:dyDescent="0.45">
      <c r="A721" s="76"/>
      <c r="B721" s="77"/>
      <c r="C721" s="77"/>
      <c r="D721" s="78"/>
      <c r="E721" s="80"/>
      <c r="F721" s="80"/>
      <c r="G721" s="81"/>
      <c r="H721" s="81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82"/>
      <c r="Z721" s="82"/>
      <c r="AA721" s="82"/>
      <c r="AB721" s="80"/>
      <c r="AC721" s="77"/>
      <c r="AD721" s="77"/>
      <c r="AE721" s="77"/>
      <c r="AF721" s="77"/>
      <c r="AG721" s="77"/>
      <c r="AH721" s="77"/>
      <c r="AI721" s="92"/>
      <c r="AJ721" s="77"/>
      <c r="AK721" s="77"/>
      <c r="AL721" s="77"/>
      <c r="AM721" s="77"/>
      <c r="AN721" s="77"/>
      <c r="AO721" s="77"/>
      <c r="AP721" s="76"/>
      <c r="AQ721" s="81"/>
      <c r="AR721" s="76"/>
      <c r="AS721" s="81"/>
      <c r="AT721" s="76"/>
      <c r="AU721" s="81"/>
      <c r="AV721" s="77"/>
      <c r="AW721" s="81"/>
      <c r="AX721" s="77"/>
      <c r="AY721" s="81"/>
      <c r="AZ721" s="77"/>
      <c r="BA721" s="81"/>
      <c r="BB721" s="77"/>
      <c r="BC721" s="81"/>
      <c r="BD721" s="77"/>
      <c r="BE721" s="81"/>
      <c r="BF721" s="77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77"/>
      <c r="BU721" s="77"/>
      <c r="BV721" s="77"/>
      <c r="BW721" s="77"/>
      <c r="BX721" s="77"/>
      <c r="BY721" s="77"/>
      <c r="BZ721" s="77"/>
      <c r="CA721" s="77"/>
      <c r="CB721" s="77"/>
      <c r="CC721" s="77"/>
      <c r="CD721" s="77"/>
      <c r="CE721" s="77"/>
      <c r="CF721" s="77"/>
      <c r="CG721" s="77"/>
      <c r="CH721" s="77"/>
      <c r="CI721" s="77"/>
      <c r="CJ721" s="77"/>
      <c r="CK721" s="77"/>
      <c r="CL721" s="77"/>
      <c r="CM721" s="77"/>
      <c r="CN721" s="77"/>
      <c r="CO721" s="77"/>
      <c r="CP721" s="77"/>
      <c r="CQ721" s="77"/>
      <c r="CR721" s="77"/>
      <c r="CS721" s="77"/>
      <c r="CT721" s="77"/>
      <c r="CU721" s="77"/>
      <c r="CV721" s="77"/>
      <c r="CW721" s="77"/>
    </row>
    <row r="722" spans="1:101" ht="16.5" x14ac:dyDescent="0.45">
      <c r="A722" s="76"/>
      <c r="B722" s="77"/>
      <c r="C722" s="77"/>
      <c r="D722" s="78"/>
      <c r="E722" s="80"/>
      <c r="F722" s="80"/>
      <c r="G722" s="81"/>
      <c r="H722" s="81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82"/>
      <c r="Z722" s="82"/>
      <c r="AA722" s="82"/>
      <c r="AB722" s="80"/>
      <c r="AC722" s="77"/>
      <c r="AD722" s="77"/>
      <c r="AE722" s="77"/>
      <c r="AF722" s="77"/>
      <c r="AG722" s="77"/>
      <c r="AH722" s="77"/>
      <c r="AI722" s="92"/>
      <c r="AJ722" s="77"/>
      <c r="AK722" s="77"/>
      <c r="AL722" s="77"/>
      <c r="AM722" s="77"/>
      <c r="AN722" s="77"/>
      <c r="AO722" s="77"/>
      <c r="AP722" s="76"/>
      <c r="AQ722" s="81"/>
      <c r="AR722" s="76"/>
      <c r="AS722" s="81"/>
      <c r="AT722" s="76"/>
      <c r="AU722" s="81"/>
      <c r="AV722" s="77"/>
      <c r="AW722" s="81"/>
      <c r="AX722" s="77"/>
      <c r="AY722" s="81"/>
      <c r="AZ722" s="77"/>
      <c r="BA722" s="81"/>
      <c r="BB722" s="77"/>
      <c r="BC722" s="81"/>
      <c r="BD722" s="77"/>
      <c r="BE722" s="81"/>
      <c r="BF722" s="77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77"/>
      <c r="BU722" s="77"/>
      <c r="BV722" s="77"/>
      <c r="BW722" s="77"/>
      <c r="BX722" s="77"/>
      <c r="BY722" s="77"/>
      <c r="BZ722" s="77"/>
      <c r="CA722" s="77"/>
      <c r="CB722" s="77"/>
      <c r="CC722" s="77"/>
      <c r="CD722" s="77"/>
      <c r="CE722" s="77"/>
      <c r="CF722" s="77"/>
      <c r="CG722" s="77"/>
      <c r="CH722" s="77"/>
      <c r="CI722" s="77"/>
      <c r="CJ722" s="77"/>
      <c r="CK722" s="77"/>
      <c r="CL722" s="77"/>
      <c r="CM722" s="77"/>
      <c r="CN722" s="77"/>
      <c r="CO722" s="77"/>
      <c r="CP722" s="77"/>
      <c r="CQ722" s="77"/>
      <c r="CR722" s="77"/>
      <c r="CS722" s="77"/>
      <c r="CT722" s="77"/>
      <c r="CU722" s="77"/>
      <c r="CV722" s="77"/>
      <c r="CW722" s="77"/>
    </row>
    <row r="723" spans="1:101" ht="16.5" x14ac:dyDescent="0.45">
      <c r="A723" s="76"/>
      <c r="B723" s="77"/>
      <c r="C723" s="77"/>
      <c r="D723" s="78"/>
      <c r="E723" s="80"/>
      <c r="F723" s="80"/>
      <c r="G723" s="81"/>
      <c r="H723" s="81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82"/>
      <c r="Z723" s="82"/>
      <c r="AA723" s="82"/>
      <c r="AB723" s="80"/>
      <c r="AC723" s="77"/>
      <c r="AD723" s="77"/>
      <c r="AE723" s="77"/>
      <c r="AF723" s="77"/>
      <c r="AG723" s="77"/>
      <c r="AH723" s="77"/>
      <c r="AI723" s="92"/>
      <c r="AJ723" s="77"/>
      <c r="AK723" s="77"/>
      <c r="AL723" s="77"/>
      <c r="AM723" s="77"/>
      <c r="AN723" s="77"/>
      <c r="AO723" s="77"/>
      <c r="AP723" s="76"/>
      <c r="AQ723" s="81"/>
      <c r="AR723" s="76"/>
      <c r="AS723" s="81"/>
      <c r="AT723" s="76"/>
      <c r="AU723" s="81"/>
      <c r="AV723" s="77"/>
      <c r="AW723" s="81"/>
      <c r="AX723" s="77"/>
      <c r="AY723" s="81"/>
      <c r="AZ723" s="77"/>
      <c r="BA723" s="81"/>
      <c r="BB723" s="77"/>
      <c r="BC723" s="81"/>
      <c r="BD723" s="77"/>
      <c r="BE723" s="81"/>
      <c r="BF723" s="77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77"/>
      <c r="BU723" s="77"/>
      <c r="BV723" s="77"/>
      <c r="BW723" s="77"/>
      <c r="BX723" s="77"/>
      <c r="BY723" s="77"/>
      <c r="BZ723" s="77"/>
      <c r="CA723" s="77"/>
      <c r="CB723" s="77"/>
      <c r="CC723" s="77"/>
      <c r="CD723" s="77"/>
      <c r="CE723" s="77"/>
      <c r="CF723" s="77"/>
      <c r="CG723" s="77"/>
      <c r="CH723" s="77"/>
      <c r="CI723" s="77"/>
      <c r="CJ723" s="77"/>
      <c r="CK723" s="77"/>
      <c r="CL723" s="77"/>
      <c r="CM723" s="77"/>
      <c r="CN723" s="77"/>
      <c r="CO723" s="77"/>
      <c r="CP723" s="77"/>
      <c r="CQ723" s="77"/>
      <c r="CR723" s="77"/>
      <c r="CS723" s="77"/>
      <c r="CT723" s="77"/>
      <c r="CU723" s="77"/>
      <c r="CV723" s="77"/>
      <c r="CW723" s="77"/>
    </row>
    <row r="724" spans="1:101" ht="16.5" x14ac:dyDescent="0.45">
      <c r="A724" s="76"/>
      <c r="B724" s="77"/>
      <c r="C724" s="77"/>
      <c r="D724" s="78"/>
      <c r="E724" s="80"/>
      <c r="F724" s="80"/>
      <c r="G724" s="81"/>
      <c r="H724" s="81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82"/>
      <c r="Z724" s="82"/>
      <c r="AA724" s="82"/>
      <c r="AB724" s="80"/>
      <c r="AC724" s="77"/>
      <c r="AD724" s="77"/>
      <c r="AE724" s="77"/>
      <c r="AF724" s="77"/>
      <c r="AG724" s="77"/>
      <c r="AH724" s="77"/>
      <c r="AI724" s="92"/>
      <c r="AJ724" s="77"/>
      <c r="AK724" s="77"/>
      <c r="AL724" s="77"/>
      <c r="AM724" s="77"/>
      <c r="AN724" s="77"/>
      <c r="AO724" s="77"/>
      <c r="AP724" s="76"/>
      <c r="AQ724" s="81"/>
      <c r="AR724" s="76"/>
      <c r="AS724" s="81"/>
      <c r="AT724" s="76"/>
      <c r="AU724" s="81"/>
      <c r="AV724" s="77"/>
      <c r="AW724" s="81"/>
      <c r="AX724" s="77"/>
      <c r="AY724" s="81"/>
      <c r="AZ724" s="77"/>
      <c r="BA724" s="81"/>
      <c r="BB724" s="77"/>
      <c r="BC724" s="81"/>
      <c r="BD724" s="77"/>
      <c r="BE724" s="81"/>
      <c r="BF724" s="77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77"/>
      <c r="BU724" s="77"/>
      <c r="BV724" s="77"/>
      <c r="BW724" s="77"/>
      <c r="BX724" s="77"/>
      <c r="BY724" s="77"/>
      <c r="BZ724" s="77"/>
      <c r="CA724" s="77"/>
      <c r="CB724" s="77"/>
      <c r="CC724" s="77"/>
      <c r="CD724" s="77"/>
      <c r="CE724" s="77"/>
      <c r="CF724" s="77"/>
      <c r="CG724" s="77"/>
      <c r="CH724" s="77"/>
      <c r="CI724" s="77"/>
      <c r="CJ724" s="77"/>
      <c r="CK724" s="77"/>
      <c r="CL724" s="77"/>
      <c r="CM724" s="77"/>
      <c r="CN724" s="77"/>
      <c r="CO724" s="77"/>
      <c r="CP724" s="77"/>
      <c r="CQ724" s="77"/>
      <c r="CR724" s="77"/>
      <c r="CS724" s="77"/>
      <c r="CT724" s="77"/>
      <c r="CU724" s="77"/>
      <c r="CV724" s="77"/>
      <c r="CW724" s="77"/>
    </row>
    <row r="725" spans="1:101" ht="16.5" x14ac:dyDescent="0.45">
      <c r="A725" s="76"/>
      <c r="B725" s="77"/>
      <c r="C725" s="77"/>
      <c r="D725" s="78"/>
      <c r="E725" s="80"/>
      <c r="F725" s="80"/>
      <c r="G725" s="81"/>
      <c r="H725" s="81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82"/>
      <c r="Z725" s="82"/>
      <c r="AA725" s="82"/>
      <c r="AB725" s="80"/>
      <c r="AC725" s="77"/>
      <c r="AD725" s="77"/>
      <c r="AE725" s="77"/>
      <c r="AF725" s="77"/>
      <c r="AG725" s="77"/>
      <c r="AH725" s="77"/>
      <c r="AI725" s="92"/>
      <c r="AJ725" s="77"/>
      <c r="AK725" s="77"/>
      <c r="AL725" s="77"/>
      <c r="AM725" s="77"/>
      <c r="AN725" s="77"/>
      <c r="AO725" s="77"/>
      <c r="AP725" s="76"/>
      <c r="AQ725" s="81"/>
      <c r="AR725" s="76"/>
      <c r="AS725" s="81"/>
      <c r="AT725" s="76"/>
      <c r="AU725" s="81"/>
      <c r="AV725" s="77"/>
      <c r="AW725" s="81"/>
      <c r="AX725" s="77"/>
      <c r="AY725" s="81"/>
      <c r="AZ725" s="77"/>
      <c r="BA725" s="81"/>
      <c r="BB725" s="77"/>
      <c r="BC725" s="81"/>
      <c r="BD725" s="77"/>
      <c r="BE725" s="81"/>
      <c r="BF725" s="77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77"/>
      <c r="BU725" s="77"/>
      <c r="BV725" s="77"/>
      <c r="BW725" s="77"/>
      <c r="BX725" s="77"/>
      <c r="BY725" s="77"/>
      <c r="BZ725" s="77"/>
      <c r="CA725" s="77"/>
      <c r="CB725" s="77"/>
      <c r="CC725" s="77"/>
      <c r="CD725" s="77"/>
      <c r="CE725" s="77"/>
      <c r="CF725" s="77"/>
      <c r="CG725" s="77"/>
      <c r="CH725" s="77"/>
      <c r="CI725" s="77"/>
      <c r="CJ725" s="77"/>
      <c r="CK725" s="77"/>
      <c r="CL725" s="77"/>
      <c r="CM725" s="77"/>
      <c r="CN725" s="77"/>
      <c r="CO725" s="77"/>
      <c r="CP725" s="77"/>
      <c r="CQ725" s="77"/>
      <c r="CR725" s="77"/>
      <c r="CS725" s="77"/>
      <c r="CT725" s="77"/>
      <c r="CU725" s="77"/>
      <c r="CV725" s="77"/>
      <c r="CW725" s="77"/>
    </row>
    <row r="726" spans="1:101" ht="16.5" x14ac:dyDescent="0.45">
      <c r="A726" s="76"/>
      <c r="B726" s="77"/>
      <c r="C726" s="77"/>
      <c r="D726" s="78"/>
      <c r="E726" s="80"/>
      <c r="F726" s="80"/>
      <c r="G726" s="81"/>
      <c r="H726" s="81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82"/>
      <c r="Z726" s="82"/>
      <c r="AA726" s="82"/>
      <c r="AB726" s="80"/>
      <c r="AC726" s="77"/>
      <c r="AD726" s="77"/>
      <c r="AE726" s="77"/>
      <c r="AF726" s="77"/>
      <c r="AG726" s="77"/>
      <c r="AH726" s="77"/>
      <c r="AI726" s="92"/>
      <c r="AJ726" s="77"/>
      <c r="AK726" s="77"/>
      <c r="AL726" s="77"/>
      <c r="AM726" s="77"/>
      <c r="AN726" s="77"/>
      <c r="AO726" s="77"/>
      <c r="AP726" s="76"/>
      <c r="AQ726" s="81"/>
      <c r="AR726" s="76"/>
      <c r="AS726" s="81"/>
      <c r="AT726" s="76"/>
      <c r="AU726" s="81"/>
      <c r="AV726" s="77"/>
      <c r="AW726" s="81"/>
      <c r="AX726" s="77"/>
      <c r="AY726" s="81"/>
      <c r="AZ726" s="77"/>
      <c r="BA726" s="81"/>
      <c r="BB726" s="77"/>
      <c r="BC726" s="81"/>
      <c r="BD726" s="77"/>
      <c r="BE726" s="81"/>
      <c r="BF726" s="77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77"/>
      <c r="BU726" s="77"/>
      <c r="BV726" s="77"/>
      <c r="BW726" s="77"/>
      <c r="BX726" s="77"/>
      <c r="BY726" s="77"/>
      <c r="BZ726" s="77"/>
      <c r="CA726" s="77"/>
      <c r="CB726" s="77"/>
      <c r="CC726" s="77"/>
      <c r="CD726" s="77"/>
      <c r="CE726" s="77"/>
      <c r="CF726" s="77"/>
      <c r="CG726" s="77"/>
      <c r="CH726" s="77"/>
      <c r="CI726" s="77"/>
      <c r="CJ726" s="77"/>
      <c r="CK726" s="77"/>
      <c r="CL726" s="77"/>
      <c r="CM726" s="77"/>
      <c r="CN726" s="77"/>
      <c r="CO726" s="77"/>
      <c r="CP726" s="77"/>
      <c r="CQ726" s="77"/>
      <c r="CR726" s="77"/>
      <c r="CS726" s="77"/>
      <c r="CT726" s="77"/>
      <c r="CU726" s="77"/>
      <c r="CV726" s="77"/>
      <c r="CW726" s="77"/>
    </row>
    <row r="727" spans="1:101" ht="16.5" x14ac:dyDescent="0.45">
      <c r="A727" s="76"/>
      <c r="B727" s="77"/>
      <c r="C727" s="77"/>
      <c r="D727" s="78"/>
      <c r="E727" s="80"/>
      <c r="F727" s="80"/>
      <c r="G727" s="81"/>
      <c r="H727" s="81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82"/>
      <c r="Z727" s="82"/>
      <c r="AA727" s="82"/>
      <c r="AB727" s="80"/>
      <c r="AC727" s="77"/>
      <c r="AD727" s="77"/>
      <c r="AE727" s="77"/>
      <c r="AF727" s="77"/>
      <c r="AG727" s="77"/>
      <c r="AH727" s="77"/>
      <c r="AI727" s="92"/>
      <c r="AJ727" s="77"/>
      <c r="AK727" s="77"/>
      <c r="AL727" s="77"/>
      <c r="AM727" s="77"/>
      <c r="AN727" s="77"/>
      <c r="AO727" s="77"/>
      <c r="AP727" s="76"/>
      <c r="AQ727" s="81"/>
      <c r="AR727" s="76"/>
      <c r="AS727" s="81"/>
      <c r="AT727" s="76"/>
      <c r="AU727" s="81"/>
      <c r="AV727" s="77"/>
      <c r="AW727" s="81"/>
      <c r="AX727" s="77"/>
      <c r="AY727" s="81"/>
      <c r="AZ727" s="77"/>
      <c r="BA727" s="81"/>
      <c r="BB727" s="77"/>
      <c r="BC727" s="81"/>
      <c r="BD727" s="77"/>
      <c r="BE727" s="81"/>
      <c r="BF727" s="77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77"/>
      <c r="BU727" s="77"/>
      <c r="BV727" s="77"/>
      <c r="BW727" s="77"/>
      <c r="BX727" s="77"/>
      <c r="BY727" s="77"/>
      <c r="BZ727" s="77"/>
      <c r="CA727" s="77"/>
      <c r="CB727" s="77"/>
      <c r="CC727" s="77"/>
      <c r="CD727" s="77"/>
      <c r="CE727" s="77"/>
      <c r="CF727" s="77"/>
      <c r="CG727" s="77"/>
      <c r="CH727" s="77"/>
      <c r="CI727" s="77"/>
      <c r="CJ727" s="77"/>
      <c r="CK727" s="77"/>
      <c r="CL727" s="77"/>
      <c r="CM727" s="77"/>
      <c r="CN727" s="77"/>
      <c r="CO727" s="77"/>
      <c r="CP727" s="77"/>
      <c r="CQ727" s="77"/>
      <c r="CR727" s="77"/>
      <c r="CS727" s="77"/>
      <c r="CT727" s="77"/>
      <c r="CU727" s="77"/>
      <c r="CV727" s="77"/>
      <c r="CW727" s="77"/>
    </row>
    <row r="728" spans="1:101" ht="16.5" x14ac:dyDescent="0.45">
      <c r="A728" s="76"/>
      <c r="B728" s="77"/>
      <c r="C728" s="77"/>
      <c r="D728" s="78"/>
      <c r="E728" s="80"/>
      <c r="F728" s="80"/>
      <c r="G728" s="81"/>
      <c r="H728" s="81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82"/>
      <c r="Z728" s="82"/>
      <c r="AA728" s="82"/>
      <c r="AB728" s="80"/>
      <c r="AC728" s="77"/>
      <c r="AD728" s="77"/>
      <c r="AE728" s="77"/>
      <c r="AF728" s="77"/>
      <c r="AG728" s="77"/>
      <c r="AH728" s="77"/>
      <c r="AI728" s="92"/>
      <c r="AJ728" s="77"/>
      <c r="AK728" s="77"/>
      <c r="AL728" s="77"/>
      <c r="AM728" s="77"/>
      <c r="AN728" s="77"/>
      <c r="AO728" s="77"/>
      <c r="AP728" s="76"/>
      <c r="AQ728" s="81"/>
      <c r="AR728" s="76"/>
      <c r="AS728" s="81"/>
      <c r="AT728" s="76"/>
      <c r="AU728" s="81"/>
      <c r="AV728" s="77"/>
      <c r="AW728" s="81"/>
      <c r="AX728" s="77"/>
      <c r="AY728" s="81"/>
      <c r="AZ728" s="77"/>
      <c r="BA728" s="81"/>
      <c r="BB728" s="77"/>
      <c r="BC728" s="81"/>
      <c r="BD728" s="77"/>
      <c r="BE728" s="81"/>
      <c r="BF728" s="77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77"/>
      <c r="BU728" s="77"/>
      <c r="BV728" s="77"/>
      <c r="BW728" s="77"/>
      <c r="BX728" s="77"/>
      <c r="BY728" s="77"/>
      <c r="BZ728" s="77"/>
      <c r="CA728" s="77"/>
      <c r="CB728" s="77"/>
      <c r="CC728" s="77"/>
      <c r="CD728" s="77"/>
      <c r="CE728" s="77"/>
      <c r="CF728" s="77"/>
      <c r="CG728" s="77"/>
      <c r="CH728" s="77"/>
      <c r="CI728" s="77"/>
      <c r="CJ728" s="77"/>
      <c r="CK728" s="77"/>
      <c r="CL728" s="77"/>
      <c r="CM728" s="77"/>
      <c r="CN728" s="77"/>
      <c r="CO728" s="77"/>
      <c r="CP728" s="77"/>
      <c r="CQ728" s="77"/>
      <c r="CR728" s="77"/>
      <c r="CS728" s="77"/>
      <c r="CT728" s="77"/>
      <c r="CU728" s="77"/>
      <c r="CV728" s="77"/>
      <c r="CW728" s="77"/>
    </row>
    <row r="729" spans="1:101" ht="16.5" x14ac:dyDescent="0.45">
      <c r="A729" s="76"/>
      <c r="B729" s="77"/>
      <c r="C729" s="77"/>
      <c r="D729" s="78"/>
      <c r="E729" s="80"/>
      <c r="F729" s="80"/>
      <c r="G729" s="81"/>
      <c r="H729" s="81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82"/>
      <c r="Z729" s="82"/>
      <c r="AA729" s="82"/>
      <c r="AB729" s="80"/>
      <c r="AC729" s="77"/>
      <c r="AD729" s="77"/>
      <c r="AE729" s="77"/>
      <c r="AF729" s="77"/>
      <c r="AG729" s="77"/>
      <c r="AH729" s="77"/>
      <c r="AI729" s="92"/>
      <c r="AJ729" s="77"/>
      <c r="AK729" s="77"/>
      <c r="AL729" s="77"/>
      <c r="AM729" s="77"/>
      <c r="AN729" s="77"/>
      <c r="AO729" s="77"/>
      <c r="AP729" s="76"/>
      <c r="AQ729" s="81"/>
      <c r="AR729" s="76"/>
      <c r="AS729" s="81"/>
      <c r="AT729" s="76"/>
      <c r="AU729" s="81"/>
      <c r="AV729" s="77"/>
      <c r="AW729" s="81"/>
      <c r="AX729" s="77"/>
      <c r="AY729" s="81"/>
      <c r="AZ729" s="77"/>
      <c r="BA729" s="81"/>
      <c r="BB729" s="77"/>
      <c r="BC729" s="81"/>
      <c r="BD729" s="77"/>
      <c r="BE729" s="81"/>
      <c r="BF729" s="77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77"/>
      <c r="BU729" s="77"/>
      <c r="BV729" s="77"/>
      <c r="BW729" s="77"/>
      <c r="BX729" s="77"/>
      <c r="BY729" s="77"/>
      <c r="BZ729" s="77"/>
      <c r="CA729" s="77"/>
      <c r="CB729" s="77"/>
      <c r="CC729" s="77"/>
      <c r="CD729" s="77"/>
      <c r="CE729" s="77"/>
      <c r="CF729" s="77"/>
      <c r="CG729" s="77"/>
      <c r="CH729" s="77"/>
      <c r="CI729" s="77"/>
      <c r="CJ729" s="77"/>
      <c r="CK729" s="77"/>
      <c r="CL729" s="77"/>
      <c r="CM729" s="77"/>
      <c r="CN729" s="77"/>
      <c r="CO729" s="77"/>
      <c r="CP729" s="77"/>
      <c r="CQ729" s="77"/>
      <c r="CR729" s="77"/>
      <c r="CS729" s="77"/>
      <c r="CT729" s="77"/>
      <c r="CU729" s="77"/>
      <c r="CV729" s="77"/>
      <c r="CW729" s="77"/>
    </row>
    <row r="730" spans="1:101" ht="16.5" x14ac:dyDescent="0.45">
      <c r="A730" s="76"/>
      <c r="B730" s="77"/>
      <c r="C730" s="77"/>
      <c r="D730" s="78"/>
      <c r="E730" s="80"/>
      <c r="F730" s="80"/>
      <c r="G730" s="81"/>
      <c r="H730" s="81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82"/>
      <c r="Z730" s="82"/>
      <c r="AA730" s="82"/>
      <c r="AB730" s="80"/>
      <c r="AC730" s="77"/>
      <c r="AD730" s="77"/>
      <c r="AE730" s="77"/>
      <c r="AF730" s="77"/>
      <c r="AG730" s="77"/>
      <c r="AH730" s="77"/>
      <c r="AI730" s="92"/>
      <c r="AJ730" s="77"/>
      <c r="AK730" s="77"/>
      <c r="AL730" s="77"/>
      <c r="AM730" s="77"/>
      <c r="AN730" s="77"/>
      <c r="AO730" s="77"/>
      <c r="AP730" s="76"/>
      <c r="AQ730" s="81"/>
      <c r="AR730" s="76"/>
      <c r="AS730" s="81"/>
      <c r="AT730" s="76"/>
      <c r="AU730" s="81"/>
      <c r="AV730" s="77"/>
      <c r="AW730" s="81"/>
      <c r="AX730" s="77"/>
      <c r="AY730" s="81"/>
      <c r="AZ730" s="77"/>
      <c r="BA730" s="81"/>
      <c r="BB730" s="77"/>
      <c r="BC730" s="81"/>
      <c r="BD730" s="77"/>
      <c r="BE730" s="81"/>
      <c r="BF730" s="77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77"/>
      <c r="BU730" s="77"/>
      <c r="BV730" s="77"/>
      <c r="BW730" s="77"/>
      <c r="BX730" s="77"/>
      <c r="BY730" s="77"/>
      <c r="BZ730" s="77"/>
      <c r="CA730" s="77"/>
      <c r="CB730" s="77"/>
      <c r="CC730" s="77"/>
      <c r="CD730" s="77"/>
      <c r="CE730" s="77"/>
      <c r="CF730" s="77"/>
      <c r="CG730" s="77"/>
      <c r="CH730" s="77"/>
      <c r="CI730" s="77"/>
      <c r="CJ730" s="77"/>
      <c r="CK730" s="77"/>
      <c r="CL730" s="77"/>
      <c r="CM730" s="77"/>
      <c r="CN730" s="77"/>
      <c r="CO730" s="77"/>
      <c r="CP730" s="77"/>
      <c r="CQ730" s="77"/>
      <c r="CR730" s="77"/>
      <c r="CS730" s="77"/>
      <c r="CT730" s="77"/>
      <c r="CU730" s="77"/>
      <c r="CV730" s="77"/>
      <c r="CW730" s="77"/>
    </row>
    <row r="731" spans="1:101" ht="16.5" x14ac:dyDescent="0.45">
      <c r="A731" s="76"/>
      <c r="B731" s="77"/>
      <c r="C731" s="77"/>
      <c r="D731" s="78"/>
      <c r="E731" s="80"/>
      <c r="F731" s="80"/>
      <c r="G731" s="81"/>
      <c r="H731" s="81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82"/>
      <c r="Z731" s="82"/>
      <c r="AA731" s="82"/>
      <c r="AB731" s="80"/>
      <c r="AC731" s="77"/>
      <c r="AD731" s="77"/>
      <c r="AE731" s="77"/>
      <c r="AF731" s="77"/>
      <c r="AG731" s="77"/>
      <c r="AH731" s="77"/>
      <c r="AI731" s="92"/>
      <c r="AJ731" s="77"/>
      <c r="AK731" s="77"/>
      <c r="AL731" s="77"/>
      <c r="AM731" s="77"/>
      <c r="AN731" s="77"/>
      <c r="AO731" s="77"/>
      <c r="AP731" s="76"/>
      <c r="AQ731" s="81"/>
      <c r="AR731" s="76"/>
      <c r="AS731" s="81"/>
      <c r="AT731" s="76"/>
      <c r="AU731" s="81"/>
      <c r="AV731" s="77"/>
      <c r="AW731" s="81"/>
      <c r="AX731" s="77"/>
      <c r="AY731" s="81"/>
      <c r="AZ731" s="77"/>
      <c r="BA731" s="81"/>
      <c r="BB731" s="77"/>
      <c r="BC731" s="81"/>
      <c r="BD731" s="77"/>
      <c r="BE731" s="81"/>
      <c r="BF731" s="77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77"/>
      <c r="BU731" s="77"/>
      <c r="BV731" s="77"/>
      <c r="BW731" s="77"/>
      <c r="BX731" s="77"/>
      <c r="BY731" s="77"/>
      <c r="BZ731" s="77"/>
      <c r="CA731" s="77"/>
      <c r="CB731" s="77"/>
      <c r="CC731" s="77"/>
      <c r="CD731" s="77"/>
      <c r="CE731" s="77"/>
      <c r="CF731" s="77"/>
      <c r="CG731" s="77"/>
      <c r="CH731" s="77"/>
      <c r="CI731" s="77"/>
      <c r="CJ731" s="77"/>
      <c r="CK731" s="77"/>
      <c r="CL731" s="77"/>
      <c r="CM731" s="77"/>
      <c r="CN731" s="77"/>
      <c r="CO731" s="77"/>
      <c r="CP731" s="77"/>
      <c r="CQ731" s="77"/>
      <c r="CR731" s="77"/>
      <c r="CS731" s="77"/>
      <c r="CT731" s="77"/>
      <c r="CU731" s="77"/>
      <c r="CV731" s="77"/>
      <c r="CW731" s="77"/>
    </row>
    <row r="732" spans="1:101" ht="16.5" x14ac:dyDescent="0.45">
      <c r="A732" s="76"/>
      <c r="B732" s="77"/>
      <c r="C732" s="77"/>
      <c r="D732" s="78"/>
      <c r="E732" s="80"/>
      <c r="F732" s="80"/>
      <c r="G732" s="81"/>
      <c r="H732" s="81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82"/>
      <c r="Z732" s="82"/>
      <c r="AA732" s="82"/>
      <c r="AB732" s="80"/>
      <c r="AC732" s="77"/>
      <c r="AD732" s="77"/>
      <c r="AE732" s="77"/>
      <c r="AF732" s="77"/>
      <c r="AG732" s="77"/>
      <c r="AH732" s="77"/>
      <c r="AI732" s="92"/>
      <c r="AJ732" s="77"/>
      <c r="AK732" s="77"/>
      <c r="AL732" s="77"/>
      <c r="AM732" s="77"/>
      <c r="AN732" s="77"/>
      <c r="AO732" s="77"/>
      <c r="AP732" s="76"/>
      <c r="AQ732" s="81"/>
      <c r="AR732" s="76"/>
      <c r="AS732" s="81"/>
      <c r="AT732" s="76"/>
      <c r="AU732" s="81"/>
      <c r="AV732" s="77"/>
      <c r="AW732" s="81"/>
      <c r="AX732" s="77"/>
      <c r="AY732" s="81"/>
      <c r="AZ732" s="77"/>
      <c r="BA732" s="81"/>
      <c r="BB732" s="77"/>
      <c r="BC732" s="81"/>
      <c r="BD732" s="77"/>
      <c r="BE732" s="81"/>
      <c r="BF732" s="77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77"/>
      <c r="BU732" s="77"/>
      <c r="BV732" s="77"/>
      <c r="BW732" s="77"/>
      <c r="BX732" s="77"/>
      <c r="BY732" s="77"/>
      <c r="BZ732" s="77"/>
      <c r="CA732" s="77"/>
      <c r="CB732" s="77"/>
      <c r="CC732" s="77"/>
      <c r="CD732" s="77"/>
      <c r="CE732" s="77"/>
      <c r="CF732" s="77"/>
      <c r="CG732" s="77"/>
      <c r="CH732" s="77"/>
      <c r="CI732" s="77"/>
      <c r="CJ732" s="77"/>
      <c r="CK732" s="77"/>
      <c r="CL732" s="77"/>
      <c r="CM732" s="77"/>
      <c r="CN732" s="77"/>
      <c r="CO732" s="77"/>
      <c r="CP732" s="77"/>
      <c r="CQ732" s="77"/>
      <c r="CR732" s="77"/>
      <c r="CS732" s="77"/>
      <c r="CT732" s="77"/>
      <c r="CU732" s="77"/>
      <c r="CV732" s="77"/>
      <c r="CW732" s="77"/>
    </row>
    <row r="733" spans="1:101" ht="16.5" x14ac:dyDescent="0.45">
      <c r="A733" s="76"/>
      <c r="B733" s="77"/>
      <c r="C733" s="77"/>
      <c r="D733" s="78"/>
      <c r="E733" s="80"/>
      <c r="F733" s="80"/>
      <c r="G733" s="81"/>
      <c r="H733" s="81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82"/>
      <c r="Z733" s="82"/>
      <c r="AA733" s="82"/>
      <c r="AB733" s="80"/>
      <c r="AC733" s="77"/>
      <c r="AD733" s="77"/>
      <c r="AE733" s="77"/>
      <c r="AF733" s="77"/>
      <c r="AG733" s="77"/>
      <c r="AH733" s="77"/>
      <c r="AI733" s="92"/>
      <c r="AJ733" s="77"/>
      <c r="AK733" s="77"/>
      <c r="AL733" s="77"/>
      <c r="AM733" s="77"/>
      <c r="AN733" s="77"/>
      <c r="AO733" s="77"/>
      <c r="AP733" s="76"/>
      <c r="AQ733" s="81"/>
      <c r="AR733" s="76"/>
      <c r="AS733" s="81"/>
      <c r="AT733" s="76"/>
      <c r="AU733" s="81"/>
      <c r="AV733" s="77"/>
      <c r="AW733" s="81"/>
      <c r="AX733" s="77"/>
      <c r="AY733" s="81"/>
      <c r="AZ733" s="77"/>
      <c r="BA733" s="81"/>
      <c r="BB733" s="77"/>
      <c r="BC733" s="81"/>
      <c r="BD733" s="77"/>
      <c r="BE733" s="81"/>
      <c r="BF733" s="77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77"/>
      <c r="BU733" s="77"/>
      <c r="BV733" s="77"/>
      <c r="BW733" s="77"/>
      <c r="BX733" s="77"/>
      <c r="BY733" s="77"/>
      <c r="BZ733" s="77"/>
      <c r="CA733" s="77"/>
      <c r="CB733" s="77"/>
      <c r="CC733" s="77"/>
      <c r="CD733" s="77"/>
      <c r="CE733" s="77"/>
      <c r="CF733" s="77"/>
      <c r="CG733" s="77"/>
      <c r="CH733" s="77"/>
      <c r="CI733" s="77"/>
      <c r="CJ733" s="77"/>
      <c r="CK733" s="77"/>
      <c r="CL733" s="77"/>
      <c r="CM733" s="77"/>
      <c r="CN733" s="77"/>
      <c r="CO733" s="77"/>
      <c r="CP733" s="77"/>
      <c r="CQ733" s="77"/>
      <c r="CR733" s="77"/>
      <c r="CS733" s="77"/>
      <c r="CT733" s="77"/>
      <c r="CU733" s="77"/>
      <c r="CV733" s="77"/>
      <c r="CW733" s="77"/>
    </row>
    <row r="734" spans="1:101" ht="16.5" x14ac:dyDescent="0.45">
      <c r="A734" s="76"/>
      <c r="B734" s="77"/>
      <c r="C734" s="77"/>
      <c r="D734" s="78"/>
      <c r="E734" s="80"/>
      <c r="F734" s="80"/>
      <c r="G734" s="81"/>
      <c r="H734" s="81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82"/>
      <c r="Z734" s="82"/>
      <c r="AA734" s="82"/>
      <c r="AB734" s="80"/>
      <c r="AC734" s="77"/>
      <c r="AD734" s="77"/>
      <c r="AE734" s="77"/>
      <c r="AF734" s="77"/>
      <c r="AG734" s="77"/>
      <c r="AH734" s="77"/>
      <c r="AI734" s="92"/>
      <c r="AJ734" s="77"/>
      <c r="AK734" s="77"/>
      <c r="AL734" s="77"/>
      <c r="AM734" s="77"/>
      <c r="AN734" s="77"/>
      <c r="AO734" s="77"/>
      <c r="AP734" s="76"/>
      <c r="AQ734" s="81"/>
      <c r="AR734" s="76"/>
      <c r="AS734" s="81"/>
      <c r="AT734" s="76"/>
      <c r="AU734" s="81"/>
      <c r="AV734" s="77"/>
      <c r="AW734" s="81"/>
      <c r="AX734" s="77"/>
      <c r="AY734" s="81"/>
      <c r="AZ734" s="77"/>
      <c r="BA734" s="81"/>
      <c r="BB734" s="77"/>
      <c r="BC734" s="81"/>
      <c r="BD734" s="77"/>
      <c r="BE734" s="81"/>
      <c r="BF734" s="77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77"/>
      <c r="BU734" s="77"/>
      <c r="BV734" s="77"/>
      <c r="BW734" s="77"/>
      <c r="BX734" s="77"/>
      <c r="BY734" s="77"/>
      <c r="BZ734" s="77"/>
      <c r="CA734" s="77"/>
      <c r="CB734" s="77"/>
      <c r="CC734" s="77"/>
      <c r="CD734" s="77"/>
      <c r="CE734" s="77"/>
      <c r="CF734" s="77"/>
      <c r="CG734" s="77"/>
      <c r="CH734" s="77"/>
      <c r="CI734" s="77"/>
      <c r="CJ734" s="77"/>
      <c r="CK734" s="77"/>
      <c r="CL734" s="77"/>
      <c r="CM734" s="77"/>
      <c r="CN734" s="77"/>
      <c r="CO734" s="77"/>
      <c r="CP734" s="77"/>
      <c r="CQ734" s="77"/>
      <c r="CR734" s="77"/>
      <c r="CS734" s="77"/>
      <c r="CT734" s="77"/>
      <c r="CU734" s="77"/>
      <c r="CV734" s="77"/>
      <c r="CW734" s="77"/>
    </row>
    <row r="735" spans="1:101" ht="16.5" x14ac:dyDescent="0.45">
      <c r="A735" s="76"/>
      <c r="B735" s="77"/>
      <c r="C735" s="77"/>
      <c r="D735" s="78"/>
      <c r="E735" s="80"/>
      <c r="F735" s="80"/>
      <c r="G735" s="81"/>
      <c r="H735" s="81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82"/>
      <c r="Z735" s="82"/>
      <c r="AA735" s="82"/>
      <c r="AB735" s="80"/>
      <c r="AC735" s="77"/>
      <c r="AD735" s="77"/>
      <c r="AE735" s="77"/>
      <c r="AF735" s="77"/>
      <c r="AG735" s="77"/>
      <c r="AH735" s="77"/>
      <c r="AI735" s="92"/>
      <c r="AJ735" s="77"/>
      <c r="AK735" s="77"/>
      <c r="AL735" s="77"/>
      <c r="AM735" s="77"/>
      <c r="AN735" s="77"/>
      <c r="AO735" s="77"/>
      <c r="AP735" s="76"/>
      <c r="AQ735" s="81"/>
      <c r="AR735" s="76"/>
      <c r="AS735" s="81"/>
      <c r="AT735" s="76"/>
      <c r="AU735" s="81"/>
      <c r="AV735" s="77"/>
      <c r="AW735" s="81"/>
      <c r="AX735" s="77"/>
      <c r="AY735" s="81"/>
      <c r="AZ735" s="77"/>
      <c r="BA735" s="81"/>
      <c r="BB735" s="77"/>
      <c r="BC735" s="81"/>
      <c r="BD735" s="77"/>
      <c r="BE735" s="81"/>
      <c r="BF735" s="77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77"/>
      <c r="BU735" s="77"/>
      <c r="BV735" s="77"/>
      <c r="BW735" s="77"/>
      <c r="BX735" s="77"/>
      <c r="BY735" s="77"/>
      <c r="BZ735" s="77"/>
      <c r="CA735" s="77"/>
      <c r="CB735" s="77"/>
      <c r="CC735" s="77"/>
      <c r="CD735" s="77"/>
      <c r="CE735" s="77"/>
      <c r="CF735" s="77"/>
      <c r="CG735" s="77"/>
      <c r="CH735" s="77"/>
      <c r="CI735" s="77"/>
      <c r="CJ735" s="77"/>
      <c r="CK735" s="77"/>
      <c r="CL735" s="77"/>
      <c r="CM735" s="77"/>
      <c r="CN735" s="77"/>
      <c r="CO735" s="77"/>
      <c r="CP735" s="77"/>
      <c r="CQ735" s="77"/>
      <c r="CR735" s="77"/>
      <c r="CS735" s="77"/>
      <c r="CT735" s="77"/>
      <c r="CU735" s="77"/>
      <c r="CV735" s="77"/>
      <c r="CW735" s="77"/>
    </row>
    <row r="736" spans="1:101" ht="16.5" x14ac:dyDescent="0.45">
      <c r="A736" s="76"/>
      <c r="B736" s="77"/>
      <c r="C736" s="77"/>
      <c r="D736" s="78"/>
      <c r="E736" s="80"/>
      <c r="F736" s="80"/>
      <c r="G736" s="81"/>
      <c r="H736" s="81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82"/>
      <c r="Z736" s="82"/>
      <c r="AA736" s="82"/>
      <c r="AB736" s="80"/>
      <c r="AC736" s="77"/>
      <c r="AD736" s="77"/>
      <c r="AE736" s="77"/>
      <c r="AF736" s="77"/>
      <c r="AG736" s="77"/>
      <c r="AH736" s="77"/>
      <c r="AI736" s="92"/>
      <c r="AJ736" s="77"/>
      <c r="AK736" s="77"/>
      <c r="AL736" s="77"/>
      <c r="AM736" s="77"/>
      <c r="AN736" s="77"/>
      <c r="AO736" s="77"/>
      <c r="AP736" s="76"/>
      <c r="AQ736" s="81"/>
      <c r="AR736" s="76"/>
      <c r="AS736" s="81"/>
      <c r="AT736" s="76"/>
      <c r="AU736" s="81"/>
      <c r="AV736" s="77"/>
      <c r="AW736" s="81"/>
      <c r="AX736" s="77"/>
      <c r="AY736" s="81"/>
      <c r="AZ736" s="77"/>
      <c r="BA736" s="81"/>
      <c r="BB736" s="77"/>
      <c r="BC736" s="81"/>
      <c r="BD736" s="77"/>
      <c r="BE736" s="81"/>
      <c r="BF736" s="77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77"/>
      <c r="BU736" s="77"/>
      <c r="BV736" s="77"/>
      <c r="BW736" s="77"/>
      <c r="BX736" s="77"/>
      <c r="BY736" s="77"/>
      <c r="BZ736" s="77"/>
      <c r="CA736" s="77"/>
      <c r="CB736" s="77"/>
      <c r="CC736" s="77"/>
      <c r="CD736" s="77"/>
      <c r="CE736" s="77"/>
      <c r="CF736" s="77"/>
      <c r="CG736" s="77"/>
      <c r="CH736" s="77"/>
      <c r="CI736" s="77"/>
      <c r="CJ736" s="77"/>
      <c r="CK736" s="77"/>
      <c r="CL736" s="77"/>
      <c r="CM736" s="77"/>
      <c r="CN736" s="77"/>
      <c r="CO736" s="77"/>
      <c r="CP736" s="77"/>
      <c r="CQ736" s="77"/>
      <c r="CR736" s="77"/>
      <c r="CS736" s="77"/>
      <c r="CT736" s="77"/>
      <c r="CU736" s="77"/>
      <c r="CV736" s="77"/>
      <c r="CW736" s="77"/>
    </row>
    <row r="737" spans="1:101" ht="16.5" x14ac:dyDescent="0.45">
      <c r="A737" s="76"/>
      <c r="B737" s="77"/>
      <c r="C737" s="77"/>
      <c r="D737" s="78"/>
      <c r="E737" s="80"/>
      <c r="F737" s="80"/>
      <c r="G737" s="81"/>
      <c r="H737" s="81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82"/>
      <c r="Z737" s="82"/>
      <c r="AA737" s="82"/>
      <c r="AB737" s="80"/>
      <c r="AC737" s="77"/>
      <c r="AD737" s="77"/>
      <c r="AE737" s="77"/>
      <c r="AF737" s="77"/>
      <c r="AG737" s="77"/>
      <c r="AH737" s="77"/>
      <c r="AI737" s="92"/>
      <c r="AJ737" s="77"/>
      <c r="AK737" s="77"/>
      <c r="AL737" s="77"/>
      <c r="AM737" s="77"/>
      <c r="AN737" s="77"/>
      <c r="AO737" s="77"/>
      <c r="AP737" s="76"/>
      <c r="AQ737" s="81"/>
      <c r="AR737" s="76"/>
      <c r="AS737" s="81"/>
      <c r="AT737" s="76"/>
      <c r="AU737" s="81"/>
      <c r="AV737" s="77"/>
      <c r="AW737" s="81"/>
      <c r="AX737" s="77"/>
      <c r="AY737" s="81"/>
      <c r="AZ737" s="77"/>
      <c r="BA737" s="81"/>
      <c r="BB737" s="77"/>
      <c r="BC737" s="81"/>
      <c r="BD737" s="77"/>
      <c r="BE737" s="81"/>
      <c r="BF737" s="77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77"/>
      <c r="BU737" s="77"/>
      <c r="BV737" s="77"/>
      <c r="BW737" s="77"/>
      <c r="BX737" s="77"/>
      <c r="BY737" s="77"/>
      <c r="BZ737" s="77"/>
      <c r="CA737" s="77"/>
      <c r="CB737" s="77"/>
      <c r="CC737" s="77"/>
      <c r="CD737" s="77"/>
      <c r="CE737" s="77"/>
      <c r="CF737" s="77"/>
      <c r="CG737" s="77"/>
      <c r="CH737" s="77"/>
      <c r="CI737" s="77"/>
      <c r="CJ737" s="77"/>
      <c r="CK737" s="77"/>
      <c r="CL737" s="77"/>
      <c r="CM737" s="77"/>
      <c r="CN737" s="77"/>
      <c r="CO737" s="77"/>
      <c r="CP737" s="77"/>
      <c r="CQ737" s="77"/>
      <c r="CR737" s="77"/>
      <c r="CS737" s="77"/>
      <c r="CT737" s="77"/>
      <c r="CU737" s="77"/>
      <c r="CV737" s="77"/>
      <c r="CW737" s="77"/>
    </row>
    <row r="738" spans="1:101" ht="16.5" x14ac:dyDescent="0.45">
      <c r="A738" s="76"/>
      <c r="B738" s="77"/>
      <c r="C738" s="77"/>
      <c r="D738" s="78"/>
      <c r="E738" s="80"/>
      <c r="F738" s="80"/>
      <c r="G738" s="81"/>
      <c r="H738" s="81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82"/>
      <c r="Z738" s="82"/>
      <c r="AA738" s="82"/>
      <c r="AB738" s="80"/>
      <c r="AC738" s="77"/>
      <c r="AD738" s="77"/>
      <c r="AE738" s="77"/>
      <c r="AF738" s="77"/>
      <c r="AG738" s="77"/>
      <c r="AH738" s="77"/>
      <c r="AI738" s="92"/>
      <c r="AJ738" s="77"/>
      <c r="AK738" s="77"/>
      <c r="AL738" s="77"/>
      <c r="AM738" s="77"/>
      <c r="AN738" s="77"/>
      <c r="AO738" s="77"/>
      <c r="AP738" s="76"/>
      <c r="AQ738" s="81"/>
      <c r="AR738" s="76"/>
      <c r="AS738" s="81"/>
      <c r="AT738" s="76"/>
      <c r="AU738" s="81"/>
      <c r="AV738" s="77"/>
      <c r="AW738" s="81"/>
      <c r="AX738" s="77"/>
      <c r="AY738" s="81"/>
      <c r="AZ738" s="77"/>
      <c r="BA738" s="81"/>
      <c r="BB738" s="77"/>
      <c r="BC738" s="81"/>
      <c r="BD738" s="77"/>
      <c r="BE738" s="81"/>
      <c r="BF738" s="77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77"/>
      <c r="BU738" s="77"/>
      <c r="BV738" s="77"/>
      <c r="BW738" s="77"/>
      <c r="BX738" s="77"/>
      <c r="BY738" s="77"/>
      <c r="BZ738" s="77"/>
      <c r="CA738" s="77"/>
      <c r="CB738" s="77"/>
      <c r="CC738" s="77"/>
      <c r="CD738" s="77"/>
      <c r="CE738" s="77"/>
      <c r="CF738" s="77"/>
      <c r="CG738" s="77"/>
      <c r="CH738" s="77"/>
      <c r="CI738" s="77"/>
      <c r="CJ738" s="77"/>
      <c r="CK738" s="77"/>
      <c r="CL738" s="77"/>
      <c r="CM738" s="77"/>
      <c r="CN738" s="77"/>
      <c r="CO738" s="77"/>
      <c r="CP738" s="77"/>
      <c r="CQ738" s="77"/>
      <c r="CR738" s="77"/>
      <c r="CS738" s="77"/>
      <c r="CT738" s="77"/>
      <c r="CU738" s="77"/>
      <c r="CV738" s="77"/>
      <c r="CW738" s="77"/>
    </row>
    <row r="739" spans="1:101" ht="16.5" x14ac:dyDescent="0.45">
      <c r="A739" s="76"/>
      <c r="B739" s="77"/>
      <c r="C739" s="77"/>
      <c r="D739" s="78"/>
      <c r="E739" s="80"/>
      <c r="F739" s="80"/>
      <c r="G739" s="81"/>
      <c r="H739" s="81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82"/>
      <c r="Z739" s="82"/>
      <c r="AA739" s="82"/>
      <c r="AB739" s="80"/>
      <c r="AC739" s="77"/>
      <c r="AD739" s="77"/>
      <c r="AE739" s="77"/>
      <c r="AF739" s="77"/>
      <c r="AG739" s="77"/>
      <c r="AH739" s="77"/>
      <c r="AI739" s="92"/>
      <c r="AJ739" s="77"/>
      <c r="AK739" s="77"/>
      <c r="AL739" s="77"/>
      <c r="AM739" s="77"/>
      <c r="AN739" s="77"/>
      <c r="AO739" s="77"/>
      <c r="AP739" s="76"/>
      <c r="AQ739" s="81"/>
      <c r="AR739" s="76"/>
      <c r="AS739" s="81"/>
      <c r="AT739" s="76"/>
      <c r="AU739" s="81"/>
      <c r="AV739" s="77"/>
      <c r="AW739" s="81"/>
      <c r="AX739" s="77"/>
      <c r="AY739" s="81"/>
      <c r="AZ739" s="77"/>
      <c r="BA739" s="81"/>
      <c r="BB739" s="77"/>
      <c r="BC739" s="81"/>
      <c r="BD739" s="77"/>
      <c r="BE739" s="81"/>
      <c r="BF739" s="77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77"/>
      <c r="BU739" s="77"/>
      <c r="BV739" s="77"/>
      <c r="BW739" s="77"/>
      <c r="BX739" s="77"/>
      <c r="BY739" s="77"/>
      <c r="BZ739" s="77"/>
      <c r="CA739" s="77"/>
      <c r="CB739" s="77"/>
      <c r="CC739" s="77"/>
      <c r="CD739" s="77"/>
      <c r="CE739" s="77"/>
      <c r="CF739" s="77"/>
      <c r="CG739" s="77"/>
      <c r="CH739" s="77"/>
      <c r="CI739" s="77"/>
      <c r="CJ739" s="77"/>
      <c r="CK739" s="77"/>
      <c r="CL739" s="77"/>
      <c r="CM739" s="77"/>
      <c r="CN739" s="77"/>
      <c r="CO739" s="77"/>
      <c r="CP739" s="77"/>
      <c r="CQ739" s="77"/>
      <c r="CR739" s="77"/>
      <c r="CS739" s="77"/>
      <c r="CT739" s="77"/>
      <c r="CU739" s="77"/>
      <c r="CV739" s="77"/>
      <c r="CW739" s="77"/>
    </row>
    <row r="740" spans="1:101" ht="16.5" x14ac:dyDescent="0.45">
      <c r="A740" s="76"/>
      <c r="B740" s="77"/>
      <c r="C740" s="77"/>
      <c r="D740" s="78"/>
      <c r="E740" s="80"/>
      <c r="F740" s="80"/>
      <c r="G740" s="81"/>
      <c r="H740" s="81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82"/>
      <c r="Z740" s="82"/>
      <c r="AA740" s="82"/>
      <c r="AB740" s="80"/>
      <c r="AC740" s="77"/>
      <c r="AD740" s="77"/>
      <c r="AE740" s="77"/>
      <c r="AF740" s="77"/>
      <c r="AG740" s="77"/>
      <c r="AH740" s="77"/>
      <c r="AI740" s="92"/>
      <c r="AJ740" s="77"/>
      <c r="AK740" s="77"/>
      <c r="AL740" s="77"/>
      <c r="AM740" s="77"/>
      <c r="AN740" s="77"/>
      <c r="AO740" s="77"/>
      <c r="AP740" s="76"/>
      <c r="AQ740" s="81"/>
      <c r="AR740" s="76"/>
      <c r="AS740" s="81"/>
      <c r="AT740" s="76"/>
      <c r="AU740" s="81"/>
      <c r="AV740" s="77"/>
      <c r="AW740" s="81"/>
      <c r="AX740" s="77"/>
      <c r="AY740" s="81"/>
      <c r="AZ740" s="77"/>
      <c r="BA740" s="81"/>
      <c r="BB740" s="77"/>
      <c r="BC740" s="81"/>
      <c r="BD740" s="77"/>
      <c r="BE740" s="81"/>
      <c r="BF740" s="77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77"/>
      <c r="BU740" s="77"/>
      <c r="BV740" s="77"/>
      <c r="BW740" s="77"/>
      <c r="BX740" s="77"/>
      <c r="BY740" s="77"/>
      <c r="BZ740" s="77"/>
      <c r="CA740" s="77"/>
      <c r="CB740" s="77"/>
      <c r="CC740" s="77"/>
      <c r="CD740" s="77"/>
      <c r="CE740" s="77"/>
      <c r="CF740" s="77"/>
      <c r="CG740" s="77"/>
      <c r="CH740" s="77"/>
      <c r="CI740" s="77"/>
      <c r="CJ740" s="77"/>
      <c r="CK740" s="77"/>
      <c r="CL740" s="77"/>
      <c r="CM740" s="77"/>
      <c r="CN740" s="77"/>
      <c r="CO740" s="77"/>
      <c r="CP740" s="77"/>
      <c r="CQ740" s="77"/>
      <c r="CR740" s="77"/>
      <c r="CS740" s="77"/>
      <c r="CT740" s="77"/>
      <c r="CU740" s="77"/>
      <c r="CV740" s="77"/>
      <c r="CW740" s="77"/>
    </row>
    <row r="741" spans="1:101" ht="16.5" x14ac:dyDescent="0.45">
      <c r="A741" s="76"/>
      <c r="B741" s="77"/>
      <c r="C741" s="77"/>
      <c r="D741" s="78"/>
      <c r="E741" s="80"/>
      <c r="F741" s="80"/>
      <c r="G741" s="81"/>
      <c r="H741" s="81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82"/>
      <c r="Z741" s="82"/>
      <c r="AA741" s="82"/>
      <c r="AB741" s="80"/>
      <c r="AC741" s="77"/>
      <c r="AD741" s="77"/>
      <c r="AE741" s="77"/>
      <c r="AF741" s="77"/>
      <c r="AG741" s="77"/>
      <c r="AH741" s="77"/>
      <c r="AI741" s="92"/>
      <c r="AJ741" s="77"/>
      <c r="AK741" s="77"/>
      <c r="AL741" s="77"/>
      <c r="AM741" s="77"/>
      <c r="AN741" s="77"/>
      <c r="AO741" s="77"/>
      <c r="AP741" s="76"/>
      <c r="AQ741" s="81"/>
      <c r="AR741" s="76"/>
      <c r="AS741" s="81"/>
      <c r="AT741" s="76"/>
      <c r="AU741" s="81"/>
      <c r="AV741" s="77"/>
      <c r="AW741" s="81"/>
      <c r="AX741" s="77"/>
      <c r="AY741" s="81"/>
      <c r="AZ741" s="77"/>
      <c r="BA741" s="81"/>
      <c r="BB741" s="77"/>
      <c r="BC741" s="81"/>
      <c r="BD741" s="77"/>
      <c r="BE741" s="81"/>
      <c r="BF741" s="77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77"/>
      <c r="BU741" s="77"/>
      <c r="BV741" s="77"/>
      <c r="BW741" s="77"/>
      <c r="BX741" s="77"/>
      <c r="BY741" s="77"/>
      <c r="BZ741" s="77"/>
      <c r="CA741" s="77"/>
      <c r="CB741" s="77"/>
      <c r="CC741" s="77"/>
      <c r="CD741" s="77"/>
      <c r="CE741" s="77"/>
      <c r="CF741" s="77"/>
      <c r="CG741" s="77"/>
      <c r="CH741" s="77"/>
      <c r="CI741" s="77"/>
      <c r="CJ741" s="77"/>
      <c r="CK741" s="77"/>
      <c r="CL741" s="77"/>
      <c r="CM741" s="77"/>
      <c r="CN741" s="77"/>
      <c r="CO741" s="77"/>
      <c r="CP741" s="77"/>
      <c r="CQ741" s="77"/>
      <c r="CR741" s="77"/>
      <c r="CS741" s="77"/>
      <c r="CT741" s="77"/>
      <c r="CU741" s="77"/>
      <c r="CV741" s="77"/>
      <c r="CW741" s="77"/>
    </row>
    <row r="742" spans="1:101" ht="16.5" x14ac:dyDescent="0.45">
      <c r="A742" s="76"/>
      <c r="B742" s="77"/>
      <c r="C742" s="77"/>
      <c r="D742" s="78"/>
      <c r="E742" s="80"/>
      <c r="F742" s="80"/>
      <c r="G742" s="81"/>
      <c r="H742" s="81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82"/>
      <c r="Z742" s="82"/>
      <c r="AA742" s="82"/>
      <c r="AB742" s="80"/>
      <c r="AC742" s="77"/>
      <c r="AD742" s="77"/>
      <c r="AE742" s="77"/>
      <c r="AF742" s="77"/>
      <c r="AG742" s="77"/>
      <c r="AH742" s="77"/>
      <c r="AI742" s="92"/>
      <c r="AJ742" s="77"/>
      <c r="AK742" s="77"/>
      <c r="AL742" s="77"/>
      <c r="AM742" s="77"/>
      <c r="AN742" s="77"/>
      <c r="AO742" s="77"/>
      <c r="AP742" s="76"/>
      <c r="AQ742" s="81"/>
      <c r="AR742" s="76"/>
      <c r="AS742" s="81"/>
      <c r="AT742" s="76"/>
      <c r="AU742" s="81"/>
      <c r="AV742" s="77"/>
      <c r="AW742" s="81"/>
      <c r="AX742" s="77"/>
      <c r="AY742" s="81"/>
      <c r="AZ742" s="77"/>
      <c r="BA742" s="81"/>
      <c r="BB742" s="77"/>
      <c r="BC742" s="81"/>
      <c r="BD742" s="77"/>
      <c r="BE742" s="81"/>
      <c r="BF742" s="77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77"/>
      <c r="BU742" s="77"/>
      <c r="BV742" s="77"/>
      <c r="BW742" s="77"/>
      <c r="BX742" s="77"/>
      <c r="BY742" s="77"/>
      <c r="BZ742" s="77"/>
      <c r="CA742" s="77"/>
      <c r="CB742" s="77"/>
      <c r="CC742" s="77"/>
      <c r="CD742" s="77"/>
      <c r="CE742" s="77"/>
      <c r="CF742" s="77"/>
      <c r="CG742" s="77"/>
      <c r="CH742" s="77"/>
      <c r="CI742" s="77"/>
      <c r="CJ742" s="77"/>
      <c r="CK742" s="77"/>
      <c r="CL742" s="77"/>
      <c r="CM742" s="77"/>
      <c r="CN742" s="77"/>
      <c r="CO742" s="77"/>
      <c r="CP742" s="77"/>
      <c r="CQ742" s="77"/>
      <c r="CR742" s="77"/>
      <c r="CS742" s="77"/>
      <c r="CT742" s="77"/>
      <c r="CU742" s="77"/>
      <c r="CV742" s="77"/>
      <c r="CW742" s="77"/>
    </row>
    <row r="743" spans="1:101" ht="16.5" x14ac:dyDescent="0.45">
      <c r="A743" s="76"/>
      <c r="B743" s="77"/>
      <c r="C743" s="77"/>
      <c r="D743" s="78"/>
      <c r="E743" s="80"/>
      <c r="F743" s="80"/>
      <c r="G743" s="81"/>
      <c r="H743" s="81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82"/>
      <c r="Z743" s="82"/>
      <c r="AA743" s="82"/>
      <c r="AB743" s="80"/>
      <c r="AC743" s="77"/>
      <c r="AD743" s="77"/>
      <c r="AE743" s="77"/>
      <c r="AF743" s="77"/>
      <c r="AG743" s="77"/>
      <c r="AH743" s="77"/>
      <c r="AI743" s="92"/>
      <c r="AJ743" s="77"/>
      <c r="AK743" s="77"/>
      <c r="AL743" s="77"/>
      <c r="AM743" s="77"/>
      <c r="AN743" s="77"/>
      <c r="AO743" s="77"/>
      <c r="AP743" s="76"/>
      <c r="AQ743" s="81"/>
      <c r="AR743" s="76"/>
      <c r="AS743" s="81"/>
      <c r="AT743" s="76"/>
      <c r="AU743" s="81"/>
      <c r="AV743" s="77"/>
      <c r="AW743" s="81"/>
      <c r="AX743" s="77"/>
      <c r="AY743" s="81"/>
      <c r="AZ743" s="77"/>
      <c r="BA743" s="81"/>
      <c r="BB743" s="77"/>
      <c r="BC743" s="81"/>
      <c r="BD743" s="77"/>
      <c r="BE743" s="81"/>
      <c r="BF743" s="77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77"/>
      <c r="BU743" s="77"/>
      <c r="BV743" s="77"/>
      <c r="BW743" s="77"/>
      <c r="BX743" s="77"/>
      <c r="BY743" s="77"/>
      <c r="BZ743" s="77"/>
      <c r="CA743" s="77"/>
      <c r="CB743" s="77"/>
      <c r="CC743" s="77"/>
      <c r="CD743" s="77"/>
      <c r="CE743" s="77"/>
      <c r="CF743" s="77"/>
      <c r="CG743" s="77"/>
      <c r="CH743" s="77"/>
      <c r="CI743" s="77"/>
      <c r="CJ743" s="77"/>
      <c r="CK743" s="77"/>
      <c r="CL743" s="77"/>
      <c r="CM743" s="77"/>
      <c r="CN743" s="77"/>
      <c r="CO743" s="77"/>
      <c r="CP743" s="77"/>
      <c r="CQ743" s="77"/>
      <c r="CR743" s="77"/>
      <c r="CS743" s="77"/>
      <c r="CT743" s="77"/>
      <c r="CU743" s="77"/>
      <c r="CV743" s="77"/>
      <c r="CW743" s="77"/>
    </row>
    <row r="744" spans="1:101" ht="16.5" x14ac:dyDescent="0.45">
      <c r="A744" s="76"/>
      <c r="B744" s="77"/>
      <c r="C744" s="77"/>
      <c r="D744" s="78"/>
      <c r="E744" s="80"/>
      <c r="F744" s="80"/>
      <c r="G744" s="81"/>
      <c r="H744" s="81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82"/>
      <c r="Z744" s="82"/>
      <c r="AA744" s="82"/>
      <c r="AB744" s="80"/>
      <c r="AC744" s="77"/>
      <c r="AD744" s="77"/>
      <c r="AE744" s="77"/>
      <c r="AF744" s="77"/>
      <c r="AG744" s="77"/>
      <c r="AH744" s="77"/>
      <c r="AI744" s="92"/>
      <c r="AJ744" s="77"/>
      <c r="AK744" s="77"/>
      <c r="AL744" s="77"/>
      <c r="AM744" s="77"/>
      <c r="AN744" s="77"/>
      <c r="AO744" s="77"/>
      <c r="AP744" s="76"/>
      <c r="AQ744" s="81"/>
      <c r="AR744" s="76"/>
      <c r="AS744" s="81"/>
      <c r="AT744" s="76"/>
      <c r="AU744" s="81"/>
      <c r="AV744" s="77"/>
      <c r="AW744" s="81"/>
      <c r="AX744" s="77"/>
      <c r="AY744" s="81"/>
      <c r="AZ744" s="77"/>
      <c r="BA744" s="81"/>
      <c r="BB744" s="77"/>
      <c r="BC744" s="81"/>
      <c r="BD744" s="77"/>
      <c r="BE744" s="81"/>
      <c r="BF744" s="77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77"/>
      <c r="BU744" s="77"/>
      <c r="BV744" s="77"/>
      <c r="BW744" s="77"/>
      <c r="BX744" s="77"/>
      <c r="BY744" s="77"/>
      <c r="BZ744" s="77"/>
      <c r="CA744" s="77"/>
      <c r="CB744" s="77"/>
      <c r="CC744" s="77"/>
      <c r="CD744" s="77"/>
      <c r="CE744" s="77"/>
      <c r="CF744" s="77"/>
      <c r="CG744" s="77"/>
      <c r="CH744" s="77"/>
      <c r="CI744" s="77"/>
      <c r="CJ744" s="77"/>
      <c r="CK744" s="77"/>
      <c r="CL744" s="77"/>
      <c r="CM744" s="77"/>
      <c r="CN744" s="77"/>
      <c r="CO744" s="77"/>
      <c r="CP744" s="77"/>
      <c r="CQ744" s="77"/>
      <c r="CR744" s="77"/>
      <c r="CS744" s="77"/>
      <c r="CT744" s="77"/>
      <c r="CU744" s="77"/>
      <c r="CV744" s="77"/>
      <c r="CW744" s="77"/>
    </row>
    <row r="745" spans="1:101" ht="16.5" x14ac:dyDescent="0.45">
      <c r="A745" s="76"/>
      <c r="B745" s="77"/>
      <c r="C745" s="77"/>
      <c r="D745" s="78"/>
      <c r="E745" s="80"/>
      <c r="F745" s="80"/>
      <c r="G745" s="81"/>
      <c r="H745" s="81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82"/>
      <c r="Z745" s="82"/>
      <c r="AA745" s="82"/>
      <c r="AB745" s="80"/>
      <c r="AC745" s="77"/>
      <c r="AD745" s="77"/>
      <c r="AE745" s="77"/>
      <c r="AF745" s="77"/>
      <c r="AG745" s="77"/>
      <c r="AH745" s="77"/>
      <c r="AI745" s="92"/>
      <c r="AJ745" s="77"/>
      <c r="AK745" s="77"/>
      <c r="AL745" s="77"/>
      <c r="AM745" s="77"/>
      <c r="AN745" s="77"/>
      <c r="AO745" s="77"/>
      <c r="AP745" s="76"/>
      <c r="AQ745" s="81"/>
      <c r="AR745" s="76"/>
      <c r="AS745" s="81"/>
      <c r="AT745" s="76"/>
      <c r="AU745" s="81"/>
      <c r="AV745" s="77"/>
      <c r="AW745" s="81"/>
      <c r="AX745" s="77"/>
      <c r="AY745" s="81"/>
      <c r="AZ745" s="77"/>
      <c r="BA745" s="81"/>
      <c r="BB745" s="77"/>
      <c r="BC745" s="81"/>
      <c r="BD745" s="77"/>
      <c r="BE745" s="81"/>
      <c r="BF745" s="77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77"/>
      <c r="BU745" s="77"/>
      <c r="BV745" s="77"/>
      <c r="BW745" s="77"/>
      <c r="BX745" s="77"/>
      <c r="BY745" s="77"/>
      <c r="BZ745" s="77"/>
      <c r="CA745" s="77"/>
      <c r="CB745" s="77"/>
      <c r="CC745" s="77"/>
      <c r="CD745" s="77"/>
      <c r="CE745" s="77"/>
      <c r="CF745" s="77"/>
      <c r="CG745" s="77"/>
      <c r="CH745" s="77"/>
      <c r="CI745" s="77"/>
      <c r="CJ745" s="77"/>
      <c r="CK745" s="77"/>
      <c r="CL745" s="77"/>
      <c r="CM745" s="77"/>
      <c r="CN745" s="77"/>
      <c r="CO745" s="77"/>
      <c r="CP745" s="77"/>
      <c r="CQ745" s="77"/>
      <c r="CR745" s="77"/>
      <c r="CS745" s="77"/>
      <c r="CT745" s="77"/>
      <c r="CU745" s="77"/>
      <c r="CV745" s="77"/>
      <c r="CW745" s="77"/>
    </row>
    <row r="746" spans="1:101" ht="16.5" x14ac:dyDescent="0.45">
      <c r="A746" s="76"/>
      <c r="B746" s="77"/>
      <c r="C746" s="77"/>
      <c r="D746" s="78"/>
      <c r="E746" s="80"/>
      <c r="F746" s="80"/>
      <c r="G746" s="81"/>
      <c r="H746" s="81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82"/>
      <c r="Z746" s="82"/>
      <c r="AA746" s="82"/>
      <c r="AB746" s="80"/>
      <c r="AC746" s="77"/>
      <c r="AD746" s="77"/>
      <c r="AE746" s="77"/>
      <c r="AF746" s="77"/>
      <c r="AG746" s="77"/>
      <c r="AH746" s="77"/>
      <c r="AI746" s="92"/>
      <c r="AJ746" s="77"/>
      <c r="AK746" s="77"/>
      <c r="AL746" s="77"/>
      <c r="AM746" s="77"/>
      <c r="AN746" s="77"/>
      <c r="AO746" s="77"/>
      <c r="AP746" s="76"/>
      <c r="AQ746" s="81"/>
      <c r="AR746" s="76"/>
      <c r="AS746" s="81"/>
      <c r="AT746" s="76"/>
      <c r="AU746" s="81"/>
      <c r="AV746" s="77"/>
      <c r="AW746" s="81"/>
      <c r="AX746" s="77"/>
      <c r="AY746" s="81"/>
      <c r="AZ746" s="77"/>
      <c r="BA746" s="81"/>
      <c r="BB746" s="77"/>
      <c r="BC746" s="81"/>
      <c r="BD746" s="77"/>
      <c r="BE746" s="81"/>
      <c r="BF746" s="77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77"/>
      <c r="BU746" s="77"/>
      <c r="BV746" s="77"/>
      <c r="BW746" s="77"/>
      <c r="BX746" s="77"/>
      <c r="BY746" s="77"/>
      <c r="BZ746" s="77"/>
      <c r="CA746" s="77"/>
      <c r="CB746" s="77"/>
      <c r="CC746" s="77"/>
      <c r="CD746" s="77"/>
      <c r="CE746" s="77"/>
      <c r="CF746" s="77"/>
      <c r="CG746" s="77"/>
      <c r="CH746" s="77"/>
      <c r="CI746" s="77"/>
      <c r="CJ746" s="77"/>
      <c r="CK746" s="77"/>
      <c r="CL746" s="77"/>
      <c r="CM746" s="77"/>
      <c r="CN746" s="77"/>
      <c r="CO746" s="77"/>
      <c r="CP746" s="77"/>
      <c r="CQ746" s="77"/>
      <c r="CR746" s="77"/>
      <c r="CS746" s="77"/>
      <c r="CT746" s="77"/>
      <c r="CU746" s="77"/>
      <c r="CV746" s="77"/>
      <c r="CW746" s="77"/>
    </row>
    <row r="747" spans="1:101" ht="16.5" x14ac:dyDescent="0.45">
      <c r="A747" s="76"/>
      <c r="B747" s="77"/>
      <c r="C747" s="77"/>
      <c r="D747" s="78"/>
      <c r="E747" s="80"/>
      <c r="F747" s="80"/>
      <c r="G747" s="81"/>
      <c r="H747" s="81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82"/>
      <c r="Z747" s="82"/>
      <c r="AA747" s="82"/>
      <c r="AB747" s="80"/>
      <c r="AC747" s="77"/>
      <c r="AD747" s="77"/>
      <c r="AE747" s="77"/>
      <c r="AF747" s="77"/>
      <c r="AG747" s="77"/>
      <c r="AH747" s="77"/>
      <c r="AI747" s="92"/>
      <c r="AJ747" s="77"/>
      <c r="AK747" s="77"/>
      <c r="AL747" s="77"/>
      <c r="AM747" s="77"/>
      <c r="AN747" s="77"/>
      <c r="AO747" s="77"/>
      <c r="AP747" s="76"/>
      <c r="AQ747" s="81"/>
      <c r="AR747" s="76"/>
      <c r="AS747" s="81"/>
      <c r="AT747" s="76"/>
      <c r="AU747" s="81"/>
      <c r="AV747" s="77"/>
      <c r="AW747" s="81"/>
      <c r="AX747" s="77"/>
      <c r="AY747" s="81"/>
      <c r="AZ747" s="77"/>
      <c r="BA747" s="81"/>
      <c r="BB747" s="77"/>
      <c r="BC747" s="81"/>
      <c r="BD747" s="77"/>
      <c r="BE747" s="81"/>
      <c r="BF747" s="77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77"/>
      <c r="BU747" s="77"/>
      <c r="BV747" s="77"/>
      <c r="BW747" s="77"/>
      <c r="BX747" s="77"/>
      <c r="BY747" s="77"/>
      <c r="BZ747" s="77"/>
      <c r="CA747" s="77"/>
      <c r="CB747" s="77"/>
      <c r="CC747" s="77"/>
      <c r="CD747" s="77"/>
      <c r="CE747" s="77"/>
      <c r="CF747" s="77"/>
      <c r="CG747" s="77"/>
      <c r="CH747" s="77"/>
      <c r="CI747" s="77"/>
      <c r="CJ747" s="77"/>
      <c r="CK747" s="77"/>
      <c r="CL747" s="77"/>
      <c r="CM747" s="77"/>
      <c r="CN747" s="77"/>
      <c r="CO747" s="77"/>
      <c r="CP747" s="77"/>
      <c r="CQ747" s="77"/>
      <c r="CR747" s="77"/>
      <c r="CS747" s="77"/>
      <c r="CT747" s="77"/>
      <c r="CU747" s="77"/>
      <c r="CV747" s="77"/>
      <c r="CW747" s="77"/>
    </row>
    <row r="748" spans="1:101" ht="16.5" x14ac:dyDescent="0.45">
      <c r="A748" s="76"/>
      <c r="B748" s="77"/>
      <c r="C748" s="77"/>
      <c r="D748" s="78"/>
      <c r="E748" s="80"/>
      <c r="F748" s="80"/>
      <c r="G748" s="81"/>
      <c r="H748" s="81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82"/>
      <c r="Z748" s="82"/>
      <c r="AA748" s="82"/>
      <c r="AB748" s="80"/>
      <c r="AC748" s="77"/>
      <c r="AD748" s="77"/>
      <c r="AE748" s="77"/>
      <c r="AF748" s="77"/>
      <c r="AG748" s="77"/>
      <c r="AH748" s="77"/>
      <c r="AI748" s="92"/>
      <c r="AJ748" s="77"/>
      <c r="AK748" s="77"/>
      <c r="AL748" s="77"/>
      <c r="AM748" s="77"/>
      <c r="AN748" s="77"/>
      <c r="AO748" s="77"/>
      <c r="AP748" s="76"/>
      <c r="AQ748" s="81"/>
      <c r="AR748" s="76"/>
      <c r="AS748" s="81"/>
      <c r="AT748" s="76"/>
      <c r="AU748" s="81"/>
      <c r="AV748" s="77"/>
      <c r="AW748" s="81"/>
      <c r="AX748" s="77"/>
      <c r="AY748" s="81"/>
      <c r="AZ748" s="77"/>
      <c r="BA748" s="81"/>
      <c r="BB748" s="77"/>
      <c r="BC748" s="81"/>
      <c r="BD748" s="77"/>
      <c r="BE748" s="81"/>
      <c r="BF748" s="77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77"/>
      <c r="BU748" s="77"/>
      <c r="BV748" s="77"/>
      <c r="BW748" s="77"/>
      <c r="BX748" s="77"/>
      <c r="BY748" s="77"/>
      <c r="BZ748" s="77"/>
      <c r="CA748" s="77"/>
      <c r="CB748" s="77"/>
      <c r="CC748" s="77"/>
      <c r="CD748" s="77"/>
      <c r="CE748" s="77"/>
      <c r="CF748" s="77"/>
      <c r="CG748" s="77"/>
      <c r="CH748" s="77"/>
      <c r="CI748" s="77"/>
      <c r="CJ748" s="77"/>
      <c r="CK748" s="77"/>
      <c r="CL748" s="77"/>
      <c r="CM748" s="77"/>
      <c r="CN748" s="77"/>
      <c r="CO748" s="77"/>
      <c r="CP748" s="77"/>
      <c r="CQ748" s="77"/>
      <c r="CR748" s="77"/>
      <c r="CS748" s="77"/>
      <c r="CT748" s="77"/>
      <c r="CU748" s="77"/>
      <c r="CV748" s="77"/>
      <c r="CW748" s="77"/>
    </row>
    <row r="749" spans="1:101" ht="16.5" x14ac:dyDescent="0.45">
      <c r="A749" s="76"/>
      <c r="B749" s="77"/>
      <c r="C749" s="77"/>
      <c r="D749" s="78"/>
      <c r="E749" s="80"/>
      <c r="F749" s="80"/>
      <c r="G749" s="81"/>
      <c r="H749" s="81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82"/>
      <c r="Z749" s="82"/>
      <c r="AA749" s="82"/>
      <c r="AB749" s="80"/>
      <c r="AC749" s="77"/>
      <c r="AD749" s="77"/>
      <c r="AE749" s="77"/>
      <c r="AF749" s="77"/>
      <c r="AG749" s="77"/>
      <c r="AH749" s="77"/>
      <c r="AI749" s="92"/>
      <c r="AJ749" s="77"/>
      <c r="AK749" s="77"/>
      <c r="AL749" s="77"/>
      <c r="AM749" s="77"/>
      <c r="AN749" s="77"/>
      <c r="AO749" s="77"/>
      <c r="AP749" s="76"/>
      <c r="AQ749" s="81"/>
      <c r="AR749" s="76"/>
      <c r="AS749" s="81"/>
      <c r="AT749" s="76"/>
      <c r="AU749" s="81"/>
      <c r="AV749" s="77"/>
      <c r="AW749" s="81"/>
      <c r="AX749" s="77"/>
      <c r="AY749" s="81"/>
      <c r="AZ749" s="77"/>
      <c r="BA749" s="81"/>
      <c r="BB749" s="77"/>
      <c r="BC749" s="81"/>
      <c r="BD749" s="77"/>
      <c r="BE749" s="81"/>
      <c r="BF749" s="77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77"/>
      <c r="BU749" s="77"/>
      <c r="BV749" s="77"/>
      <c r="BW749" s="77"/>
      <c r="BX749" s="77"/>
      <c r="BY749" s="77"/>
      <c r="BZ749" s="77"/>
      <c r="CA749" s="77"/>
      <c r="CB749" s="77"/>
      <c r="CC749" s="77"/>
      <c r="CD749" s="77"/>
      <c r="CE749" s="77"/>
      <c r="CF749" s="77"/>
      <c r="CG749" s="77"/>
      <c r="CH749" s="77"/>
      <c r="CI749" s="77"/>
      <c r="CJ749" s="77"/>
      <c r="CK749" s="77"/>
      <c r="CL749" s="77"/>
      <c r="CM749" s="77"/>
      <c r="CN749" s="77"/>
      <c r="CO749" s="77"/>
      <c r="CP749" s="77"/>
      <c r="CQ749" s="77"/>
      <c r="CR749" s="77"/>
      <c r="CS749" s="77"/>
      <c r="CT749" s="77"/>
      <c r="CU749" s="77"/>
      <c r="CV749" s="77"/>
      <c r="CW749" s="77"/>
    </row>
    <row r="750" spans="1:101" ht="16.5" x14ac:dyDescent="0.45">
      <c r="A750" s="76"/>
      <c r="B750" s="77"/>
      <c r="C750" s="77"/>
      <c r="D750" s="78"/>
      <c r="E750" s="80"/>
      <c r="F750" s="80"/>
      <c r="G750" s="81"/>
      <c r="H750" s="81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82"/>
      <c r="Z750" s="82"/>
      <c r="AA750" s="82"/>
      <c r="AB750" s="80"/>
      <c r="AC750" s="77"/>
      <c r="AD750" s="77"/>
      <c r="AE750" s="77"/>
      <c r="AF750" s="77"/>
      <c r="AG750" s="77"/>
      <c r="AH750" s="77"/>
      <c r="AI750" s="92"/>
      <c r="AJ750" s="77"/>
      <c r="AK750" s="77"/>
      <c r="AL750" s="77"/>
      <c r="AM750" s="77"/>
      <c r="AN750" s="77"/>
      <c r="AO750" s="77"/>
      <c r="AP750" s="76"/>
      <c r="AQ750" s="81"/>
      <c r="AR750" s="76"/>
      <c r="AS750" s="81"/>
      <c r="AT750" s="76"/>
      <c r="AU750" s="81"/>
      <c r="AV750" s="77"/>
      <c r="AW750" s="81"/>
      <c r="AX750" s="77"/>
      <c r="AY750" s="81"/>
      <c r="AZ750" s="77"/>
      <c r="BA750" s="81"/>
      <c r="BB750" s="77"/>
      <c r="BC750" s="81"/>
      <c r="BD750" s="77"/>
      <c r="BE750" s="81"/>
      <c r="BF750" s="77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77"/>
      <c r="BU750" s="77"/>
      <c r="BV750" s="77"/>
      <c r="BW750" s="77"/>
      <c r="BX750" s="77"/>
      <c r="BY750" s="77"/>
      <c r="BZ750" s="77"/>
      <c r="CA750" s="77"/>
      <c r="CB750" s="77"/>
      <c r="CC750" s="77"/>
      <c r="CD750" s="77"/>
      <c r="CE750" s="77"/>
      <c r="CF750" s="77"/>
      <c r="CG750" s="77"/>
      <c r="CH750" s="77"/>
      <c r="CI750" s="77"/>
      <c r="CJ750" s="77"/>
      <c r="CK750" s="77"/>
      <c r="CL750" s="77"/>
      <c r="CM750" s="77"/>
      <c r="CN750" s="77"/>
      <c r="CO750" s="77"/>
      <c r="CP750" s="77"/>
      <c r="CQ750" s="77"/>
      <c r="CR750" s="77"/>
      <c r="CS750" s="77"/>
      <c r="CT750" s="77"/>
      <c r="CU750" s="77"/>
      <c r="CV750" s="77"/>
      <c r="CW750" s="77"/>
    </row>
    <row r="751" spans="1:101" ht="16.5" x14ac:dyDescent="0.45">
      <c r="A751" s="76"/>
      <c r="B751" s="77"/>
      <c r="C751" s="77"/>
      <c r="D751" s="78"/>
      <c r="E751" s="80"/>
      <c r="F751" s="80"/>
      <c r="G751" s="81"/>
      <c r="H751" s="81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82"/>
      <c r="Z751" s="82"/>
      <c r="AA751" s="82"/>
      <c r="AB751" s="80"/>
      <c r="AC751" s="77"/>
      <c r="AD751" s="77"/>
      <c r="AE751" s="77"/>
      <c r="AF751" s="77"/>
      <c r="AG751" s="77"/>
      <c r="AH751" s="77"/>
      <c r="AI751" s="92"/>
      <c r="AJ751" s="77"/>
      <c r="AK751" s="77"/>
      <c r="AL751" s="77"/>
      <c r="AM751" s="77"/>
      <c r="AN751" s="77"/>
      <c r="AO751" s="77"/>
      <c r="AP751" s="76"/>
      <c r="AQ751" s="81"/>
      <c r="AR751" s="76"/>
      <c r="AS751" s="81"/>
      <c r="AT751" s="76"/>
      <c r="AU751" s="81"/>
      <c r="AV751" s="77"/>
      <c r="AW751" s="81"/>
      <c r="AX751" s="77"/>
      <c r="AY751" s="81"/>
      <c r="AZ751" s="77"/>
      <c r="BA751" s="81"/>
      <c r="BB751" s="77"/>
      <c r="BC751" s="81"/>
      <c r="BD751" s="77"/>
      <c r="BE751" s="81"/>
      <c r="BF751" s="77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77"/>
      <c r="BU751" s="77"/>
      <c r="BV751" s="77"/>
      <c r="BW751" s="77"/>
      <c r="BX751" s="77"/>
      <c r="BY751" s="77"/>
      <c r="BZ751" s="77"/>
      <c r="CA751" s="77"/>
      <c r="CB751" s="77"/>
      <c r="CC751" s="77"/>
      <c r="CD751" s="77"/>
      <c r="CE751" s="77"/>
      <c r="CF751" s="77"/>
      <c r="CG751" s="77"/>
      <c r="CH751" s="77"/>
      <c r="CI751" s="77"/>
      <c r="CJ751" s="77"/>
      <c r="CK751" s="77"/>
      <c r="CL751" s="77"/>
      <c r="CM751" s="77"/>
      <c r="CN751" s="77"/>
      <c r="CO751" s="77"/>
      <c r="CP751" s="77"/>
      <c r="CQ751" s="77"/>
      <c r="CR751" s="77"/>
      <c r="CS751" s="77"/>
      <c r="CT751" s="77"/>
      <c r="CU751" s="77"/>
      <c r="CV751" s="77"/>
      <c r="CW751" s="77"/>
    </row>
    <row r="752" spans="1:101" ht="16.5" x14ac:dyDescent="0.45">
      <c r="A752" s="76"/>
      <c r="B752" s="77"/>
      <c r="C752" s="77"/>
      <c r="D752" s="78"/>
      <c r="E752" s="80"/>
      <c r="F752" s="80"/>
      <c r="G752" s="81"/>
      <c r="H752" s="81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82"/>
      <c r="Z752" s="82"/>
      <c r="AA752" s="82"/>
      <c r="AB752" s="80"/>
      <c r="AC752" s="77"/>
      <c r="AD752" s="77"/>
      <c r="AE752" s="77"/>
      <c r="AF752" s="77"/>
      <c r="AG752" s="77"/>
      <c r="AH752" s="77"/>
      <c r="AI752" s="92"/>
      <c r="AJ752" s="77"/>
      <c r="AK752" s="77"/>
      <c r="AL752" s="77"/>
      <c r="AM752" s="77"/>
      <c r="AN752" s="77"/>
      <c r="AO752" s="77"/>
      <c r="AP752" s="76"/>
      <c r="AQ752" s="81"/>
      <c r="AR752" s="76"/>
      <c r="AS752" s="81"/>
      <c r="AT752" s="76"/>
      <c r="AU752" s="81"/>
      <c r="AV752" s="77"/>
      <c r="AW752" s="81"/>
      <c r="AX752" s="77"/>
      <c r="AY752" s="81"/>
      <c r="AZ752" s="77"/>
      <c r="BA752" s="81"/>
      <c r="BB752" s="77"/>
      <c r="BC752" s="81"/>
      <c r="BD752" s="77"/>
      <c r="BE752" s="81"/>
      <c r="BF752" s="77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77"/>
      <c r="BU752" s="77"/>
      <c r="BV752" s="77"/>
      <c r="BW752" s="77"/>
      <c r="BX752" s="77"/>
      <c r="BY752" s="77"/>
      <c r="BZ752" s="77"/>
      <c r="CA752" s="77"/>
      <c r="CB752" s="77"/>
      <c r="CC752" s="77"/>
      <c r="CD752" s="77"/>
      <c r="CE752" s="77"/>
      <c r="CF752" s="77"/>
      <c r="CG752" s="77"/>
      <c r="CH752" s="77"/>
      <c r="CI752" s="77"/>
      <c r="CJ752" s="77"/>
      <c r="CK752" s="77"/>
      <c r="CL752" s="77"/>
      <c r="CM752" s="77"/>
      <c r="CN752" s="77"/>
      <c r="CO752" s="77"/>
      <c r="CP752" s="77"/>
      <c r="CQ752" s="77"/>
      <c r="CR752" s="77"/>
      <c r="CS752" s="77"/>
      <c r="CT752" s="77"/>
      <c r="CU752" s="77"/>
      <c r="CV752" s="77"/>
      <c r="CW752" s="77"/>
    </row>
    <row r="753" spans="1:101" ht="16.5" x14ac:dyDescent="0.45">
      <c r="A753" s="76"/>
      <c r="B753" s="77"/>
      <c r="C753" s="77"/>
      <c r="D753" s="78"/>
      <c r="E753" s="80"/>
      <c r="F753" s="80"/>
      <c r="G753" s="81"/>
      <c r="H753" s="81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82"/>
      <c r="Z753" s="82"/>
      <c r="AA753" s="82"/>
      <c r="AB753" s="80"/>
      <c r="AC753" s="77"/>
      <c r="AD753" s="77"/>
      <c r="AE753" s="77"/>
      <c r="AF753" s="77"/>
      <c r="AG753" s="77"/>
      <c r="AH753" s="77"/>
      <c r="AI753" s="92"/>
      <c r="AJ753" s="77"/>
      <c r="AK753" s="77"/>
      <c r="AL753" s="77"/>
      <c r="AM753" s="77"/>
      <c r="AN753" s="77"/>
      <c r="AO753" s="77"/>
      <c r="AP753" s="76"/>
      <c r="AQ753" s="81"/>
      <c r="AR753" s="76"/>
      <c r="AS753" s="81"/>
      <c r="AT753" s="76"/>
      <c r="AU753" s="81"/>
      <c r="AV753" s="77"/>
      <c r="AW753" s="81"/>
      <c r="AX753" s="77"/>
      <c r="AY753" s="81"/>
      <c r="AZ753" s="77"/>
      <c r="BA753" s="81"/>
      <c r="BB753" s="77"/>
      <c r="BC753" s="81"/>
      <c r="BD753" s="77"/>
      <c r="BE753" s="81"/>
      <c r="BF753" s="77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77"/>
      <c r="BU753" s="77"/>
      <c r="BV753" s="77"/>
      <c r="BW753" s="77"/>
      <c r="BX753" s="77"/>
      <c r="BY753" s="77"/>
      <c r="BZ753" s="77"/>
      <c r="CA753" s="77"/>
      <c r="CB753" s="77"/>
      <c r="CC753" s="77"/>
      <c r="CD753" s="77"/>
      <c r="CE753" s="77"/>
      <c r="CF753" s="77"/>
      <c r="CG753" s="77"/>
      <c r="CH753" s="77"/>
      <c r="CI753" s="77"/>
      <c r="CJ753" s="77"/>
      <c r="CK753" s="77"/>
      <c r="CL753" s="77"/>
      <c r="CM753" s="77"/>
      <c r="CN753" s="77"/>
      <c r="CO753" s="77"/>
      <c r="CP753" s="77"/>
      <c r="CQ753" s="77"/>
      <c r="CR753" s="77"/>
      <c r="CS753" s="77"/>
      <c r="CT753" s="77"/>
      <c r="CU753" s="77"/>
      <c r="CV753" s="77"/>
      <c r="CW753" s="77"/>
    </row>
    <row r="754" spans="1:101" ht="16.5" x14ac:dyDescent="0.45">
      <c r="A754" s="76"/>
      <c r="B754" s="77"/>
      <c r="C754" s="77"/>
      <c r="D754" s="78"/>
      <c r="E754" s="80"/>
      <c r="F754" s="80"/>
      <c r="G754" s="81"/>
      <c r="H754" s="81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82"/>
      <c r="Z754" s="82"/>
      <c r="AA754" s="82"/>
      <c r="AB754" s="80"/>
      <c r="AC754" s="77"/>
      <c r="AD754" s="77"/>
      <c r="AE754" s="77"/>
      <c r="AF754" s="77"/>
      <c r="AG754" s="77"/>
      <c r="AH754" s="77"/>
      <c r="AI754" s="92"/>
      <c r="AJ754" s="77"/>
      <c r="AK754" s="77"/>
      <c r="AL754" s="77"/>
      <c r="AM754" s="77"/>
      <c r="AN754" s="77"/>
      <c r="AO754" s="77"/>
      <c r="AP754" s="76"/>
      <c r="AQ754" s="81"/>
      <c r="AR754" s="76"/>
      <c r="AS754" s="81"/>
      <c r="AT754" s="76"/>
      <c r="AU754" s="81"/>
      <c r="AV754" s="77"/>
      <c r="AW754" s="81"/>
      <c r="AX754" s="77"/>
      <c r="AY754" s="81"/>
      <c r="AZ754" s="77"/>
      <c r="BA754" s="81"/>
      <c r="BB754" s="77"/>
      <c r="BC754" s="81"/>
      <c r="BD754" s="77"/>
      <c r="BE754" s="81"/>
      <c r="BF754" s="77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77"/>
      <c r="BU754" s="77"/>
      <c r="BV754" s="77"/>
      <c r="BW754" s="77"/>
      <c r="BX754" s="77"/>
      <c r="BY754" s="77"/>
      <c r="BZ754" s="77"/>
      <c r="CA754" s="77"/>
      <c r="CB754" s="77"/>
      <c r="CC754" s="77"/>
      <c r="CD754" s="77"/>
      <c r="CE754" s="77"/>
      <c r="CF754" s="77"/>
      <c r="CG754" s="77"/>
      <c r="CH754" s="77"/>
      <c r="CI754" s="77"/>
      <c r="CJ754" s="77"/>
      <c r="CK754" s="77"/>
      <c r="CL754" s="77"/>
      <c r="CM754" s="77"/>
      <c r="CN754" s="77"/>
      <c r="CO754" s="77"/>
      <c r="CP754" s="77"/>
      <c r="CQ754" s="77"/>
      <c r="CR754" s="77"/>
      <c r="CS754" s="77"/>
      <c r="CT754" s="77"/>
      <c r="CU754" s="77"/>
      <c r="CV754" s="77"/>
      <c r="CW754" s="77"/>
    </row>
    <row r="755" spans="1:101" ht="16.5" x14ac:dyDescent="0.45">
      <c r="A755" s="76"/>
      <c r="B755" s="77"/>
      <c r="C755" s="77"/>
      <c r="D755" s="78"/>
      <c r="E755" s="80"/>
      <c r="F755" s="80"/>
      <c r="G755" s="81"/>
      <c r="H755" s="81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82"/>
      <c r="Z755" s="82"/>
      <c r="AA755" s="82"/>
      <c r="AB755" s="80"/>
      <c r="AC755" s="77"/>
      <c r="AD755" s="77"/>
      <c r="AE755" s="77"/>
      <c r="AF755" s="77"/>
      <c r="AG755" s="77"/>
      <c r="AH755" s="77"/>
      <c r="AI755" s="92"/>
      <c r="AJ755" s="77"/>
      <c r="AK755" s="77"/>
      <c r="AL755" s="77"/>
      <c r="AM755" s="77"/>
      <c r="AN755" s="77"/>
      <c r="AO755" s="77"/>
      <c r="AP755" s="76"/>
      <c r="AQ755" s="81"/>
      <c r="AR755" s="76"/>
      <c r="AS755" s="81"/>
      <c r="AT755" s="76"/>
      <c r="AU755" s="81"/>
      <c r="AV755" s="77"/>
      <c r="AW755" s="81"/>
      <c r="AX755" s="77"/>
      <c r="AY755" s="81"/>
      <c r="AZ755" s="77"/>
      <c r="BA755" s="81"/>
      <c r="BB755" s="77"/>
      <c r="BC755" s="81"/>
      <c r="BD755" s="77"/>
      <c r="BE755" s="81"/>
      <c r="BF755" s="77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77"/>
      <c r="BU755" s="77"/>
      <c r="BV755" s="77"/>
      <c r="BW755" s="77"/>
      <c r="BX755" s="77"/>
      <c r="BY755" s="77"/>
      <c r="BZ755" s="77"/>
      <c r="CA755" s="77"/>
      <c r="CB755" s="77"/>
      <c r="CC755" s="77"/>
      <c r="CD755" s="77"/>
      <c r="CE755" s="77"/>
      <c r="CF755" s="77"/>
      <c r="CG755" s="77"/>
      <c r="CH755" s="77"/>
      <c r="CI755" s="77"/>
      <c r="CJ755" s="77"/>
      <c r="CK755" s="77"/>
      <c r="CL755" s="77"/>
      <c r="CM755" s="77"/>
      <c r="CN755" s="77"/>
      <c r="CO755" s="77"/>
      <c r="CP755" s="77"/>
      <c r="CQ755" s="77"/>
      <c r="CR755" s="77"/>
      <c r="CS755" s="77"/>
      <c r="CT755" s="77"/>
      <c r="CU755" s="77"/>
      <c r="CV755" s="77"/>
      <c r="CW755" s="77"/>
    </row>
    <row r="756" spans="1:101" ht="16.5" x14ac:dyDescent="0.45">
      <c r="A756" s="76"/>
      <c r="B756" s="77"/>
      <c r="C756" s="77"/>
      <c r="D756" s="78"/>
      <c r="E756" s="80"/>
      <c r="F756" s="80"/>
      <c r="G756" s="81"/>
      <c r="H756" s="81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82"/>
      <c r="Z756" s="82"/>
      <c r="AA756" s="82"/>
      <c r="AB756" s="80"/>
      <c r="AC756" s="77"/>
      <c r="AD756" s="77"/>
      <c r="AE756" s="77"/>
      <c r="AF756" s="77"/>
      <c r="AG756" s="77"/>
      <c r="AH756" s="77"/>
      <c r="AI756" s="92"/>
      <c r="AJ756" s="77"/>
      <c r="AK756" s="77"/>
      <c r="AL756" s="77"/>
      <c r="AM756" s="77"/>
      <c r="AN756" s="77"/>
      <c r="AO756" s="77"/>
      <c r="AP756" s="76"/>
      <c r="AQ756" s="81"/>
      <c r="AR756" s="76"/>
      <c r="AS756" s="81"/>
      <c r="AT756" s="76"/>
      <c r="AU756" s="81"/>
      <c r="AV756" s="77"/>
      <c r="AW756" s="81"/>
      <c r="AX756" s="77"/>
      <c r="AY756" s="81"/>
      <c r="AZ756" s="77"/>
      <c r="BA756" s="81"/>
      <c r="BB756" s="77"/>
      <c r="BC756" s="81"/>
      <c r="BD756" s="77"/>
      <c r="BE756" s="81"/>
      <c r="BF756" s="77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77"/>
      <c r="BU756" s="77"/>
      <c r="BV756" s="77"/>
      <c r="BW756" s="77"/>
      <c r="BX756" s="77"/>
      <c r="BY756" s="77"/>
      <c r="BZ756" s="77"/>
      <c r="CA756" s="77"/>
      <c r="CB756" s="77"/>
      <c r="CC756" s="77"/>
      <c r="CD756" s="77"/>
      <c r="CE756" s="77"/>
      <c r="CF756" s="77"/>
      <c r="CG756" s="77"/>
      <c r="CH756" s="77"/>
      <c r="CI756" s="77"/>
      <c r="CJ756" s="77"/>
      <c r="CK756" s="77"/>
      <c r="CL756" s="77"/>
      <c r="CM756" s="77"/>
      <c r="CN756" s="77"/>
      <c r="CO756" s="77"/>
      <c r="CP756" s="77"/>
      <c r="CQ756" s="77"/>
      <c r="CR756" s="77"/>
      <c r="CS756" s="77"/>
      <c r="CT756" s="77"/>
      <c r="CU756" s="77"/>
      <c r="CV756" s="77"/>
      <c r="CW756" s="77"/>
    </row>
    <row r="757" spans="1:101" ht="16.5" x14ac:dyDescent="0.45">
      <c r="A757" s="76"/>
      <c r="B757" s="77"/>
      <c r="C757" s="77"/>
      <c r="D757" s="78"/>
      <c r="E757" s="80"/>
      <c r="F757" s="80"/>
      <c r="G757" s="81"/>
      <c r="H757" s="81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82"/>
      <c r="Z757" s="82"/>
      <c r="AA757" s="82"/>
      <c r="AB757" s="80"/>
      <c r="AC757" s="77"/>
      <c r="AD757" s="77"/>
      <c r="AE757" s="77"/>
      <c r="AF757" s="77"/>
      <c r="AG757" s="77"/>
      <c r="AH757" s="77"/>
      <c r="AI757" s="92"/>
      <c r="AJ757" s="77"/>
      <c r="AK757" s="77"/>
      <c r="AL757" s="77"/>
      <c r="AM757" s="77"/>
      <c r="AN757" s="77"/>
      <c r="AO757" s="77"/>
      <c r="AP757" s="76"/>
      <c r="AQ757" s="81"/>
      <c r="AR757" s="76"/>
      <c r="AS757" s="81"/>
      <c r="AT757" s="76"/>
      <c r="AU757" s="81"/>
      <c r="AV757" s="77"/>
      <c r="AW757" s="81"/>
      <c r="AX757" s="77"/>
      <c r="AY757" s="81"/>
      <c r="AZ757" s="77"/>
      <c r="BA757" s="81"/>
      <c r="BB757" s="77"/>
      <c r="BC757" s="81"/>
      <c r="BD757" s="77"/>
      <c r="BE757" s="81"/>
      <c r="BF757" s="77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77"/>
      <c r="BU757" s="77"/>
      <c r="BV757" s="77"/>
      <c r="BW757" s="77"/>
      <c r="BX757" s="77"/>
      <c r="BY757" s="77"/>
      <c r="BZ757" s="77"/>
      <c r="CA757" s="77"/>
      <c r="CB757" s="77"/>
      <c r="CC757" s="77"/>
      <c r="CD757" s="77"/>
      <c r="CE757" s="77"/>
      <c r="CF757" s="77"/>
      <c r="CG757" s="77"/>
      <c r="CH757" s="77"/>
      <c r="CI757" s="77"/>
      <c r="CJ757" s="77"/>
      <c r="CK757" s="77"/>
      <c r="CL757" s="77"/>
      <c r="CM757" s="77"/>
      <c r="CN757" s="77"/>
      <c r="CO757" s="77"/>
      <c r="CP757" s="77"/>
      <c r="CQ757" s="77"/>
      <c r="CR757" s="77"/>
      <c r="CS757" s="77"/>
      <c r="CT757" s="77"/>
      <c r="CU757" s="77"/>
      <c r="CV757" s="77"/>
      <c r="CW757" s="77"/>
    </row>
    <row r="758" spans="1:101" ht="16.5" x14ac:dyDescent="0.45">
      <c r="A758" s="76"/>
      <c r="B758" s="77"/>
      <c r="C758" s="77"/>
      <c r="D758" s="78"/>
      <c r="E758" s="80"/>
      <c r="F758" s="80"/>
      <c r="G758" s="81"/>
      <c r="H758" s="81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82"/>
      <c r="Z758" s="82"/>
      <c r="AA758" s="82"/>
      <c r="AB758" s="80"/>
      <c r="AC758" s="77"/>
      <c r="AD758" s="77"/>
      <c r="AE758" s="77"/>
      <c r="AF758" s="77"/>
      <c r="AG758" s="77"/>
      <c r="AH758" s="77"/>
      <c r="AI758" s="92"/>
      <c r="AJ758" s="77"/>
      <c r="AK758" s="77"/>
      <c r="AL758" s="77"/>
      <c r="AM758" s="77"/>
      <c r="AN758" s="77"/>
      <c r="AO758" s="77"/>
      <c r="AP758" s="76"/>
      <c r="AQ758" s="81"/>
      <c r="AR758" s="76"/>
      <c r="AS758" s="81"/>
      <c r="AT758" s="76"/>
      <c r="AU758" s="81"/>
      <c r="AV758" s="77"/>
      <c r="AW758" s="81"/>
      <c r="AX758" s="77"/>
      <c r="AY758" s="81"/>
      <c r="AZ758" s="77"/>
      <c r="BA758" s="81"/>
      <c r="BB758" s="77"/>
      <c r="BC758" s="81"/>
      <c r="BD758" s="77"/>
      <c r="BE758" s="81"/>
      <c r="BF758" s="77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77"/>
      <c r="BU758" s="77"/>
      <c r="BV758" s="77"/>
      <c r="BW758" s="77"/>
      <c r="BX758" s="77"/>
      <c r="BY758" s="77"/>
      <c r="BZ758" s="77"/>
      <c r="CA758" s="77"/>
      <c r="CB758" s="77"/>
      <c r="CC758" s="77"/>
      <c r="CD758" s="77"/>
      <c r="CE758" s="77"/>
      <c r="CF758" s="77"/>
      <c r="CG758" s="77"/>
      <c r="CH758" s="77"/>
      <c r="CI758" s="77"/>
      <c r="CJ758" s="77"/>
      <c r="CK758" s="77"/>
      <c r="CL758" s="77"/>
      <c r="CM758" s="77"/>
      <c r="CN758" s="77"/>
      <c r="CO758" s="77"/>
      <c r="CP758" s="77"/>
      <c r="CQ758" s="77"/>
      <c r="CR758" s="77"/>
      <c r="CS758" s="77"/>
      <c r="CT758" s="77"/>
      <c r="CU758" s="77"/>
      <c r="CV758" s="77"/>
      <c r="CW758" s="77"/>
    </row>
    <row r="759" spans="1:101" ht="16.5" x14ac:dyDescent="0.45">
      <c r="A759" s="76"/>
      <c r="B759" s="77"/>
      <c r="C759" s="77"/>
      <c r="D759" s="78"/>
      <c r="E759" s="80"/>
      <c r="F759" s="80"/>
      <c r="G759" s="81"/>
      <c r="H759" s="81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82"/>
      <c r="Z759" s="82"/>
      <c r="AA759" s="82"/>
      <c r="AB759" s="80"/>
      <c r="AC759" s="77"/>
      <c r="AD759" s="77"/>
      <c r="AE759" s="77"/>
      <c r="AF759" s="77"/>
      <c r="AG759" s="77"/>
      <c r="AH759" s="77"/>
      <c r="AI759" s="92"/>
      <c r="AJ759" s="77"/>
      <c r="AK759" s="77"/>
      <c r="AL759" s="77"/>
      <c r="AM759" s="77"/>
      <c r="AN759" s="77"/>
      <c r="AO759" s="77"/>
      <c r="AP759" s="76"/>
      <c r="AQ759" s="81"/>
      <c r="AR759" s="76"/>
      <c r="AS759" s="81"/>
      <c r="AT759" s="76"/>
      <c r="AU759" s="81"/>
      <c r="AV759" s="77"/>
      <c r="AW759" s="81"/>
      <c r="AX759" s="77"/>
      <c r="AY759" s="81"/>
      <c r="AZ759" s="77"/>
      <c r="BA759" s="81"/>
      <c r="BB759" s="77"/>
      <c r="BC759" s="81"/>
      <c r="BD759" s="77"/>
      <c r="BE759" s="81"/>
      <c r="BF759" s="77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77"/>
      <c r="BU759" s="77"/>
      <c r="BV759" s="77"/>
      <c r="BW759" s="77"/>
      <c r="BX759" s="77"/>
      <c r="BY759" s="77"/>
      <c r="BZ759" s="77"/>
      <c r="CA759" s="77"/>
      <c r="CB759" s="77"/>
      <c r="CC759" s="77"/>
      <c r="CD759" s="77"/>
      <c r="CE759" s="77"/>
      <c r="CF759" s="77"/>
      <c r="CG759" s="77"/>
      <c r="CH759" s="77"/>
      <c r="CI759" s="77"/>
      <c r="CJ759" s="77"/>
      <c r="CK759" s="77"/>
      <c r="CL759" s="77"/>
      <c r="CM759" s="77"/>
      <c r="CN759" s="77"/>
      <c r="CO759" s="77"/>
      <c r="CP759" s="77"/>
      <c r="CQ759" s="77"/>
      <c r="CR759" s="77"/>
      <c r="CS759" s="77"/>
      <c r="CT759" s="77"/>
      <c r="CU759" s="77"/>
      <c r="CV759" s="77"/>
      <c r="CW759" s="77"/>
    </row>
    <row r="760" spans="1:101" ht="16.5" x14ac:dyDescent="0.45">
      <c r="A760" s="76"/>
      <c r="B760" s="77"/>
      <c r="C760" s="77"/>
      <c r="D760" s="78"/>
      <c r="E760" s="80"/>
      <c r="F760" s="80"/>
      <c r="G760" s="81"/>
      <c r="H760" s="81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82"/>
      <c r="Z760" s="82"/>
      <c r="AA760" s="82"/>
      <c r="AB760" s="80"/>
      <c r="AC760" s="77"/>
      <c r="AD760" s="77"/>
      <c r="AE760" s="77"/>
      <c r="AF760" s="77"/>
      <c r="AG760" s="77"/>
      <c r="AH760" s="77"/>
      <c r="AI760" s="92"/>
      <c r="AJ760" s="77"/>
      <c r="AK760" s="77"/>
      <c r="AL760" s="77"/>
      <c r="AM760" s="77"/>
      <c r="AN760" s="77"/>
      <c r="AO760" s="77"/>
      <c r="AP760" s="76"/>
      <c r="AQ760" s="81"/>
      <c r="AR760" s="76"/>
      <c r="AS760" s="81"/>
      <c r="AT760" s="76"/>
      <c r="AU760" s="81"/>
      <c r="AV760" s="77"/>
      <c r="AW760" s="81"/>
      <c r="AX760" s="77"/>
      <c r="AY760" s="81"/>
      <c r="AZ760" s="77"/>
      <c r="BA760" s="81"/>
      <c r="BB760" s="77"/>
      <c r="BC760" s="81"/>
      <c r="BD760" s="77"/>
      <c r="BE760" s="81"/>
      <c r="BF760" s="77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77"/>
      <c r="BU760" s="77"/>
      <c r="BV760" s="77"/>
      <c r="BW760" s="77"/>
      <c r="BX760" s="77"/>
      <c r="BY760" s="77"/>
      <c r="BZ760" s="77"/>
      <c r="CA760" s="77"/>
      <c r="CB760" s="77"/>
      <c r="CC760" s="77"/>
      <c r="CD760" s="77"/>
      <c r="CE760" s="77"/>
      <c r="CF760" s="77"/>
      <c r="CG760" s="77"/>
      <c r="CH760" s="77"/>
      <c r="CI760" s="77"/>
      <c r="CJ760" s="77"/>
      <c r="CK760" s="77"/>
      <c r="CL760" s="77"/>
      <c r="CM760" s="77"/>
      <c r="CN760" s="77"/>
      <c r="CO760" s="77"/>
      <c r="CP760" s="77"/>
      <c r="CQ760" s="77"/>
      <c r="CR760" s="77"/>
      <c r="CS760" s="77"/>
      <c r="CT760" s="77"/>
      <c r="CU760" s="77"/>
      <c r="CV760" s="77"/>
      <c r="CW760" s="77"/>
    </row>
    <row r="761" spans="1:101" ht="16.5" x14ac:dyDescent="0.45">
      <c r="A761" s="76"/>
      <c r="B761" s="77"/>
      <c r="C761" s="77"/>
      <c r="D761" s="78"/>
      <c r="E761" s="80"/>
      <c r="F761" s="80"/>
      <c r="G761" s="81"/>
      <c r="H761" s="81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82"/>
      <c r="Z761" s="82"/>
      <c r="AA761" s="82"/>
      <c r="AB761" s="80"/>
      <c r="AC761" s="77"/>
      <c r="AD761" s="77"/>
      <c r="AE761" s="77"/>
      <c r="AF761" s="77"/>
      <c r="AG761" s="77"/>
      <c r="AH761" s="77"/>
      <c r="AI761" s="92"/>
      <c r="AJ761" s="77"/>
      <c r="AK761" s="77"/>
      <c r="AL761" s="77"/>
      <c r="AM761" s="77"/>
      <c r="AN761" s="77"/>
      <c r="AO761" s="77"/>
      <c r="AP761" s="76"/>
      <c r="AQ761" s="81"/>
      <c r="AR761" s="76"/>
      <c r="AS761" s="81"/>
      <c r="AT761" s="76"/>
      <c r="AU761" s="81"/>
      <c r="AV761" s="77"/>
      <c r="AW761" s="81"/>
      <c r="AX761" s="77"/>
      <c r="AY761" s="81"/>
      <c r="AZ761" s="77"/>
      <c r="BA761" s="81"/>
      <c r="BB761" s="77"/>
      <c r="BC761" s="81"/>
      <c r="BD761" s="77"/>
      <c r="BE761" s="81"/>
      <c r="BF761" s="77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77"/>
      <c r="BU761" s="77"/>
      <c r="BV761" s="77"/>
      <c r="BW761" s="77"/>
      <c r="BX761" s="77"/>
      <c r="BY761" s="77"/>
      <c r="BZ761" s="77"/>
      <c r="CA761" s="77"/>
      <c r="CB761" s="77"/>
      <c r="CC761" s="77"/>
      <c r="CD761" s="77"/>
      <c r="CE761" s="77"/>
      <c r="CF761" s="77"/>
      <c r="CG761" s="77"/>
      <c r="CH761" s="77"/>
      <c r="CI761" s="77"/>
      <c r="CJ761" s="77"/>
      <c r="CK761" s="77"/>
      <c r="CL761" s="77"/>
      <c r="CM761" s="77"/>
      <c r="CN761" s="77"/>
      <c r="CO761" s="77"/>
      <c r="CP761" s="77"/>
      <c r="CQ761" s="77"/>
      <c r="CR761" s="77"/>
      <c r="CS761" s="77"/>
      <c r="CT761" s="77"/>
      <c r="CU761" s="77"/>
      <c r="CV761" s="77"/>
      <c r="CW761" s="77"/>
    </row>
    <row r="762" spans="1:101" ht="16.5" x14ac:dyDescent="0.45">
      <c r="A762" s="76"/>
      <c r="B762" s="77"/>
      <c r="C762" s="77"/>
      <c r="D762" s="78"/>
      <c r="E762" s="80"/>
      <c r="F762" s="80"/>
      <c r="G762" s="81"/>
      <c r="H762" s="81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82"/>
      <c r="Z762" s="82"/>
      <c r="AA762" s="82"/>
      <c r="AB762" s="80"/>
      <c r="AC762" s="77"/>
      <c r="AD762" s="77"/>
      <c r="AE762" s="77"/>
      <c r="AF762" s="77"/>
      <c r="AG762" s="77"/>
      <c r="AH762" s="77"/>
      <c r="AI762" s="92"/>
      <c r="AJ762" s="77"/>
      <c r="AK762" s="77"/>
      <c r="AL762" s="77"/>
      <c r="AM762" s="77"/>
      <c r="AN762" s="77"/>
      <c r="AO762" s="77"/>
      <c r="AP762" s="76"/>
      <c r="AQ762" s="81"/>
      <c r="AR762" s="76"/>
      <c r="AS762" s="81"/>
      <c r="AT762" s="76"/>
      <c r="AU762" s="81"/>
      <c r="AV762" s="77"/>
      <c r="AW762" s="81"/>
      <c r="AX762" s="77"/>
      <c r="AY762" s="81"/>
      <c r="AZ762" s="77"/>
      <c r="BA762" s="81"/>
      <c r="BB762" s="77"/>
      <c r="BC762" s="81"/>
      <c r="BD762" s="77"/>
      <c r="BE762" s="81"/>
      <c r="BF762" s="77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77"/>
      <c r="BU762" s="77"/>
      <c r="BV762" s="77"/>
      <c r="BW762" s="77"/>
      <c r="BX762" s="77"/>
      <c r="BY762" s="77"/>
      <c r="BZ762" s="77"/>
      <c r="CA762" s="77"/>
      <c r="CB762" s="77"/>
      <c r="CC762" s="77"/>
      <c r="CD762" s="77"/>
      <c r="CE762" s="77"/>
      <c r="CF762" s="77"/>
      <c r="CG762" s="77"/>
      <c r="CH762" s="77"/>
      <c r="CI762" s="77"/>
      <c r="CJ762" s="77"/>
      <c r="CK762" s="77"/>
      <c r="CL762" s="77"/>
      <c r="CM762" s="77"/>
      <c r="CN762" s="77"/>
      <c r="CO762" s="77"/>
      <c r="CP762" s="77"/>
      <c r="CQ762" s="77"/>
      <c r="CR762" s="77"/>
      <c r="CS762" s="77"/>
      <c r="CT762" s="77"/>
      <c r="CU762" s="77"/>
      <c r="CV762" s="77"/>
      <c r="CW762" s="77"/>
    </row>
    <row r="763" spans="1:101" ht="16.5" x14ac:dyDescent="0.45">
      <c r="A763" s="76"/>
      <c r="B763" s="77"/>
      <c r="C763" s="77"/>
      <c r="D763" s="78"/>
      <c r="E763" s="80"/>
      <c r="F763" s="80"/>
      <c r="G763" s="81"/>
      <c r="H763" s="81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82"/>
      <c r="Z763" s="82"/>
      <c r="AA763" s="82"/>
      <c r="AB763" s="80"/>
      <c r="AC763" s="77"/>
      <c r="AD763" s="77"/>
      <c r="AE763" s="77"/>
      <c r="AF763" s="77"/>
      <c r="AG763" s="77"/>
      <c r="AH763" s="77"/>
      <c r="AI763" s="92"/>
      <c r="AJ763" s="77"/>
      <c r="AK763" s="77"/>
      <c r="AL763" s="77"/>
      <c r="AM763" s="77"/>
      <c r="AN763" s="77"/>
      <c r="AO763" s="77"/>
      <c r="AP763" s="76"/>
      <c r="AQ763" s="81"/>
      <c r="AR763" s="76"/>
      <c r="AS763" s="81"/>
      <c r="AT763" s="76"/>
      <c r="AU763" s="81"/>
      <c r="AV763" s="77"/>
      <c r="AW763" s="81"/>
      <c r="AX763" s="77"/>
      <c r="AY763" s="81"/>
      <c r="AZ763" s="77"/>
      <c r="BA763" s="81"/>
      <c r="BB763" s="77"/>
      <c r="BC763" s="81"/>
      <c r="BD763" s="77"/>
      <c r="BE763" s="81"/>
      <c r="BF763" s="77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77"/>
      <c r="BU763" s="77"/>
      <c r="BV763" s="77"/>
      <c r="BW763" s="77"/>
      <c r="BX763" s="77"/>
      <c r="BY763" s="77"/>
      <c r="BZ763" s="77"/>
      <c r="CA763" s="77"/>
      <c r="CB763" s="77"/>
      <c r="CC763" s="77"/>
      <c r="CD763" s="77"/>
      <c r="CE763" s="77"/>
      <c r="CF763" s="77"/>
      <c r="CG763" s="77"/>
      <c r="CH763" s="77"/>
      <c r="CI763" s="77"/>
      <c r="CJ763" s="77"/>
      <c r="CK763" s="77"/>
      <c r="CL763" s="77"/>
      <c r="CM763" s="77"/>
      <c r="CN763" s="77"/>
      <c r="CO763" s="77"/>
      <c r="CP763" s="77"/>
      <c r="CQ763" s="77"/>
      <c r="CR763" s="77"/>
      <c r="CS763" s="77"/>
      <c r="CT763" s="77"/>
      <c r="CU763" s="77"/>
      <c r="CV763" s="77"/>
      <c r="CW763" s="77"/>
    </row>
    <row r="764" spans="1:101" ht="16.5" x14ac:dyDescent="0.45">
      <c r="A764" s="76"/>
      <c r="B764" s="77"/>
      <c r="C764" s="77"/>
      <c r="D764" s="78"/>
      <c r="E764" s="80"/>
      <c r="F764" s="80"/>
      <c r="G764" s="81"/>
      <c r="H764" s="81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82"/>
      <c r="Z764" s="82"/>
      <c r="AA764" s="82"/>
      <c r="AB764" s="80"/>
      <c r="AC764" s="77"/>
      <c r="AD764" s="77"/>
      <c r="AE764" s="77"/>
      <c r="AF764" s="77"/>
      <c r="AG764" s="77"/>
      <c r="AH764" s="77"/>
      <c r="AI764" s="92"/>
      <c r="AJ764" s="77"/>
      <c r="AK764" s="77"/>
      <c r="AL764" s="77"/>
      <c r="AM764" s="77"/>
      <c r="AN764" s="77"/>
      <c r="AO764" s="77"/>
      <c r="AP764" s="76"/>
      <c r="AQ764" s="81"/>
      <c r="AR764" s="76"/>
      <c r="AS764" s="81"/>
      <c r="AT764" s="76"/>
      <c r="AU764" s="81"/>
      <c r="AV764" s="77"/>
      <c r="AW764" s="81"/>
      <c r="AX764" s="77"/>
      <c r="AY764" s="81"/>
      <c r="AZ764" s="77"/>
      <c r="BA764" s="81"/>
      <c r="BB764" s="77"/>
      <c r="BC764" s="81"/>
      <c r="BD764" s="77"/>
      <c r="BE764" s="81"/>
      <c r="BF764" s="77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77"/>
      <c r="BU764" s="77"/>
      <c r="BV764" s="77"/>
      <c r="BW764" s="77"/>
      <c r="BX764" s="77"/>
      <c r="BY764" s="77"/>
      <c r="BZ764" s="77"/>
      <c r="CA764" s="77"/>
      <c r="CB764" s="77"/>
      <c r="CC764" s="77"/>
      <c r="CD764" s="77"/>
      <c r="CE764" s="77"/>
      <c r="CF764" s="77"/>
      <c r="CG764" s="77"/>
      <c r="CH764" s="77"/>
      <c r="CI764" s="77"/>
      <c r="CJ764" s="77"/>
      <c r="CK764" s="77"/>
      <c r="CL764" s="77"/>
      <c r="CM764" s="77"/>
      <c r="CN764" s="77"/>
      <c r="CO764" s="77"/>
      <c r="CP764" s="77"/>
      <c r="CQ764" s="77"/>
      <c r="CR764" s="77"/>
      <c r="CS764" s="77"/>
      <c r="CT764" s="77"/>
      <c r="CU764" s="77"/>
      <c r="CV764" s="77"/>
      <c r="CW764" s="77"/>
    </row>
    <row r="765" spans="1:101" ht="16.5" x14ac:dyDescent="0.45">
      <c r="A765" s="76"/>
      <c r="B765" s="77"/>
      <c r="C765" s="77"/>
      <c r="D765" s="78"/>
      <c r="E765" s="80"/>
      <c r="F765" s="80"/>
      <c r="G765" s="81"/>
      <c r="H765" s="81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82"/>
      <c r="Z765" s="82"/>
      <c r="AA765" s="82"/>
      <c r="AB765" s="80"/>
      <c r="AC765" s="77"/>
      <c r="AD765" s="77"/>
      <c r="AE765" s="77"/>
      <c r="AF765" s="77"/>
      <c r="AG765" s="77"/>
      <c r="AH765" s="77"/>
      <c r="AI765" s="92"/>
      <c r="AJ765" s="77"/>
      <c r="AK765" s="77"/>
      <c r="AL765" s="77"/>
      <c r="AM765" s="77"/>
      <c r="AN765" s="77"/>
      <c r="AO765" s="77"/>
      <c r="AP765" s="76"/>
      <c r="AQ765" s="81"/>
      <c r="AR765" s="76"/>
      <c r="AS765" s="81"/>
      <c r="AT765" s="76"/>
      <c r="AU765" s="81"/>
      <c r="AV765" s="77"/>
      <c r="AW765" s="81"/>
      <c r="AX765" s="77"/>
      <c r="AY765" s="81"/>
      <c r="AZ765" s="77"/>
      <c r="BA765" s="81"/>
      <c r="BB765" s="77"/>
      <c r="BC765" s="81"/>
      <c r="BD765" s="77"/>
      <c r="BE765" s="81"/>
      <c r="BF765" s="77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77"/>
      <c r="BU765" s="77"/>
      <c r="BV765" s="77"/>
      <c r="BW765" s="77"/>
      <c r="BX765" s="77"/>
      <c r="BY765" s="77"/>
      <c r="BZ765" s="77"/>
      <c r="CA765" s="77"/>
      <c r="CB765" s="77"/>
      <c r="CC765" s="77"/>
      <c r="CD765" s="77"/>
      <c r="CE765" s="77"/>
      <c r="CF765" s="77"/>
      <c r="CG765" s="77"/>
      <c r="CH765" s="77"/>
      <c r="CI765" s="77"/>
      <c r="CJ765" s="77"/>
      <c r="CK765" s="77"/>
      <c r="CL765" s="77"/>
      <c r="CM765" s="77"/>
      <c r="CN765" s="77"/>
      <c r="CO765" s="77"/>
      <c r="CP765" s="77"/>
      <c r="CQ765" s="77"/>
      <c r="CR765" s="77"/>
      <c r="CS765" s="77"/>
      <c r="CT765" s="77"/>
      <c r="CU765" s="77"/>
      <c r="CV765" s="77"/>
      <c r="CW765" s="77"/>
    </row>
    <row r="766" spans="1:101" ht="16.5" x14ac:dyDescent="0.45">
      <c r="A766" s="76"/>
      <c r="B766" s="77"/>
      <c r="C766" s="77"/>
      <c r="D766" s="78"/>
      <c r="E766" s="80"/>
      <c r="F766" s="80"/>
      <c r="G766" s="81"/>
      <c r="H766" s="81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82"/>
      <c r="Z766" s="82"/>
      <c r="AA766" s="82"/>
      <c r="AB766" s="80"/>
      <c r="AC766" s="77"/>
      <c r="AD766" s="77"/>
      <c r="AE766" s="77"/>
      <c r="AF766" s="77"/>
      <c r="AG766" s="77"/>
      <c r="AH766" s="77"/>
      <c r="AI766" s="92"/>
      <c r="AJ766" s="77"/>
      <c r="AK766" s="77"/>
      <c r="AL766" s="77"/>
      <c r="AM766" s="77"/>
      <c r="AN766" s="77"/>
      <c r="AO766" s="77"/>
      <c r="AP766" s="76"/>
      <c r="AQ766" s="81"/>
      <c r="AR766" s="76"/>
      <c r="AS766" s="81"/>
      <c r="AT766" s="76"/>
      <c r="AU766" s="81"/>
      <c r="AV766" s="77"/>
      <c r="AW766" s="81"/>
      <c r="AX766" s="77"/>
      <c r="AY766" s="81"/>
      <c r="AZ766" s="77"/>
      <c r="BA766" s="81"/>
      <c r="BB766" s="77"/>
      <c r="BC766" s="81"/>
      <c r="BD766" s="77"/>
      <c r="BE766" s="81"/>
      <c r="BF766" s="77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77"/>
      <c r="BU766" s="77"/>
      <c r="BV766" s="77"/>
      <c r="BW766" s="77"/>
      <c r="BX766" s="77"/>
      <c r="BY766" s="77"/>
      <c r="BZ766" s="77"/>
      <c r="CA766" s="77"/>
      <c r="CB766" s="77"/>
      <c r="CC766" s="77"/>
      <c r="CD766" s="77"/>
      <c r="CE766" s="77"/>
      <c r="CF766" s="77"/>
      <c r="CG766" s="77"/>
      <c r="CH766" s="77"/>
      <c r="CI766" s="77"/>
      <c r="CJ766" s="77"/>
      <c r="CK766" s="77"/>
      <c r="CL766" s="77"/>
      <c r="CM766" s="77"/>
      <c r="CN766" s="77"/>
      <c r="CO766" s="77"/>
      <c r="CP766" s="77"/>
      <c r="CQ766" s="77"/>
      <c r="CR766" s="77"/>
      <c r="CS766" s="77"/>
      <c r="CT766" s="77"/>
      <c r="CU766" s="77"/>
      <c r="CV766" s="77"/>
      <c r="CW766" s="77"/>
    </row>
    <row r="767" spans="1:101" ht="16.5" x14ac:dyDescent="0.45">
      <c r="A767" s="76"/>
      <c r="B767" s="77"/>
      <c r="C767" s="77"/>
      <c r="D767" s="78"/>
      <c r="E767" s="80"/>
      <c r="F767" s="80"/>
      <c r="G767" s="81"/>
      <c r="H767" s="81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82"/>
      <c r="Z767" s="82"/>
      <c r="AA767" s="82"/>
      <c r="AB767" s="80"/>
      <c r="AC767" s="77"/>
      <c r="AD767" s="77"/>
      <c r="AE767" s="77"/>
      <c r="AF767" s="77"/>
      <c r="AG767" s="77"/>
      <c r="AH767" s="77"/>
      <c r="AI767" s="92"/>
      <c r="AJ767" s="77"/>
      <c r="AK767" s="77"/>
      <c r="AL767" s="77"/>
      <c r="AM767" s="77"/>
      <c r="AN767" s="77"/>
      <c r="AO767" s="77"/>
      <c r="AP767" s="76"/>
      <c r="AQ767" s="81"/>
      <c r="AR767" s="76"/>
      <c r="AS767" s="81"/>
      <c r="AT767" s="76"/>
      <c r="AU767" s="81"/>
      <c r="AV767" s="77"/>
      <c r="AW767" s="81"/>
      <c r="AX767" s="77"/>
      <c r="AY767" s="81"/>
      <c r="AZ767" s="77"/>
      <c r="BA767" s="81"/>
      <c r="BB767" s="77"/>
      <c r="BC767" s="81"/>
      <c r="BD767" s="77"/>
      <c r="BE767" s="81"/>
      <c r="BF767" s="77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77"/>
      <c r="BU767" s="77"/>
      <c r="BV767" s="77"/>
      <c r="BW767" s="77"/>
      <c r="BX767" s="77"/>
      <c r="BY767" s="77"/>
      <c r="BZ767" s="77"/>
      <c r="CA767" s="77"/>
      <c r="CB767" s="77"/>
      <c r="CC767" s="77"/>
      <c r="CD767" s="77"/>
      <c r="CE767" s="77"/>
      <c r="CF767" s="77"/>
      <c r="CG767" s="77"/>
      <c r="CH767" s="77"/>
      <c r="CI767" s="77"/>
      <c r="CJ767" s="77"/>
      <c r="CK767" s="77"/>
      <c r="CL767" s="77"/>
      <c r="CM767" s="77"/>
      <c r="CN767" s="77"/>
      <c r="CO767" s="77"/>
      <c r="CP767" s="77"/>
      <c r="CQ767" s="77"/>
      <c r="CR767" s="77"/>
      <c r="CS767" s="77"/>
      <c r="CT767" s="77"/>
      <c r="CU767" s="77"/>
      <c r="CV767" s="77"/>
      <c r="CW767" s="77"/>
    </row>
    <row r="768" spans="1:101" ht="16.5" x14ac:dyDescent="0.45">
      <c r="A768" s="76"/>
      <c r="B768" s="77"/>
      <c r="C768" s="77"/>
      <c r="D768" s="78"/>
      <c r="E768" s="80"/>
      <c r="F768" s="80"/>
      <c r="G768" s="81"/>
      <c r="H768" s="81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82"/>
      <c r="Z768" s="82"/>
      <c r="AA768" s="82"/>
      <c r="AB768" s="80"/>
      <c r="AC768" s="77"/>
      <c r="AD768" s="77"/>
      <c r="AE768" s="77"/>
      <c r="AF768" s="77"/>
      <c r="AG768" s="77"/>
      <c r="AH768" s="77"/>
      <c r="AI768" s="92"/>
      <c r="AJ768" s="77"/>
      <c r="AK768" s="77"/>
      <c r="AL768" s="77"/>
      <c r="AM768" s="77"/>
      <c r="AN768" s="77"/>
      <c r="AO768" s="77"/>
      <c r="AP768" s="76"/>
      <c r="AQ768" s="81"/>
      <c r="AR768" s="76"/>
      <c r="AS768" s="81"/>
      <c r="AT768" s="76"/>
      <c r="AU768" s="81"/>
      <c r="AV768" s="77"/>
      <c r="AW768" s="81"/>
      <c r="AX768" s="77"/>
      <c r="AY768" s="81"/>
      <c r="AZ768" s="77"/>
      <c r="BA768" s="81"/>
      <c r="BB768" s="77"/>
      <c r="BC768" s="81"/>
      <c r="BD768" s="77"/>
      <c r="BE768" s="81"/>
      <c r="BF768" s="77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77"/>
      <c r="BU768" s="77"/>
      <c r="BV768" s="77"/>
      <c r="BW768" s="77"/>
      <c r="BX768" s="77"/>
      <c r="BY768" s="77"/>
      <c r="BZ768" s="77"/>
      <c r="CA768" s="77"/>
      <c r="CB768" s="77"/>
      <c r="CC768" s="77"/>
      <c r="CD768" s="77"/>
      <c r="CE768" s="77"/>
      <c r="CF768" s="77"/>
      <c r="CG768" s="77"/>
      <c r="CH768" s="77"/>
      <c r="CI768" s="77"/>
      <c r="CJ768" s="77"/>
      <c r="CK768" s="77"/>
      <c r="CL768" s="77"/>
      <c r="CM768" s="77"/>
      <c r="CN768" s="77"/>
      <c r="CO768" s="77"/>
      <c r="CP768" s="77"/>
      <c r="CQ768" s="77"/>
      <c r="CR768" s="77"/>
      <c r="CS768" s="77"/>
      <c r="CT768" s="77"/>
      <c r="CU768" s="77"/>
      <c r="CV768" s="77"/>
      <c r="CW768" s="77"/>
    </row>
    <row r="769" spans="1:101" ht="16.5" x14ac:dyDescent="0.45">
      <c r="A769" s="76"/>
      <c r="B769" s="77"/>
      <c r="C769" s="77"/>
      <c r="D769" s="78"/>
      <c r="E769" s="80"/>
      <c r="F769" s="80"/>
      <c r="G769" s="81"/>
      <c r="H769" s="81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82"/>
      <c r="Z769" s="82"/>
      <c r="AA769" s="82"/>
      <c r="AB769" s="80"/>
      <c r="AC769" s="77"/>
      <c r="AD769" s="77"/>
      <c r="AE769" s="77"/>
      <c r="AF769" s="77"/>
      <c r="AG769" s="77"/>
      <c r="AH769" s="77"/>
      <c r="AI769" s="92"/>
      <c r="AJ769" s="77"/>
      <c r="AK769" s="77"/>
      <c r="AL769" s="77"/>
      <c r="AM769" s="77"/>
      <c r="AN769" s="77"/>
      <c r="AO769" s="77"/>
      <c r="AP769" s="76"/>
      <c r="AQ769" s="81"/>
      <c r="AR769" s="76"/>
      <c r="AS769" s="81"/>
      <c r="AT769" s="76"/>
      <c r="AU769" s="81"/>
      <c r="AV769" s="77"/>
      <c r="AW769" s="81"/>
      <c r="AX769" s="77"/>
      <c r="AY769" s="81"/>
      <c r="AZ769" s="77"/>
      <c r="BA769" s="81"/>
      <c r="BB769" s="77"/>
      <c r="BC769" s="81"/>
      <c r="BD769" s="77"/>
      <c r="BE769" s="81"/>
      <c r="BF769" s="77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77"/>
      <c r="BU769" s="77"/>
      <c r="BV769" s="77"/>
      <c r="BW769" s="77"/>
      <c r="BX769" s="77"/>
      <c r="BY769" s="77"/>
      <c r="BZ769" s="77"/>
      <c r="CA769" s="77"/>
      <c r="CB769" s="77"/>
      <c r="CC769" s="77"/>
      <c r="CD769" s="77"/>
      <c r="CE769" s="77"/>
      <c r="CF769" s="77"/>
      <c r="CG769" s="77"/>
      <c r="CH769" s="77"/>
      <c r="CI769" s="77"/>
      <c r="CJ769" s="77"/>
      <c r="CK769" s="77"/>
      <c r="CL769" s="77"/>
      <c r="CM769" s="77"/>
      <c r="CN769" s="77"/>
      <c r="CO769" s="77"/>
      <c r="CP769" s="77"/>
      <c r="CQ769" s="77"/>
      <c r="CR769" s="77"/>
      <c r="CS769" s="77"/>
      <c r="CT769" s="77"/>
      <c r="CU769" s="77"/>
      <c r="CV769" s="77"/>
      <c r="CW769" s="77"/>
    </row>
    <row r="770" spans="1:101" ht="16.5" x14ac:dyDescent="0.45">
      <c r="A770" s="76"/>
      <c r="B770" s="77"/>
      <c r="C770" s="77"/>
      <c r="D770" s="78"/>
      <c r="E770" s="80"/>
      <c r="F770" s="80"/>
      <c r="G770" s="81"/>
      <c r="H770" s="81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82"/>
      <c r="Z770" s="82"/>
      <c r="AA770" s="82"/>
      <c r="AB770" s="80"/>
      <c r="AC770" s="77"/>
      <c r="AD770" s="77"/>
      <c r="AE770" s="77"/>
      <c r="AF770" s="77"/>
      <c r="AG770" s="77"/>
      <c r="AH770" s="77"/>
      <c r="AI770" s="92"/>
      <c r="AJ770" s="77"/>
      <c r="AK770" s="77"/>
      <c r="AL770" s="77"/>
      <c r="AM770" s="77"/>
      <c r="AN770" s="77"/>
      <c r="AO770" s="77"/>
      <c r="AP770" s="76"/>
      <c r="AQ770" s="81"/>
      <c r="AR770" s="76"/>
      <c r="AS770" s="81"/>
      <c r="AT770" s="76"/>
      <c r="AU770" s="81"/>
      <c r="AV770" s="77"/>
      <c r="AW770" s="81"/>
      <c r="AX770" s="77"/>
      <c r="AY770" s="81"/>
      <c r="AZ770" s="77"/>
      <c r="BA770" s="81"/>
      <c r="BB770" s="77"/>
      <c r="BC770" s="81"/>
      <c r="BD770" s="77"/>
      <c r="BE770" s="81"/>
      <c r="BF770" s="77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77"/>
      <c r="BU770" s="77"/>
      <c r="BV770" s="77"/>
      <c r="BW770" s="77"/>
      <c r="BX770" s="77"/>
      <c r="BY770" s="77"/>
      <c r="BZ770" s="77"/>
      <c r="CA770" s="77"/>
      <c r="CB770" s="77"/>
      <c r="CC770" s="77"/>
      <c r="CD770" s="77"/>
      <c r="CE770" s="77"/>
      <c r="CF770" s="77"/>
      <c r="CG770" s="77"/>
      <c r="CH770" s="77"/>
      <c r="CI770" s="77"/>
      <c r="CJ770" s="77"/>
      <c r="CK770" s="77"/>
      <c r="CL770" s="77"/>
      <c r="CM770" s="77"/>
      <c r="CN770" s="77"/>
      <c r="CO770" s="77"/>
      <c r="CP770" s="77"/>
      <c r="CQ770" s="77"/>
      <c r="CR770" s="77"/>
      <c r="CS770" s="77"/>
      <c r="CT770" s="77"/>
      <c r="CU770" s="77"/>
      <c r="CV770" s="77"/>
      <c r="CW770" s="77"/>
    </row>
    <row r="771" spans="1:101" ht="16.5" x14ac:dyDescent="0.45">
      <c r="A771" s="76"/>
      <c r="B771" s="77"/>
      <c r="C771" s="77"/>
      <c r="D771" s="78"/>
      <c r="E771" s="80"/>
      <c r="F771" s="80"/>
      <c r="G771" s="81"/>
      <c r="H771" s="81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82"/>
      <c r="Z771" s="82"/>
      <c r="AA771" s="82"/>
      <c r="AB771" s="80"/>
      <c r="AC771" s="77"/>
      <c r="AD771" s="77"/>
      <c r="AE771" s="77"/>
      <c r="AF771" s="77"/>
      <c r="AG771" s="77"/>
      <c r="AH771" s="77"/>
      <c r="AI771" s="92"/>
      <c r="AJ771" s="77"/>
      <c r="AK771" s="77"/>
      <c r="AL771" s="77"/>
      <c r="AM771" s="77"/>
      <c r="AN771" s="77"/>
      <c r="AO771" s="77"/>
      <c r="AP771" s="76"/>
      <c r="AQ771" s="81"/>
      <c r="AR771" s="76"/>
      <c r="AS771" s="81"/>
      <c r="AT771" s="76"/>
      <c r="AU771" s="81"/>
      <c r="AV771" s="77"/>
      <c r="AW771" s="81"/>
      <c r="AX771" s="77"/>
      <c r="AY771" s="81"/>
      <c r="AZ771" s="77"/>
      <c r="BA771" s="81"/>
      <c r="BB771" s="77"/>
      <c r="BC771" s="81"/>
      <c r="BD771" s="77"/>
      <c r="BE771" s="81"/>
      <c r="BF771" s="77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77"/>
      <c r="BU771" s="77"/>
      <c r="BV771" s="77"/>
      <c r="BW771" s="77"/>
      <c r="BX771" s="77"/>
      <c r="BY771" s="77"/>
      <c r="BZ771" s="77"/>
      <c r="CA771" s="77"/>
      <c r="CB771" s="77"/>
      <c r="CC771" s="77"/>
      <c r="CD771" s="77"/>
      <c r="CE771" s="77"/>
      <c r="CF771" s="77"/>
      <c r="CG771" s="77"/>
      <c r="CH771" s="77"/>
      <c r="CI771" s="77"/>
      <c r="CJ771" s="77"/>
      <c r="CK771" s="77"/>
      <c r="CL771" s="77"/>
      <c r="CM771" s="77"/>
      <c r="CN771" s="77"/>
      <c r="CO771" s="77"/>
      <c r="CP771" s="77"/>
      <c r="CQ771" s="77"/>
      <c r="CR771" s="77"/>
      <c r="CS771" s="77"/>
      <c r="CT771" s="77"/>
      <c r="CU771" s="77"/>
      <c r="CV771" s="77"/>
      <c r="CW771" s="77"/>
    </row>
    <row r="772" spans="1:101" ht="16.5" x14ac:dyDescent="0.45">
      <c r="A772" s="76"/>
      <c r="B772" s="77"/>
      <c r="C772" s="77"/>
      <c r="D772" s="78"/>
      <c r="E772" s="80"/>
      <c r="F772" s="80"/>
      <c r="G772" s="81"/>
      <c r="H772" s="81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82"/>
      <c r="Z772" s="82"/>
      <c r="AA772" s="82"/>
      <c r="AB772" s="80"/>
      <c r="AC772" s="77"/>
      <c r="AD772" s="77"/>
      <c r="AE772" s="77"/>
      <c r="AF772" s="77"/>
      <c r="AG772" s="77"/>
      <c r="AH772" s="77"/>
      <c r="AI772" s="92"/>
      <c r="AJ772" s="77"/>
      <c r="AK772" s="77"/>
      <c r="AL772" s="77"/>
      <c r="AM772" s="77"/>
      <c r="AN772" s="77"/>
      <c r="AO772" s="77"/>
      <c r="AP772" s="76"/>
      <c r="AQ772" s="81"/>
      <c r="AR772" s="76"/>
      <c r="AS772" s="81"/>
      <c r="AT772" s="76"/>
      <c r="AU772" s="81"/>
      <c r="AV772" s="77"/>
      <c r="AW772" s="81"/>
      <c r="AX772" s="77"/>
      <c r="AY772" s="81"/>
      <c r="AZ772" s="77"/>
      <c r="BA772" s="81"/>
      <c r="BB772" s="77"/>
      <c r="BC772" s="81"/>
      <c r="BD772" s="77"/>
      <c r="BE772" s="81"/>
      <c r="BF772" s="77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77"/>
      <c r="BU772" s="77"/>
      <c r="BV772" s="77"/>
      <c r="BW772" s="77"/>
      <c r="BX772" s="77"/>
      <c r="BY772" s="77"/>
      <c r="BZ772" s="77"/>
      <c r="CA772" s="77"/>
      <c r="CB772" s="77"/>
      <c r="CC772" s="77"/>
      <c r="CD772" s="77"/>
      <c r="CE772" s="77"/>
      <c r="CF772" s="77"/>
      <c r="CG772" s="77"/>
      <c r="CH772" s="77"/>
      <c r="CI772" s="77"/>
      <c r="CJ772" s="77"/>
      <c r="CK772" s="77"/>
      <c r="CL772" s="77"/>
      <c r="CM772" s="77"/>
      <c r="CN772" s="77"/>
      <c r="CO772" s="77"/>
      <c r="CP772" s="77"/>
      <c r="CQ772" s="77"/>
      <c r="CR772" s="77"/>
      <c r="CS772" s="77"/>
      <c r="CT772" s="77"/>
      <c r="CU772" s="77"/>
      <c r="CV772" s="77"/>
      <c r="CW772" s="77"/>
    </row>
    <row r="773" spans="1:101" ht="16.5" x14ac:dyDescent="0.45">
      <c r="A773" s="76"/>
      <c r="B773" s="77"/>
      <c r="C773" s="77"/>
      <c r="D773" s="78"/>
      <c r="E773" s="80"/>
      <c r="F773" s="80"/>
      <c r="G773" s="81"/>
      <c r="H773" s="81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82"/>
      <c r="Z773" s="82"/>
      <c r="AA773" s="82"/>
      <c r="AB773" s="80"/>
      <c r="AC773" s="77"/>
      <c r="AD773" s="77"/>
      <c r="AE773" s="77"/>
      <c r="AF773" s="77"/>
      <c r="AG773" s="77"/>
      <c r="AH773" s="77"/>
      <c r="AI773" s="92"/>
      <c r="AJ773" s="77"/>
      <c r="AK773" s="77"/>
      <c r="AL773" s="77"/>
      <c r="AM773" s="77"/>
      <c r="AN773" s="77"/>
      <c r="AO773" s="77"/>
      <c r="AP773" s="76"/>
      <c r="AQ773" s="81"/>
      <c r="AR773" s="76"/>
      <c r="AS773" s="81"/>
      <c r="AT773" s="76"/>
      <c r="AU773" s="81"/>
      <c r="AV773" s="77"/>
      <c r="AW773" s="81"/>
      <c r="AX773" s="77"/>
      <c r="AY773" s="81"/>
      <c r="AZ773" s="77"/>
      <c r="BA773" s="81"/>
      <c r="BB773" s="77"/>
      <c r="BC773" s="81"/>
      <c r="BD773" s="77"/>
      <c r="BE773" s="81"/>
      <c r="BF773" s="77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77"/>
      <c r="BU773" s="77"/>
      <c r="BV773" s="77"/>
      <c r="BW773" s="77"/>
      <c r="BX773" s="77"/>
      <c r="BY773" s="77"/>
      <c r="BZ773" s="77"/>
      <c r="CA773" s="77"/>
      <c r="CB773" s="77"/>
      <c r="CC773" s="77"/>
      <c r="CD773" s="77"/>
      <c r="CE773" s="77"/>
      <c r="CF773" s="77"/>
      <c r="CG773" s="77"/>
      <c r="CH773" s="77"/>
      <c r="CI773" s="77"/>
      <c r="CJ773" s="77"/>
      <c r="CK773" s="77"/>
      <c r="CL773" s="77"/>
      <c r="CM773" s="77"/>
      <c r="CN773" s="77"/>
      <c r="CO773" s="77"/>
      <c r="CP773" s="77"/>
      <c r="CQ773" s="77"/>
      <c r="CR773" s="77"/>
      <c r="CS773" s="77"/>
      <c r="CT773" s="77"/>
      <c r="CU773" s="77"/>
      <c r="CV773" s="77"/>
      <c r="CW773" s="77"/>
    </row>
    <row r="774" spans="1:101" ht="16.5" x14ac:dyDescent="0.45">
      <c r="A774" s="76"/>
      <c r="B774" s="77"/>
      <c r="C774" s="77"/>
      <c r="D774" s="78"/>
      <c r="E774" s="80"/>
      <c r="F774" s="80"/>
      <c r="G774" s="81"/>
      <c r="H774" s="81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82"/>
      <c r="Z774" s="82"/>
      <c r="AA774" s="82"/>
      <c r="AB774" s="80"/>
      <c r="AC774" s="77"/>
      <c r="AD774" s="77"/>
      <c r="AE774" s="77"/>
      <c r="AF774" s="77"/>
      <c r="AG774" s="77"/>
      <c r="AH774" s="77"/>
      <c r="AI774" s="92"/>
      <c r="AJ774" s="77"/>
      <c r="AK774" s="77"/>
      <c r="AL774" s="77"/>
      <c r="AM774" s="77"/>
      <c r="AN774" s="77"/>
      <c r="AO774" s="77"/>
      <c r="AP774" s="76"/>
      <c r="AQ774" s="81"/>
      <c r="AR774" s="76"/>
      <c r="AS774" s="81"/>
      <c r="AT774" s="76"/>
      <c r="AU774" s="81"/>
      <c r="AV774" s="77"/>
      <c r="AW774" s="81"/>
      <c r="AX774" s="77"/>
      <c r="AY774" s="81"/>
      <c r="AZ774" s="77"/>
      <c r="BA774" s="81"/>
      <c r="BB774" s="77"/>
      <c r="BC774" s="81"/>
      <c r="BD774" s="77"/>
      <c r="BE774" s="81"/>
      <c r="BF774" s="77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77"/>
      <c r="BU774" s="77"/>
      <c r="BV774" s="77"/>
      <c r="BW774" s="77"/>
      <c r="BX774" s="77"/>
      <c r="BY774" s="77"/>
      <c r="BZ774" s="77"/>
      <c r="CA774" s="77"/>
      <c r="CB774" s="77"/>
      <c r="CC774" s="77"/>
      <c r="CD774" s="77"/>
      <c r="CE774" s="77"/>
      <c r="CF774" s="77"/>
      <c r="CG774" s="77"/>
      <c r="CH774" s="77"/>
      <c r="CI774" s="77"/>
      <c r="CJ774" s="77"/>
      <c r="CK774" s="77"/>
      <c r="CL774" s="77"/>
      <c r="CM774" s="77"/>
      <c r="CN774" s="77"/>
      <c r="CO774" s="77"/>
      <c r="CP774" s="77"/>
      <c r="CQ774" s="77"/>
      <c r="CR774" s="77"/>
      <c r="CS774" s="77"/>
      <c r="CT774" s="77"/>
      <c r="CU774" s="77"/>
      <c r="CV774" s="77"/>
      <c r="CW774" s="77"/>
    </row>
    <row r="775" spans="1:101" ht="16.5" x14ac:dyDescent="0.45">
      <c r="A775" s="76"/>
      <c r="B775" s="77"/>
      <c r="C775" s="77"/>
      <c r="D775" s="78"/>
      <c r="E775" s="80"/>
      <c r="F775" s="80"/>
      <c r="G775" s="81"/>
      <c r="H775" s="81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82"/>
      <c r="Z775" s="82"/>
      <c r="AA775" s="82"/>
      <c r="AB775" s="80"/>
      <c r="AC775" s="77"/>
      <c r="AD775" s="77"/>
      <c r="AE775" s="77"/>
      <c r="AF775" s="77"/>
      <c r="AG775" s="77"/>
      <c r="AH775" s="77"/>
      <c r="AI775" s="92"/>
      <c r="AJ775" s="77"/>
      <c r="AK775" s="77"/>
      <c r="AL775" s="77"/>
      <c r="AM775" s="77"/>
      <c r="AN775" s="77"/>
      <c r="AO775" s="77"/>
      <c r="AP775" s="76"/>
      <c r="AQ775" s="81"/>
      <c r="AR775" s="76"/>
      <c r="AS775" s="81"/>
      <c r="AT775" s="76"/>
      <c r="AU775" s="81"/>
      <c r="AV775" s="77"/>
      <c r="AW775" s="81"/>
      <c r="AX775" s="77"/>
      <c r="AY775" s="81"/>
      <c r="AZ775" s="77"/>
      <c r="BA775" s="81"/>
      <c r="BB775" s="77"/>
      <c r="BC775" s="81"/>
      <c r="BD775" s="77"/>
      <c r="BE775" s="81"/>
      <c r="BF775" s="77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77"/>
      <c r="BU775" s="77"/>
      <c r="BV775" s="77"/>
      <c r="BW775" s="77"/>
      <c r="BX775" s="77"/>
      <c r="BY775" s="77"/>
      <c r="BZ775" s="77"/>
      <c r="CA775" s="77"/>
      <c r="CB775" s="77"/>
      <c r="CC775" s="77"/>
      <c r="CD775" s="77"/>
      <c r="CE775" s="77"/>
      <c r="CF775" s="77"/>
      <c r="CG775" s="77"/>
      <c r="CH775" s="77"/>
      <c r="CI775" s="77"/>
      <c r="CJ775" s="77"/>
      <c r="CK775" s="77"/>
      <c r="CL775" s="77"/>
      <c r="CM775" s="77"/>
      <c r="CN775" s="77"/>
      <c r="CO775" s="77"/>
      <c r="CP775" s="77"/>
      <c r="CQ775" s="77"/>
      <c r="CR775" s="77"/>
      <c r="CS775" s="77"/>
      <c r="CT775" s="77"/>
      <c r="CU775" s="77"/>
      <c r="CV775" s="77"/>
      <c r="CW775" s="77"/>
    </row>
    <row r="776" spans="1:101" ht="16.5" x14ac:dyDescent="0.45">
      <c r="A776" s="76"/>
      <c r="B776" s="77"/>
      <c r="C776" s="77"/>
      <c r="D776" s="78"/>
      <c r="E776" s="80"/>
      <c r="F776" s="80"/>
      <c r="G776" s="81"/>
      <c r="H776" s="81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82"/>
      <c r="Z776" s="82"/>
      <c r="AA776" s="82"/>
      <c r="AB776" s="80"/>
      <c r="AC776" s="77"/>
      <c r="AD776" s="77"/>
      <c r="AE776" s="77"/>
      <c r="AF776" s="77"/>
      <c r="AG776" s="77"/>
      <c r="AH776" s="77"/>
      <c r="AI776" s="92"/>
      <c r="AJ776" s="77"/>
      <c r="AK776" s="77"/>
      <c r="AL776" s="77"/>
      <c r="AM776" s="77"/>
      <c r="AN776" s="77"/>
      <c r="AO776" s="77"/>
      <c r="AP776" s="76"/>
      <c r="AQ776" s="81"/>
      <c r="AR776" s="76"/>
      <c r="AS776" s="81"/>
      <c r="AT776" s="76"/>
      <c r="AU776" s="81"/>
      <c r="AV776" s="77"/>
      <c r="AW776" s="81"/>
      <c r="AX776" s="77"/>
      <c r="AY776" s="81"/>
      <c r="AZ776" s="77"/>
      <c r="BA776" s="81"/>
      <c r="BB776" s="77"/>
      <c r="BC776" s="81"/>
      <c r="BD776" s="77"/>
      <c r="BE776" s="81"/>
      <c r="BF776" s="77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77"/>
      <c r="BU776" s="77"/>
      <c r="BV776" s="77"/>
      <c r="BW776" s="77"/>
      <c r="BX776" s="77"/>
      <c r="BY776" s="77"/>
      <c r="BZ776" s="77"/>
      <c r="CA776" s="77"/>
      <c r="CB776" s="77"/>
      <c r="CC776" s="77"/>
      <c r="CD776" s="77"/>
      <c r="CE776" s="77"/>
      <c r="CF776" s="77"/>
      <c r="CG776" s="77"/>
      <c r="CH776" s="77"/>
      <c r="CI776" s="77"/>
      <c r="CJ776" s="77"/>
      <c r="CK776" s="77"/>
      <c r="CL776" s="77"/>
      <c r="CM776" s="77"/>
      <c r="CN776" s="77"/>
      <c r="CO776" s="77"/>
      <c r="CP776" s="77"/>
      <c r="CQ776" s="77"/>
      <c r="CR776" s="77"/>
      <c r="CS776" s="77"/>
      <c r="CT776" s="77"/>
      <c r="CU776" s="77"/>
      <c r="CV776" s="77"/>
      <c r="CW776" s="77"/>
    </row>
    <row r="777" spans="1:101" ht="16.5" x14ac:dyDescent="0.45">
      <c r="A777" s="76"/>
      <c r="B777" s="77"/>
      <c r="C777" s="77"/>
      <c r="D777" s="78"/>
      <c r="E777" s="80"/>
      <c r="F777" s="80"/>
      <c r="G777" s="81"/>
      <c r="H777" s="81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82"/>
      <c r="Z777" s="82"/>
      <c r="AA777" s="82"/>
      <c r="AB777" s="80"/>
      <c r="AC777" s="77"/>
      <c r="AD777" s="77"/>
      <c r="AE777" s="77"/>
      <c r="AF777" s="77"/>
      <c r="AG777" s="77"/>
      <c r="AH777" s="77"/>
      <c r="AI777" s="92"/>
      <c r="AJ777" s="77"/>
      <c r="AK777" s="77"/>
      <c r="AL777" s="77"/>
      <c r="AM777" s="77"/>
      <c r="AN777" s="77"/>
      <c r="AO777" s="77"/>
      <c r="AP777" s="76"/>
      <c r="AQ777" s="81"/>
      <c r="AR777" s="76"/>
      <c r="AS777" s="81"/>
      <c r="AT777" s="76"/>
      <c r="AU777" s="81"/>
      <c r="AV777" s="77"/>
      <c r="AW777" s="81"/>
      <c r="AX777" s="77"/>
      <c r="AY777" s="81"/>
      <c r="AZ777" s="77"/>
      <c r="BA777" s="81"/>
      <c r="BB777" s="77"/>
      <c r="BC777" s="81"/>
      <c r="BD777" s="77"/>
      <c r="BE777" s="81"/>
      <c r="BF777" s="77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77"/>
      <c r="BU777" s="77"/>
      <c r="BV777" s="77"/>
      <c r="BW777" s="77"/>
      <c r="BX777" s="77"/>
      <c r="BY777" s="77"/>
      <c r="BZ777" s="77"/>
      <c r="CA777" s="77"/>
      <c r="CB777" s="77"/>
      <c r="CC777" s="77"/>
      <c r="CD777" s="77"/>
      <c r="CE777" s="77"/>
      <c r="CF777" s="77"/>
      <c r="CG777" s="77"/>
      <c r="CH777" s="77"/>
      <c r="CI777" s="77"/>
      <c r="CJ777" s="77"/>
      <c r="CK777" s="77"/>
      <c r="CL777" s="77"/>
      <c r="CM777" s="77"/>
      <c r="CN777" s="77"/>
      <c r="CO777" s="77"/>
      <c r="CP777" s="77"/>
      <c r="CQ777" s="77"/>
      <c r="CR777" s="77"/>
      <c r="CS777" s="77"/>
      <c r="CT777" s="77"/>
      <c r="CU777" s="77"/>
      <c r="CV777" s="77"/>
      <c r="CW777" s="77"/>
    </row>
    <row r="778" spans="1:101" ht="16.5" x14ac:dyDescent="0.45">
      <c r="A778" s="76"/>
      <c r="B778" s="77"/>
      <c r="C778" s="77"/>
      <c r="D778" s="78"/>
      <c r="E778" s="80"/>
      <c r="F778" s="80"/>
      <c r="G778" s="81"/>
      <c r="H778" s="81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82"/>
      <c r="Z778" s="82"/>
      <c r="AA778" s="82"/>
      <c r="AB778" s="80"/>
      <c r="AC778" s="77"/>
      <c r="AD778" s="77"/>
      <c r="AE778" s="77"/>
      <c r="AF778" s="77"/>
      <c r="AG778" s="77"/>
      <c r="AH778" s="77"/>
      <c r="AI778" s="92"/>
      <c r="AJ778" s="77"/>
      <c r="AK778" s="77"/>
      <c r="AL778" s="77"/>
      <c r="AM778" s="77"/>
      <c r="AN778" s="77"/>
      <c r="AO778" s="77"/>
      <c r="AP778" s="76"/>
      <c r="AQ778" s="81"/>
      <c r="AR778" s="76"/>
      <c r="AS778" s="81"/>
      <c r="AT778" s="76"/>
      <c r="AU778" s="81"/>
      <c r="AV778" s="77"/>
      <c r="AW778" s="81"/>
      <c r="AX778" s="77"/>
      <c r="AY778" s="81"/>
      <c r="AZ778" s="77"/>
      <c r="BA778" s="81"/>
      <c r="BB778" s="77"/>
      <c r="BC778" s="81"/>
      <c r="BD778" s="77"/>
      <c r="BE778" s="81"/>
      <c r="BF778" s="77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77"/>
      <c r="BU778" s="77"/>
      <c r="BV778" s="77"/>
      <c r="BW778" s="77"/>
      <c r="BX778" s="77"/>
      <c r="BY778" s="77"/>
      <c r="BZ778" s="77"/>
      <c r="CA778" s="77"/>
      <c r="CB778" s="77"/>
      <c r="CC778" s="77"/>
      <c r="CD778" s="77"/>
      <c r="CE778" s="77"/>
      <c r="CF778" s="77"/>
      <c r="CG778" s="77"/>
      <c r="CH778" s="77"/>
      <c r="CI778" s="77"/>
      <c r="CJ778" s="77"/>
      <c r="CK778" s="77"/>
      <c r="CL778" s="77"/>
      <c r="CM778" s="77"/>
      <c r="CN778" s="77"/>
      <c r="CO778" s="77"/>
      <c r="CP778" s="77"/>
      <c r="CQ778" s="77"/>
      <c r="CR778" s="77"/>
      <c r="CS778" s="77"/>
      <c r="CT778" s="77"/>
      <c r="CU778" s="77"/>
      <c r="CV778" s="77"/>
      <c r="CW778" s="77"/>
    </row>
    <row r="779" spans="1:101" ht="16.5" x14ac:dyDescent="0.45">
      <c r="A779" s="76"/>
      <c r="B779" s="77"/>
      <c r="C779" s="77"/>
      <c r="D779" s="78"/>
      <c r="E779" s="80"/>
      <c r="F779" s="80"/>
      <c r="G779" s="81"/>
      <c r="H779" s="81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82"/>
      <c r="Z779" s="82"/>
      <c r="AA779" s="82"/>
      <c r="AB779" s="80"/>
      <c r="AC779" s="77"/>
      <c r="AD779" s="77"/>
      <c r="AE779" s="77"/>
      <c r="AF779" s="77"/>
      <c r="AG779" s="77"/>
      <c r="AH779" s="77"/>
      <c r="AI779" s="92"/>
      <c r="AJ779" s="77"/>
      <c r="AK779" s="77"/>
      <c r="AL779" s="77"/>
      <c r="AM779" s="77"/>
      <c r="AN779" s="77"/>
      <c r="AO779" s="77"/>
      <c r="AP779" s="76"/>
      <c r="AQ779" s="81"/>
      <c r="AR779" s="76"/>
      <c r="AS779" s="81"/>
      <c r="AT779" s="76"/>
      <c r="AU779" s="81"/>
      <c r="AV779" s="77"/>
      <c r="AW779" s="81"/>
      <c r="AX779" s="77"/>
      <c r="AY779" s="81"/>
      <c r="AZ779" s="77"/>
      <c r="BA779" s="81"/>
      <c r="BB779" s="77"/>
      <c r="BC779" s="81"/>
      <c r="BD779" s="77"/>
      <c r="BE779" s="81"/>
      <c r="BF779" s="77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77"/>
      <c r="BU779" s="77"/>
      <c r="BV779" s="77"/>
      <c r="BW779" s="77"/>
      <c r="BX779" s="77"/>
      <c r="BY779" s="77"/>
      <c r="BZ779" s="77"/>
      <c r="CA779" s="77"/>
      <c r="CB779" s="77"/>
      <c r="CC779" s="77"/>
      <c r="CD779" s="77"/>
      <c r="CE779" s="77"/>
      <c r="CF779" s="77"/>
      <c r="CG779" s="77"/>
      <c r="CH779" s="77"/>
      <c r="CI779" s="77"/>
      <c r="CJ779" s="77"/>
      <c r="CK779" s="77"/>
      <c r="CL779" s="77"/>
      <c r="CM779" s="77"/>
      <c r="CN779" s="77"/>
      <c r="CO779" s="77"/>
      <c r="CP779" s="77"/>
      <c r="CQ779" s="77"/>
      <c r="CR779" s="77"/>
      <c r="CS779" s="77"/>
      <c r="CT779" s="77"/>
      <c r="CU779" s="77"/>
      <c r="CV779" s="77"/>
      <c r="CW779" s="77"/>
    </row>
    <row r="780" spans="1:101" ht="16.5" x14ac:dyDescent="0.45">
      <c r="A780" s="76"/>
      <c r="B780" s="77"/>
      <c r="C780" s="77"/>
      <c r="D780" s="78"/>
      <c r="E780" s="80"/>
      <c r="F780" s="80"/>
      <c r="G780" s="81"/>
      <c r="H780" s="81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82"/>
      <c r="Z780" s="82"/>
      <c r="AA780" s="82"/>
      <c r="AB780" s="80"/>
      <c r="AC780" s="77"/>
      <c r="AD780" s="77"/>
      <c r="AE780" s="77"/>
      <c r="AF780" s="77"/>
      <c r="AG780" s="77"/>
      <c r="AH780" s="77"/>
      <c r="AI780" s="92"/>
      <c r="AJ780" s="77"/>
      <c r="AK780" s="77"/>
      <c r="AL780" s="77"/>
      <c r="AM780" s="77"/>
      <c r="AN780" s="77"/>
      <c r="AO780" s="77"/>
      <c r="AP780" s="76"/>
      <c r="AQ780" s="81"/>
      <c r="AR780" s="76"/>
      <c r="AS780" s="81"/>
      <c r="AT780" s="76"/>
      <c r="AU780" s="81"/>
      <c r="AV780" s="77"/>
      <c r="AW780" s="81"/>
      <c r="AX780" s="77"/>
      <c r="AY780" s="81"/>
      <c r="AZ780" s="77"/>
      <c r="BA780" s="81"/>
      <c r="BB780" s="77"/>
      <c r="BC780" s="81"/>
      <c r="BD780" s="77"/>
      <c r="BE780" s="81"/>
      <c r="BF780" s="77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77"/>
      <c r="BU780" s="77"/>
      <c r="BV780" s="77"/>
      <c r="BW780" s="77"/>
      <c r="BX780" s="77"/>
      <c r="BY780" s="77"/>
      <c r="BZ780" s="77"/>
      <c r="CA780" s="77"/>
      <c r="CB780" s="77"/>
      <c r="CC780" s="77"/>
      <c r="CD780" s="77"/>
      <c r="CE780" s="77"/>
      <c r="CF780" s="77"/>
      <c r="CG780" s="77"/>
      <c r="CH780" s="77"/>
      <c r="CI780" s="77"/>
      <c r="CJ780" s="77"/>
      <c r="CK780" s="77"/>
      <c r="CL780" s="77"/>
      <c r="CM780" s="77"/>
      <c r="CN780" s="77"/>
      <c r="CO780" s="77"/>
      <c r="CP780" s="77"/>
      <c r="CQ780" s="77"/>
      <c r="CR780" s="77"/>
      <c r="CS780" s="77"/>
      <c r="CT780" s="77"/>
      <c r="CU780" s="77"/>
      <c r="CV780" s="77"/>
      <c r="CW780" s="77"/>
    </row>
    <row r="781" spans="1:101" ht="16.5" x14ac:dyDescent="0.45">
      <c r="A781" s="76"/>
      <c r="B781" s="77"/>
      <c r="C781" s="77"/>
      <c r="D781" s="78"/>
      <c r="E781" s="80"/>
      <c r="F781" s="80"/>
      <c r="G781" s="81"/>
      <c r="H781" s="81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82"/>
      <c r="Z781" s="82"/>
      <c r="AA781" s="82"/>
      <c r="AB781" s="80"/>
      <c r="AC781" s="77"/>
      <c r="AD781" s="77"/>
      <c r="AE781" s="77"/>
      <c r="AF781" s="77"/>
      <c r="AG781" s="77"/>
      <c r="AH781" s="77"/>
      <c r="AI781" s="92"/>
      <c r="AJ781" s="77"/>
      <c r="AK781" s="77"/>
      <c r="AL781" s="77"/>
      <c r="AM781" s="77"/>
      <c r="AN781" s="77"/>
      <c r="AO781" s="77"/>
      <c r="AP781" s="76"/>
      <c r="AQ781" s="81"/>
      <c r="AR781" s="76"/>
      <c r="AS781" s="81"/>
      <c r="AT781" s="76"/>
      <c r="AU781" s="81"/>
      <c r="AV781" s="77"/>
      <c r="AW781" s="81"/>
      <c r="AX781" s="77"/>
      <c r="AY781" s="81"/>
      <c r="AZ781" s="77"/>
      <c r="BA781" s="81"/>
      <c r="BB781" s="77"/>
      <c r="BC781" s="81"/>
      <c r="BD781" s="77"/>
      <c r="BE781" s="81"/>
      <c r="BF781" s="77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77"/>
      <c r="BU781" s="77"/>
      <c r="BV781" s="77"/>
      <c r="BW781" s="77"/>
      <c r="BX781" s="77"/>
      <c r="BY781" s="77"/>
      <c r="BZ781" s="77"/>
      <c r="CA781" s="77"/>
      <c r="CB781" s="77"/>
      <c r="CC781" s="77"/>
      <c r="CD781" s="77"/>
      <c r="CE781" s="77"/>
      <c r="CF781" s="77"/>
      <c r="CG781" s="77"/>
      <c r="CH781" s="77"/>
      <c r="CI781" s="77"/>
      <c r="CJ781" s="77"/>
      <c r="CK781" s="77"/>
      <c r="CL781" s="77"/>
      <c r="CM781" s="77"/>
      <c r="CN781" s="77"/>
      <c r="CO781" s="77"/>
      <c r="CP781" s="77"/>
      <c r="CQ781" s="77"/>
      <c r="CR781" s="77"/>
      <c r="CS781" s="77"/>
      <c r="CT781" s="77"/>
      <c r="CU781" s="77"/>
      <c r="CV781" s="77"/>
      <c r="CW781" s="77"/>
    </row>
    <row r="782" spans="1:101" ht="16.5" x14ac:dyDescent="0.45">
      <c r="A782" s="76"/>
      <c r="B782" s="77"/>
      <c r="C782" s="77"/>
      <c r="D782" s="78"/>
      <c r="E782" s="80"/>
      <c r="F782" s="80"/>
      <c r="G782" s="81"/>
      <c r="H782" s="81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82"/>
      <c r="Z782" s="82"/>
      <c r="AA782" s="82"/>
      <c r="AB782" s="80"/>
      <c r="AC782" s="77"/>
      <c r="AD782" s="77"/>
      <c r="AE782" s="77"/>
      <c r="AF782" s="77"/>
      <c r="AG782" s="77"/>
      <c r="AH782" s="77"/>
      <c r="AI782" s="92"/>
      <c r="AJ782" s="77"/>
      <c r="AK782" s="77"/>
      <c r="AL782" s="77"/>
      <c r="AM782" s="77"/>
      <c r="AN782" s="77"/>
      <c r="AO782" s="77"/>
      <c r="AP782" s="76"/>
      <c r="AQ782" s="81"/>
      <c r="AR782" s="76"/>
      <c r="AS782" s="81"/>
      <c r="AT782" s="76"/>
      <c r="AU782" s="81"/>
      <c r="AV782" s="77"/>
      <c r="AW782" s="81"/>
      <c r="AX782" s="77"/>
      <c r="AY782" s="81"/>
      <c r="AZ782" s="77"/>
      <c r="BA782" s="81"/>
      <c r="BB782" s="77"/>
      <c r="BC782" s="81"/>
      <c r="BD782" s="77"/>
      <c r="BE782" s="81"/>
      <c r="BF782" s="77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77"/>
      <c r="BU782" s="77"/>
      <c r="BV782" s="77"/>
      <c r="BW782" s="77"/>
      <c r="BX782" s="77"/>
      <c r="BY782" s="77"/>
      <c r="BZ782" s="77"/>
      <c r="CA782" s="77"/>
      <c r="CB782" s="77"/>
      <c r="CC782" s="77"/>
      <c r="CD782" s="77"/>
      <c r="CE782" s="77"/>
      <c r="CF782" s="77"/>
      <c r="CG782" s="77"/>
      <c r="CH782" s="77"/>
      <c r="CI782" s="77"/>
      <c r="CJ782" s="77"/>
      <c r="CK782" s="77"/>
      <c r="CL782" s="77"/>
      <c r="CM782" s="77"/>
      <c r="CN782" s="77"/>
      <c r="CO782" s="77"/>
      <c r="CP782" s="77"/>
      <c r="CQ782" s="77"/>
      <c r="CR782" s="77"/>
      <c r="CS782" s="77"/>
      <c r="CT782" s="77"/>
      <c r="CU782" s="77"/>
      <c r="CV782" s="77"/>
      <c r="CW782" s="77"/>
    </row>
    <row r="783" spans="1:101" ht="16.5" x14ac:dyDescent="0.45">
      <c r="A783" s="76"/>
      <c r="B783" s="77"/>
      <c r="C783" s="77"/>
      <c r="D783" s="78"/>
      <c r="E783" s="80"/>
      <c r="F783" s="80"/>
      <c r="G783" s="81"/>
      <c r="H783" s="81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82"/>
      <c r="Z783" s="82"/>
      <c r="AA783" s="82"/>
      <c r="AB783" s="80"/>
      <c r="AC783" s="77"/>
      <c r="AD783" s="77"/>
      <c r="AE783" s="77"/>
      <c r="AF783" s="77"/>
      <c r="AG783" s="77"/>
      <c r="AH783" s="77"/>
      <c r="AI783" s="92"/>
      <c r="AJ783" s="77"/>
      <c r="AK783" s="77"/>
      <c r="AL783" s="77"/>
      <c r="AM783" s="77"/>
      <c r="AN783" s="77"/>
      <c r="AO783" s="77"/>
      <c r="AP783" s="76"/>
      <c r="AQ783" s="81"/>
      <c r="AR783" s="76"/>
      <c r="AS783" s="81"/>
      <c r="AT783" s="76"/>
      <c r="AU783" s="81"/>
      <c r="AV783" s="77"/>
      <c r="AW783" s="81"/>
      <c r="AX783" s="77"/>
      <c r="AY783" s="81"/>
      <c r="AZ783" s="77"/>
      <c r="BA783" s="81"/>
      <c r="BB783" s="77"/>
      <c r="BC783" s="81"/>
      <c r="BD783" s="77"/>
      <c r="BE783" s="81"/>
      <c r="BF783" s="77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77"/>
      <c r="BU783" s="77"/>
      <c r="BV783" s="77"/>
      <c r="BW783" s="77"/>
      <c r="BX783" s="77"/>
      <c r="BY783" s="77"/>
      <c r="BZ783" s="77"/>
      <c r="CA783" s="77"/>
      <c r="CB783" s="77"/>
      <c r="CC783" s="77"/>
      <c r="CD783" s="77"/>
      <c r="CE783" s="77"/>
      <c r="CF783" s="77"/>
      <c r="CG783" s="77"/>
      <c r="CH783" s="77"/>
      <c r="CI783" s="77"/>
      <c r="CJ783" s="77"/>
      <c r="CK783" s="77"/>
      <c r="CL783" s="77"/>
      <c r="CM783" s="77"/>
      <c r="CN783" s="77"/>
      <c r="CO783" s="77"/>
      <c r="CP783" s="77"/>
      <c r="CQ783" s="77"/>
      <c r="CR783" s="77"/>
      <c r="CS783" s="77"/>
      <c r="CT783" s="77"/>
      <c r="CU783" s="77"/>
      <c r="CV783" s="77"/>
      <c r="CW783" s="77"/>
    </row>
    <row r="784" spans="1:101" ht="16.5" x14ac:dyDescent="0.45">
      <c r="A784" s="76"/>
      <c r="B784" s="77"/>
      <c r="C784" s="77"/>
      <c r="D784" s="78"/>
      <c r="E784" s="80"/>
      <c r="F784" s="80"/>
      <c r="G784" s="81"/>
      <c r="H784" s="81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82"/>
      <c r="Z784" s="82"/>
      <c r="AA784" s="82"/>
      <c r="AB784" s="80"/>
      <c r="AC784" s="77"/>
      <c r="AD784" s="77"/>
      <c r="AE784" s="77"/>
      <c r="AF784" s="77"/>
      <c r="AG784" s="77"/>
      <c r="AH784" s="77"/>
      <c r="AI784" s="92"/>
      <c r="AJ784" s="77"/>
      <c r="AK784" s="77"/>
      <c r="AL784" s="77"/>
      <c r="AM784" s="77"/>
      <c r="AN784" s="77"/>
      <c r="AO784" s="77"/>
      <c r="AP784" s="76"/>
      <c r="AQ784" s="81"/>
      <c r="AR784" s="76"/>
      <c r="AS784" s="81"/>
      <c r="AT784" s="76"/>
      <c r="AU784" s="81"/>
      <c r="AV784" s="77"/>
      <c r="AW784" s="81"/>
      <c r="AX784" s="77"/>
      <c r="AY784" s="81"/>
      <c r="AZ784" s="77"/>
      <c r="BA784" s="81"/>
      <c r="BB784" s="77"/>
      <c r="BC784" s="81"/>
      <c r="BD784" s="77"/>
      <c r="BE784" s="81"/>
      <c r="BF784" s="77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77"/>
      <c r="BU784" s="77"/>
      <c r="BV784" s="77"/>
      <c r="BW784" s="77"/>
      <c r="BX784" s="77"/>
      <c r="BY784" s="77"/>
      <c r="BZ784" s="77"/>
      <c r="CA784" s="77"/>
      <c r="CB784" s="77"/>
      <c r="CC784" s="77"/>
      <c r="CD784" s="77"/>
      <c r="CE784" s="77"/>
      <c r="CF784" s="77"/>
      <c r="CG784" s="77"/>
      <c r="CH784" s="77"/>
      <c r="CI784" s="77"/>
      <c r="CJ784" s="77"/>
      <c r="CK784" s="77"/>
      <c r="CL784" s="77"/>
      <c r="CM784" s="77"/>
      <c r="CN784" s="77"/>
      <c r="CO784" s="77"/>
      <c r="CP784" s="77"/>
      <c r="CQ784" s="77"/>
      <c r="CR784" s="77"/>
      <c r="CS784" s="77"/>
      <c r="CT784" s="77"/>
      <c r="CU784" s="77"/>
      <c r="CV784" s="77"/>
      <c r="CW784" s="77"/>
    </row>
    <row r="785" spans="1:101" ht="16.5" x14ac:dyDescent="0.45">
      <c r="A785" s="76"/>
      <c r="B785" s="77"/>
      <c r="C785" s="77"/>
      <c r="D785" s="78"/>
      <c r="E785" s="80"/>
      <c r="F785" s="80"/>
      <c r="G785" s="81"/>
      <c r="H785" s="81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82"/>
      <c r="Z785" s="82"/>
      <c r="AA785" s="82"/>
      <c r="AB785" s="80"/>
      <c r="AC785" s="77"/>
      <c r="AD785" s="77"/>
      <c r="AE785" s="77"/>
      <c r="AF785" s="77"/>
      <c r="AG785" s="77"/>
      <c r="AH785" s="77"/>
      <c r="AI785" s="92"/>
      <c r="AJ785" s="77"/>
      <c r="AK785" s="77"/>
      <c r="AL785" s="77"/>
      <c r="AM785" s="77"/>
      <c r="AN785" s="77"/>
      <c r="AO785" s="77"/>
      <c r="AP785" s="76"/>
      <c r="AQ785" s="81"/>
      <c r="AR785" s="76"/>
      <c r="AS785" s="81"/>
      <c r="AT785" s="76"/>
      <c r="AU785" s="81"/>
      <c r="AV785" s="77"/>
      <c r="AW785" s="81"/>
      <c r="AX785" s="77"/>
      <c r="AY785" s="81"/>
      <c r="AZ785" s="77"/>
      <c r="BA785" s="81"/>
      <c r="BB785" s="77"/>
      <c r="BC785" s="81"/>
      <c r="BD785" s="77"/>
      <c r="BE785" s="81"/>
      <c r="BF785" s="77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77"/>
      <c r="BU785" s="77"/>
      <c r="BV785" s="77"/>
      <c r="BW785" s="77"/>
      <c r="BX785" s="77"/>
      <c r="BY785" s="77"/>
      <c r="BZ785" s="77"/>
      <c r="CA785" s="77"/>
      <c r="CB785" s="77"/>
      <c r="CC785" s="77"/>
      <c r="CD785" s="77"/>
      <c r="CE785" s="77"/>
      <c r="CF785" s="77"/>
      <c r="CG785" s="77"/>
      <c r="CH785" s="77"/>
      <c r="CI785" s="77"/>
      <c r="CJ785" s="77"/>
      <c r="CK785" s="77"/>
      <c r="CL785" s="77"/>
      <c r="CM785" s="77"/>
      <c r="CN785" s="77"/>
      <c r="CO785" s="77"/>
      <c r="CP785" s="77"/>
      <c r="CQ785" s="77"/>
      <c r="CR785" s="77"/>
      <c r="CS785" s="77"/>
      <c r="CT785" s="77"/>
      <c r="CU785" s="77"/>
      <c r="CV785" s="77"/>
      <c r="CW785" s="77"/>
    </row>
    <row r="786" spans="1:101" ht="16.5" x14ac:dyDescent="0.45">
      <c r="A786" s="76"/>
      <c r="B786" s="77"/>
      <c r="C786" s="77"/>
      <c r="D786" s="78"/>
      <c r="E786" s="80"/>
      <c r="F786" s="80"/>
      <c r="G786" s="81"/>
      <c r="H786" s="81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82"/>
      <c r="Z786" s="82"/>
      <c r="AA786" s="82"/>
      <c r="AB786" s="80"/>
      <c r="AC786" s="77"/>
      <c r="AD786" s="77"/>
      <c r="AE786" s="77"/>
      <c r="AF786" s="77"/>
      <c r="AG786" s="77"/>
      <c r="AH786" s="77"/>
      <c r="AI786" s="92"/>
      <c r="AJ786" s="77"/>
      <c r="AK786" s="77"/>
      <c r="AL786" s="77"/>
      <c r="AM786" s="77"/>
      <c r="AN786" s="77"/>
      <c r="AO786" s="77"/>
      <c r="AP786" s="76"/>
      <c r="AQ786" s="81"/>
      <c r="AR786" s="76"/>
      <c r="AS786" s="81"/>
      <c r="AT786" s="76"/>
      <c r="AU786" s="81"/>
      <c r="AV786" s="77"/>
      <c r="AW786" s="81"/>
      <c r="AX786" s="77"/>
      <c r="AY786" s="81"/>
      <c r="AZ786" s="77"/>
      <c r="BA786" s="81"/>
      <c r="BB786" s="77"/>
      <c r="BC786" s="81"/>
      <c r="BD786" s="77"/>
      <c r="BE786" s="81"/>
      <c r="BF786" s="77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77"/>
      <c r="BU786" s="77"/>
      <c r="BV786" s="77"/>
      <c r="BW786" s="77"/>
      <c r="BX786" s="77"/>
      <c r="BY786" s="77"/>
      <c r="BZ786" s="77"/>
      <c r="CA786" s="77"/>
      <c r="CB786" s="77"/>
      <c r="CC786" s="77"/>
      <c r="CD786" s="77"/>
      <c r="CE786" s="77"/>
      <c r="CF786" s="77"/>
      <c r="CG786" s="77"/>
      <c r="CH786" s="77"/>
      <c r="CI786" s="77"/>
      <c r="CJ786" s="77"/>
      <c r="CK786" s="77"/>
      <c r="CL786" s="77"/>
      <c r="CM786" s="77"/>
      <c r="CN786" s="77"/>
      <c r="CO786" s="77"/>
      <c r="CP786" s="77"/>
      <c r="CQ786" s="77"/>
      <c r="CR786" s="77"/>
      <c r="CS786" s="77"/>
      <c r="CT786" s="77"/>
      <c r="CU786" s="77"/>
      <c r="CV786" s="77"/>
      <c r="CW786" s="77"/>
    </row>
    <row r="787" spans="1:101" ht="16.5" x14ac:dyDescent="0.45">
      <c r="A787" s="76"/>
      <c r="B787" s="77"/>
      <c r="C787" s="77"/>
      <c r="D787" s="78"/>
      <c r="E787" s="80"/>
      <c r="F787" s="80"/>
      <c r="G787" s="81"/>
      <c r="H787" s="81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82"/>
      <c r="Z787" s="82"/>
      <c r="AA787" s="82"/>
      <c r="AB787" s="80"/>
      <c r="AC787" s="77"/>
      <c r="AD787" s="77"/>
      <c r="AE787" s="77"/>
      <c r="AF787" s="77"/>
      <c r="AG787" s="77"/>
      <c r="AH787" s="77"/>
      <c r="AI787" s="92"/>
      <c r="AJ787" s="77"/>
      <c r="AK787" s="77"/>
      <c r="AL787" s="77"/>
      <c r="AM787" s="77"/>
      <c r="AN787" s="77"/>
      <c r="AO787" s="77"/>
      <c r="AP787" s="76"/>
      <c r="AQ787" s="81"/>
      <c r="AR787" s="76"/>
      <c r="AS787" s="81"/>
      <c r="AT787" s="76"/>
      <c r="AU787" s="81"/>
      <c r="AV787" s="77"/>
      <c r="AW787" s="81"/>
      <c r="AX787" s="77"/>
      <c r="AY787" s="81"/>
      <c r="AZ787" s="77"/>
      <c r="BA787" s="81"/>
      <c r="BB787" s="77"/>
      <c r="BC787" s="81"/>
      <c r="BD787" s="77"/>
      <c r="BE787" s="81"/>
      <c r="BF787" s="77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77"/>
      <c r="BU787" s="77"/>
      <c r="BV787" s="77"/>
      <c r="BW787" s="77"/>
      <c r="BX787" s="77"/>
      <c r="BY787" s="77"/>
      <c r="BZ787" s="77"/>
      <c r="CA787" s="77"/>
      <c r="CB787" s="77"/>
      <c r="CC787" s="77"/>
      <c r="CD787" s="77"/>
      <c r="CE787" s="77"/>
      <c r="CF787" s="77"/>
      <c r="CG787" s="77"/>
      <c r="CH787" s="77"/>
      <c r="CI787" s="77"/>
      <c r="CJ787" s="77"/>
      <c r="CK787" s="77"/>
      <c r="CL787" s="77"/>
      <c r="CM787" s="77"/>
      <c r="CN787" s="77"/>
      <c r="CO787" s="77"/>
      <c r="CP787" s="77"/>
      <c r="CQ787" s="77"/>
      <c r="CR787" s="77"/>
      <c r="CS787" s="77"/>
      <c r="CT787" s="77"/>
      <c r="CU787" s="77"/>
      <c r="CV787" s="77"/>
      <c r="CW787" s="77"/>
    </row>
    <row r="788" spans="1:101" ht="16.5" x14ac:dyDescent="0.45">
      <c r="A788" s="76"/>
      <c r="B788" s="77"/>
      <c r="C788" s="77"/>
      <c r="D788" s="78"/>
      <c r="E788" s="80"/>
      <c r="F788" s="80"/>
      <c r="G788" s="81"/>
      <c r="H788" s="81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82"/>
      <c r="Z788" s="82"/>
      <c r="AA788" s="82"/>
      <c r="AB788" s="80"/>
      <c r="AC788" s="77"/>
      <c r="AD788" s="77"/>
      <c r="AE788" s="77"/>
      <c r="AF788" s="77"/>
      <c r="AG788" s="77"/>
      <c r="AH788" s="77"/>
      <c r="AI788" s="92"/>
      <c r="AJ788" s="77"/>
      <c r="AK788" s="77"/>
      <c r="AL788" s="77"/>
      <c r="AM788" s="77"/>
      <c r="AN788" s="77"/>
      <c r="AO788" s="77"/>
      <c r="AP788" s="76"/>
      <c r="AQ788" s="81"/>
      <c r="AR788" s="76"/>
      <c r="AS788" s="81"/>
      <c r="AT788" s="76"/>
      <c r="AU788" s="81"/>
      <c r="AV788" s="77"/>
      <c r="AW788" s="81"/>
      <c r="AX788" s="77"/>
      <c r="AY788" s="81"/>
      <c r="AZ788" s="77"/>
      <c r="BA788" s="81"/>
      <c r="BB788" s="77"/>
      <c r="BC788" s="81"/>
      <c r="BD788" s="77"/>
      <c r="BE788" s="81"/>
      <c r="BF788" s="77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77"/>
      <c r="BU788" s="77"/>
      <c r="BV788" s="77"/>
      <c r="BW788" s="77"/>
      <c r="BX788" s="77"/>
      <c r="BY788" s="77"/>
      <c r="BZ788" s="77"/>
      <c r="CA788" s="77"/>
      <c r="CB788" s="77"/>
      <c r="CC788" s="77"/>
      <c r="CD788" s="77"/>
      <c r="CE788" s="77"/>
      <c r="CF788" s="77"/>
      <c r="CG788" s="77"/>
      <c r="CH788" s="77"/>
      <c r="CI788" s="77"/>
      <c r="CJ788" s="77"/>
      <c r="CK788" s="77"/>
      <c r="CL788" s="77"/>
      <c r="CM788" s="77"/>
      <c r="CN788" s="77"/>
      <c r="CO788" s="77"/>
      <c r="CP788" s="77"/>
      <c r="CQ788" s="77"/>
      <c r="CR788" s="77"/>
      <c r="CS788" s="77"/>
      <c r="CT788" s="77"/>
      <c r="CU788" s="77"/>
      <c r="CV788" s="77"/>
      <c r="CW788" s="77"/>
    </row>
    <row r="789" spans="1:101" ht="16.5" x14ac:dyDescent="0.45">
      <c r="A789" s="76"/>
      <c r="B789" s="77"/>
      <c r="C789" s="77"/>
      <c r="D789" s="78"/>
      <c r="E789" s="80"/>
      <c r="F789" s="80"/>
      <c r="G789" s="81"/>
      <c r="H789" s="81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82"/>
      <c r="Z789" s="82"/>
      <c r="AA789" s="82"/>
      <c r="AB789" s="80"/>
      <c r="AC789" s="77"/>
      <c r="AD789" s="77"/>
      <c r="AE789" s="77"/>
      <c r="AF789" s="77"/>
      <c r="AG789" s="77"/>
      <c r="AH789" s="77"/>
      <c r="AI789" s="92"/>
      <c r="AJ789" s="77"/>
      <c r="AK789" s="77"/>
      <c r="AL789" s="77"/>
      <c r="AM789" s="77"/>
      <c r="AN789" s="77"/>
      <c r="AO789" s="77"/>
      <c r="AP789" s="76"/>
      <c r="AQ789" s="81"/>
      <c r="AR789" s="76"/>
      <c r="AS789" s="81"/>
      <c r="AT789" s="76"/>
      <c r="AU789" s="81"/>
      <c r="AV789" s="77"/>
      <c r="AW789" s="81"/>
      <c r="AX789" s="77"/>
      <c r="AY789" s="81"/>
      <c r="AZ789" s="77"/>
      <c r="BA789" s="81"/>
      <c r="BB789" s="77"/>
      <c r="BC789" s="81"/>
      <c r="BD789" s="77"/>
      <c r="BE789" s="81"/>
      <c r="BF789" s="77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77"/>
      <c r="BU789" s="77"/>
      <c r="BV789" s="77"/>
      <c r="BW789" s="77"/>
      <c r="BX789" s="77"/>
      <c r="BY789" s="77"/>
      <c r="BZ789" s="77"/>
      <c r="CA789" s="77"/>
      <c r="CB789" s="77"/>
      <c r="CC789" s="77"/>
      <c r="CD789" s="77"/>
      <c r="CE789" s="77"/>
      <c r="CF789" s="77"/>
      <c r="CG789" s="77"/>
      <c r="CH789" s="77"/>
      <c r="CI789" s="77"/>
      <c r="CJ789" s="77"/>
      <c r="CK789" s="77"/>
      <c r="CL789" s="77"/>
      <c r="CM789" s="77"/>
      <c r="CN789" s="77"/>
      <c r="CO789" s="77"/>
      <c r="CP789" s="77"/>
      <c r="CQ789" s="77"/>
      <c r="CR789" s="77"/>
      <c r="CS789" s="77"/>
      <c r="CT789" s="77"/>
      <c r="CU789" s="77"/>
      <c r="CV789" s="77"/>
      <c r="CW789" s="77"/>
    </row>
    <row r="790" spans="1:101" ht="16.5" x14ac:dyDescent="0.45">
      <c r="A790" s="76"/>
      <c r="B790" s="77"/>
      <c r="C790" s="77"/>
      <c r="D790" s="78"/>
      <c r="E790" s="80"/>
      <c r="F790" s="80"/>
      <c r="G790" s="81"/>
      <c r="H790" s="81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82"/>
      <c r="Z790" s="82"/>
      <c r="AA790" s="82"/>
      <c r="AB790" s="80"/>
      <c r="AC790" s="77"/>
      <c r="AD790" s="77"/>
      <c r="AE790" s="77"/>
      <c r="AF790" s="77"/>
      <c r="AG790" s="77"/>
      <c r="AH790" s="77"/>
      <c r="AI790" s="92"/>
      <c r="AJ790" s="77"/>
      <c r="AK790" s="77"/>
      <c r="AL790" s="77"/>
      <c r="AM790" s="77"/>
      <c r="AN790" s="77"/>
      <c r="AO790" s="77"/>
      <c r="AP790" s="76"/>
      <c r="AQ790" s="81"/>
      <c r="AR790" s="76"/>
      <c r="AS790" s="81"/>
      <c r="AT790" s="76"/>
      <c r="AU790" s="81"/>
      <c r="AV790" s="77"/>
      <c r="AW790" s="81"/>
      <c r="AX790" s="77"/>
      <c r="AY790" s="81"/>
      <c r="AZ790" s="77"/>
      <c r="BA790" s="81"/>
      <c r="BB790" s="77"/>
      <c r="BC790" s="81"/>
      <c r="BD790" s="77"/>
      <c r="BE790" s="81"/>
      <c r="BF790" s="77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77"/>
      <c r="BU790" s="77"/>
      <c r="BV790" s="77"/>
      <c r="BW790" s="77"/>
      <c r="BX790" s="77"/>
      <c r="BY790" s="77"/>
      <c r="BZ790" s="77"/>
      <c r="CA790" s="77"/>
      <c r="CB790" s="77"/>
      <c r="CC790" s="77"/>
      <c r="CD790" s="77"/>
      <c r="CE790" s="77"/>
      <c r="CF790" s="77"/>
      <c r="CG790" s="77"/>
      <c r="CH790" s="77"/>
      <c r="CI790" s="77"/>
      <c r="CJ790" s="77"/>
      <c r="CK790" s="77"/>
      <c r="CL790" s="77"/>
      <c r="CM790" s="77"/>
      <c r="CN790" s="77"/>
      <c r="CO790" s="77"/>
      <c r="CP790" s="77"/>
      <c r="CQ790" s="77"/>
      <c r="CR790" s="77"/>
      <c r="CS790" s="77"/>
      <c r="CT790" s="77"/>
      <c r="CU790" s="77"/>
      <c r="CV790" s="77"/>
      <c r="CW790" s="77"/>
    </row>
    <row r="791" spans="1:101" ht="16.5" x14ac:dyDescent="0.45">
      <c r="A791" s="76"/>
      <c r="B791" s="77"/>
      <c r="C791" s="77"/>
      <c r="D791" s="78"/>
      <c r="E791" s="80"/>
      <c r="F791" s="80"/>
      <c r="G791" s="81"/>
      <c r="H791" s="81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82"/>
      <c r="Z791" s="82"/>
      <c r="AA791" s="82"/>
      <c r="AB791" s="80"/>
      <c r="AC791" s="77"/>
      <c r="AD791" s="77"/>
      <c r="AE791" s="77"/>
      <c r="AF791" s="77"/>
      <c r="AG791" s="77"/>
      <c r="AH791" s="77"/>
      <c r="AI791" s="92"/>
      <c r="AJ791" s="77"/>
      <c r="AK791" s="77"/>
      <c r="AL791" s="77"/>
      <c r="AM791" s="77"/>
      <c r="AN791" s="77"/>
      <c r="AO791" s="77"/>
      <c r="AP791" s="76"/>
      <c r="AQ791" s="81"/>
      <c r="AR791" s="76"/>
      <c r="AS791" s="81"/>
      <c r="AT791" s="76"/>
      <c r="AU791" s="81"/>
      <c r="AV791" s="77"/>
      <c r="AW791" s="81"/>
      <c r="AX791" s="77"/>
      <c r="AY791" s="81"/>
      <c r="AZ791" s="77"/>
      <c r="BA791" s="81"/>
      <c r="BB791" s="77"/>
      <c r="BC791" s="81"/>
      <c r="BD791" s="77"/>
      <c r="BE791" s="81"/>
      <c r="BF791" s="77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77"/>
      <c r="BU791" s="77"/>
      <c r="BV791" s="77"/>
      <c r="BW791" s="77"/>
      <c r="BX791" s="77"/>
      <c r="BY791" s="77"/>
      <c r="BZ791" s="77"/>
      <c r="CA791" s="77"/>
      <c r="CB791" s="77"/>
      <c r="CC791" s="77"/>
      <c r="CD791" s="77"/>
      <c r="CE791" s="77"/>
      <c r="CF791" s="77"/>
      <c r="CG791" s="77"/>
      <c r="CH791" s="77"/>
      <c r="CI791" s="77"/>
      <c r="CJ791" s="77"/>
      <c r="CK791" s="77"/>
      <c r="CL791" s="77"/>
      <c r="CM791" s="77"/>
      <c r="CN791" s="77"/>
      <c r="CO791" s="77"/>
      <c r="CP791" s="77"/>
      <c r="CQ791" s="77"/>
      <c r="CR791" s="77"/>
      <c r="CS791" s="77"/>
      <c r="CT791" s="77"/>
      <c r="CU791" s="77"/>
      <c r="CV791" s="77"/>
      <c r="CW791" s="77"/>
    </row>
    <row r="792" spans="1:101" ht="16.5" x14ac:dyDescent="0.45">
      <c r="A792" s="76"/>
      <c r="B792" s="77"/>
      <c r="C792" s="77"/>
      <c r="D792" s="78"/>
      <c r="E792" s="80"/>
      <c r="F792" s="80"/>
      <c r="G792" s="81"/>
      <c r="H792" s="81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82"/>
      <c r="Z792" s="82"/>
      <c r="AA792" s="82"/>
      <c r="AB792" s="80"/>
      <c r="AC792" s="77"/>
      <c r="AD792" s="77"/>
      <c r="AE792" s="77"/>
      <c r="AF792" s="77"/>
      <c r="AG792" s="77"/>
      <c r="AH792" s="77"/>
      <c r="AI792" s="92"/>
      <c r="AJ792" s="77"/>
      <c r="AK792" s="77"/>
      <c r="AL792" s="77"/>
      <c r="AM792" s="77"/>
      <c r="AN792" s="77"/>
      <c r="AO792" s="77"/>
      <c r="AP792" s="76"/>
      <c r="AQ792" s="81"/>
      <c r="AR792" s="76"/>
      <c r="AS792" s="81"/>
      <c r="AT792" s="76"/>
      <c r="AU792" s="81"/>
      <c r="AV792" s="77"/>
      <c r="AW792" s="81"/>
      <c r="AX792" s="77"/>
      <c r="AY792" s="81"/>
      <c r="AZ792" s="77"/>
      <c r="BA792" s="81"/>
      <c r="BB792" s="77"/>
      <c r="BC792" s="81"/>
      <c r="BD792" s="77"/>
      <c r="BE792" s="81"/>
      <c r="BF792" s="77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77"/>
      <c r="BU792" s="77"/>
      <c r="BV792" s="77"/>
      <c r="BW792" s="77"/>
      <c r="BX792" s="77"/>
      <c r="BY792" s="77"/>
      <c r="BZ792" s="77"/>
      <c r="CA792" s="77"/>
      <c r="CB792" s="77"/>
      <c r="CC792" s="77"/>
      <c r="CD792" s="77"/>
      <c r="CE792" s="77"/>
      <c r="CF792" s="77"/>
      <c r="CG792" s="77"/>
      <c r="CH792" s="77"/>
      <c r="CI792" s="77"/>
      <c r="CJ792" s="77"/>
      <c r="CK792" s="77"/>
      <c r="CL792" s="77"/>
      <c r="CM792" s="77"/>
      <c r="CN792" s="77"/>
      <c r="CO792" s="77"/>
      <c r="CP792" s="77"/>
      <c r="CQ792" s="77"/>
      <c r="CR792" s="77"/>
      <c r="CS792" s="77"/>
      <c r="CT792" s="77"/>
      <c r="CU792" s="77"/>
      <c r="CV792" s="77"/>
      <c r="CW792" s="77"/>
    </row>
    <row r="793" spans="1:101" ht="16.5" x14ac:dyDescent="0.45">
      <c r="A793" s="76"/>
      <c r="B793" s="77"/>
      <c r="C793" s="77"/>
      <c r="D793" s="78"/>
      <c r="E793" s="80"/>
      <c r="F793" s="80"/>
      <c r="G793" s="81"/>
      <c r="H793" s="81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82"/>
      <c r="Z793" s="82"/>
      <c r="AA793" s="82"/>
      <c r="AB793" s="80"/>
      <c r="AC793" s="77"/>
      <c r="AD793" s="77"/>
      <c r="AE793" s="77"/>
      <c r="AF793" s="77"/>
      <c r="AG793" s="77"/>
      <c r="AH793" s="77"/>
      <c r="AI793" s="92"/>
      <c r="AJ793" s="77"/>
      <c r="AK793" s="77"/>
      <c r="AL793" s="77"/>
      <c r="AM793" s="77"/>
      <c r="AN793" s="77"/>
      <c r="AO793" s="77"/>
      <c r="AP793" s="76"/>
      <c r="AQ793" s="81"/>
      <c r="AR793" s="76"/>
      <c r="AS793" s="81"/>
      <c r="AT793" s="76"/>
      <c r="AU793" s="81"/>
      <c r="AV793" s="77"/>
      <c r="AW793" s="81"/>
      <c r="AX793" s="77"/>
      <c r="AY793" s="81"/>
      <c r="AZ793" s="77"/>
      <c r="BA793" s="81"/>
      <c r="BB793" s="77"/>
      <c r="BC793" s="81"/>
      <c r="BD793" s="77"/>
      <c r="BE793" s="81"/>
      <c r="BF793" s="77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77"/>
      <c r="BU793" s="77"/>
      <c r="BV793" s="77"/>
      <c r="BW793" s="77"/>
      <c r="BX793" s="77"/>
      <c r="BY793" s="77"/>
      <c r="BZ793" s="77"/>
      <c r="CA793" s="77"/>
      <c r="CB793" s="77"/>
      <c r="CC793" s="77"/>
      <c r="CD793" s="77"/>
      <c r="CE793" s="77"/>
      <c r="CF793" s="77"/>
      <c r="CG793" s="77"/>
      <c r="CH793" s="77"/>
      <c r="CI793" s="77"/>
      <c r="CJ793" s="77"/>
      <c r="CK793" s="77"/>
      <c r="CL793" s="77"/>
      <c r="CM793" s="77"/>
      <c r="CN793" s="77"/>
      <c r="CO793" s="77"/>
      <c r="CP793" s="77"/>
      <c r="CQ793" s="77"/>
      <c r="CR793" s="77"/>
      <c r="CS793" s="77"/>
      <c r="CT793" s="77"/>
      <c r="CU793" s="77"/>
      <c r="CV793" s="77"/>
      <c r="CW793" s="77"/>
    </row>
    <row r="794" spans="1:101" ht="16.5" x14ac:dyDescent="0.45">
      <c r="A794" s="76"/>
      <c r="B794" s="77"/>
      <c r="C794" s="77"/>
      <c r="D794" s="78"/>
      <c r="E794" s="80"/>
      <c r="F794" s="80"/>
      <c r="G794" s="81"/>
      <c r="H794" s="81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82"/>
      <c r="Z794" s="82"/>
      <c r="AA794" s="82"/>
      <c r="AB794" s="80"/>
      <c r="AC794" s="77"/>
      <c r="AD794" s="77"/>
      <c r="AE794" s="77"/>
      <c r="AF794" s="77"/>
      <c r="AG794" s="77"/>
      <c r="AH794" s="77"/>
      <c r="AI794" s="92"/>
      <c r="AJ794" s="77"/>
      <c r="AK794" s="77"/>
      <c r="AL794" s="77"/>
      <c r="AM794" s="77"/>
      <c r="AN794" s="77"/>
      <c r="AO794" s="77"/>
      <c r="AP794" s="76"/>
      <c r="AQ794" s="81"/>
      <c r="AR794" s="76"/>
      <c r="AS794" s="81"/>
      <c r="AT794" s="76"/>
      <c r="AU794" s="81"/>
      <c r="AV794" s="77"/>
      <c r="AW794" s="81"/>
      <c r="AX794" s="77"/>
      <c r="AY794" s="81"/>
      <c r="AZ794" s="77"/>
      <c r="BA794" s="81"/>
      <c r="BB794" s="77"/>
      <c r="BC794" s="81"/>
      <c r="BD794" s="77"/>
      <c r="BE794" s="81"/>
      <c r="BF794" s="77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77"/>
      <c r="BU794" s="77"/>
      <c r="BV794" s="77"/>
      <c r="BW794" s="77"/>
      <c r="BX794" s="77"/>
      <c r="BY794" s="77"/>
      <c r="BZ794" s="77"/>
      <c r="CA794" s="77"/>
      <c r="CB794" s="77"/>
      <c r="CC794" s="77"/>
      <c r="CD794" s="77"/>
      <c r="CE794" s="77"/>
      <c r="CF794" s="77"/>
      <c r="CG794" s="77"/>
      <c r="CH794" s="77"/>
      <c r="CI794" s="77"/>
      <c r="CJ794" s="77"/>
      <c r="CK794" s="77"/>
      <c r="CL794" s="77"/>
      <c r="CM794" s="77"/>
      <c r="CN794" s="77"/>
      <c r="CO794" s="77"/>
      <c r="CP794" s="77"/>
      <c r="CQ794" s="77"/>
      <c r="CR794" s="77"/>
      <c r="CS794" s="77"/>
      <c r="CT794" s="77"/>
      <c r="CU794" s="77"/>
      <c r="CV794" s="77"/>
      <c r="CW794" s="77"/>
    </row>
    <row r="795" spans="1:101" ht="16.5" x14ac:dyDescent="0.45">
      <c r="A795" s="76"/>
      <c r="B795" s="77"/>
      <c r="C795" s="77"/>
      <c r="D795" s="78"/>
      <c r="E795" s="80"/>
      <c r="F795" s="80"/>
      <c r="G795" s="81"/>
      <c r="H795" s="81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82"/>
      <c r="Z795" s="82"/>
      <c r="AA795" s="82"/>
      <c r="AB795" s="80"/>
      <c r="AC795" s="77"/>
      <c r="AD795" s="77"/>
      <c r="AE795" s="77"/>
      <c r="AF795" s="77"/>
      <c r="AG795" s="77"/>
      <c r="AH795" s="77"/>
      <c r="AI795" s="92"/>
      <c r="AJ795" s="77"/>
      <c r="AK795" s="77"/>
      <c r="AL795" s="77"/>
      <c r="AM795" s="77"/>
      <c r="AN795" s="77"/>
      <c r="AO795" s="77"/>
      <c r="AP795" s="76"/>
      <c r="AQ795" s="81"/>
      <c r="AR795" s="76"/>
      <c r="AS795" s="81"/>
      <c r="AT795" s="76"/>
      <c r="AU795" s="81"/>
      <c r="AV795" s="77"/>
      <c r="AW795" s="81"/>
      <c r="AX795" s="77"/>
      <c r="AY795" s="81"/>
      <c r="AZ795" s="77"/>
      <c r="BA795" s="81"/>
      <c r="BB795" s="77"/>
      <c r="BC795" s="81"/>
      <c r="BD795" s="77"/>
      <c r="BE795" s="81"/>
      <c r="BF795" s="77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77"/>
      <c r="BU795" s="77"/>
      <c r="BV795" s="77"/>
      <c r="BW795" s="77"/>
      <c r="BX795" s="77"/>
      <c r="BY795" s="77"/>
      <c r="BZ795" s="77"/>
      <c r="CA795" s="77"/>
      <c r="CB795" s="77"/>
      <c r="CC795" s="77"/>
      <c r="CD795" s="77"/>
      <c r="CE795" s="77"/>
      <c r="CF795" s="77"/>
      <c r="CG795" s="77"/>
      <c r="CH795" s="77"/>
      <c r="CI795" s="77"/>
      <c r="CJ795" s="77"/>
      <c r="CK795" s="77"/>
      <c r="CL795" s="77"/>
      <c r="CM795" s="77"/>
      <c r="CN795" s="77"/>
      <c r="CO795" s="77"/>
      <c r="CP795" s="77"/>
      <c r="CQ795" s="77"/>
      <c r="CR795" s="77"/>
      <c r="CS795" s="77"/>
      <c r="CT795" s="77"/>
      <c r="CU795" s="77"/>
      <c r="CV795" s="77"/>
      <c r="CW795" s="77"/>
    </row>
    <row r="796" spans="1:101" ht="16.5" x14ac:dyDescent="0.45">
      <c r="A796" s="76"/>
      <c r="B796" s="77"/>
      <c r="C796" s="77"/>
      <c r="D796" s="78"/>
      <c r="E796" s="80"/>
      <c r="F796" s="80"/>
      <c r="G796" s="81"/>
      <c r="H796" s="81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82"/>
      <c r="Z796" s="82"/>
      <c r="AA796" s="82"/>
      <c r="AB796" s="80"/>
      <c r="AC796" s="77"/>
      <c r="AD796" s="77"/>
      <c r="AE796" s="77"/>
      <c r="AF796" s="77"/>
      <c r="AG796" s="77"/>
      <c r="AH796" s="77"/>
      <c r="AI796" s="92"/>
      <c r="AJ796" s="77"/>
      <c r="AK796" s="77"/>
      <c r="AL796" s="77"/>
      <c r="AM796" s="77"/>
      <c r="AN796" s="77"/>
      <c r="AO796" s="77"/>
      <c r="AP796" s="76"/>
      <c r="AQ796" s="81"/>
      <c r="AR796" s="76"/>
      <c r="AS796" s="81"/>
      <c r="AT796" s="76"/>
      <c r="AU796" s="81"/>
      <c r="AV796" s="77"/>
      <c r="AW796" s="81"/>
      <c r="AX796" s="77"/>
      <c r="AY796" s="81"/>
      <c r="AZ796" s="77"/>
      <c r="BA796" s="81"/>
      <c r="BB796" s="77"/>
      <c r="BC796" s="81"/>
      <c r="BD796" s="77"/>
      <c r="BE796" s="81"/>
      <c r="BF796" s="77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77"/>
      <c r="BU796" s="77"/>
      <c r="BV796" s="77"/>
      <c r="BW796" s="77"/>
      <c r="BX796" s="77"/>
      <c r="BY796" s="77"/>
      <c r="BZ796" s="77"/>
      <c r="CA796" s="77"/>
      <c r="CB796" s="77"/>
      <c r="CC796" s="77"/>
      <c r="CD796" s="77"/>
      <c r="CE796" s="77"/>
      <c r="CF796" s="77"/>
      <c r="CG796" s="77"/>
      <c r="CH796" s="77"/>
      <c r="CI796" s="77"/>
      <c r="CJ796" s="77"/>
      <c r="CK796" s="77"/>
      <c r="CL796" s="77"/>
      <c r="CM796" s="77"/>
      <c r="CN796" s="77"/>
      <c r="CO796" s="77"/>
      <c r="CP796" s="77"/>
      <c r="CQ796" s="77"/>
      <c r="CR796" s="77"/>
      <c r="CS796" s="77"/>
      <c r="CT796" s="77"/>
      <c r="CU796" s="77"/>
      <c r="CV796" s="77"/>
      <c r="CW796" s="77"/>
    </row>
    <row r="797" spans="1:101" ht="16.5" x14ac:dyDescent="0.45">
      <c r="A797" s="76"/>
      <c r="B797" s="77"/>
      <c r="C797" s="77"/>
      <c r="D797" s="78"/>
      <c r="E797" s="80"/>
      <c r="F797" s="80"/>
      <c r="G797" s="81"/>
      <c r="H797" s="81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82"/>
      <c r="Z797" s="82"/>
      <c r="AA797" s="82"/>
      <c r="AB797" s="80"/>
      <c r="AC797" s="77"/>
      <c r="AD797" s="77"/>
      <c r="AE797" s="77"/>
      <c r="AF797" s="77"/>
      <c r="AG797" s="77"/>
      <c r="AH797" s="77"/>
      <c r="AI797" s="92"/>
      <c r="AJ797" s="77"/>
      <c r="AK797" s="77"/>
      <c r="AL797" s="77"/>
      <c r="AM797" s="77"/>
      <c r="AN797" s="77"/>
      <c r="AO797" s="77"/>
      <c r="AP797" s="76"/>
      <c r="AQ797" s="81"/>
      <c r="AR797" s="76"/>
      <c r="AS797" s="81"/>
      <c r="AT797" s="76"/>
      <c r="AU797" s="81"/>
      <c r="AV797" s="77"/>
      <c r="AW797" s="81"/>
      <c r="AX797" s="77"/>
      <c r="AY797" s="81"/>
      <c r="AZ797" s="77"/>
      <c r="BA797" s="81"/>
      <c r="BB797" s="77"/>
      <c r="BC797" s="81"/>
      <c r="BD797" s="77"/>
      <c r="BE797" s="81"/>
      <c r="BF797" s="77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77"/>
      <c r="BU797" s="77"/>
      <c r="BV797" s="77"/>
      <c r="BW797" s="77"/>
      <c r="BX797" s="77"/>
      <c r="BY797" s="77"/>
      <c r="BZ797" s="77"/>
      <c r="CA797" s="77"/>
      <c r="CB797" s="77"/>
      <c r="CC797" s="77"/>
      <c r="CD797" s="77"/>
      <c r="CE797" s="77"/>
      <c r="CF797" s="77"/>
      <c r="CG797" s="77"/>
      <c r="CH797" s="77"/>
      <c r="CI797" s="77"/>
      <c r="CJ797" s="77"/>
      <c r="CK797" s="77"/>
      <c r="CL797" s="77"/>
      <c r="CM797" s="77"/>
      <c r="CN797" s="77"/>
      <c r="CO797" s="77"/>
      <c r="CP797" s="77"/>
      <c r="CQ797" s="77"/>
      <c r="CR797" s="77"/>
      <c r="CS797" s="77"/>
      <c r="CT797" s="77"/>
      <c r="CU797" s="77"/>
      <c r="CV797" s="77"/>
      <c r="CW797" s="77"/>
    </row>
    <row r="798" spans="1:101" ht="16.5" x14ac:dyDescent="0.45">
      <c r="A798" s="76"/>
      <c r="B798" s="77"/>
      <c r="C798" s="77"/>
      <c r="D798" s="78"/>
      <c r="E798" s="80"/>
      <c r="F798" s="80"/>
      <c r="G798" s="81"/>
      <c r="H798" s="81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82"/>
      <c r="Z798" s="82"/>
      <c r="AA798" s="82"/>
      <c r="AB798" s="80"/>
      <c r="AC798" s="77"/>
      <c r="AD798" s="77"/>
      <c r="AE798" s="77"/>
      <c r="AF798" s="77"/>
      <c r="AG798" s="77"/>
      <c r="AH798" s="77"/>
      <c r="AI798" s="92"/>
      <c r="AJ798" s="77"/>
      <c r="AK798" s="77"/>
      <c r="AL798" s="77"/>
      <c r="AM798" s="77"/>
      <c r="AN798" s="77"/>
      <c r="AO798" s="77"/>
      <c r="AP798" s="76"/>
      <c r="AQ798" s="81"/>
      <c r="AR798" s="76"/>
      <c r="AS798" s="81"/>
      <c r="AT798" s="76"/>
      <c r="AU798" s="81"/>
      <c r="AV798" s="77"/>
      <c r="AW798" s="81"/>
      <c r="AX798" s="77"/>
      <c r="AY798" s="81"/>
      <c r="AZ798" s="77"/>
      <c r="BA798" s="81"/>
      <c r="BB798" s="77"/>
      <c r="BC798" s="81"/>
      <c r="BD798" s="77"/>
      <c r="BE798" s="81"/>
      <c r="BF798" s="77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77"/>
      <c r="BU798" s="77"/>
      <c r="BV798" s="77"/>
      <c r="BW798" s="77"/>
      <c r="BX798" s="77"/>
      <c r="BY798" s="77"/>
      <c r="BZ798" s="77"/>
      <c r="CA798" s="77"/>
      <c r="CB798" s="77"/>
      <c r="CC798" s="77"/>
      <c r="CD798" s="77"/>
      <c r="CE798" s="77"/>
      <c r="CF798" s="77"/>
      <c r="CG798" s="77"/>
      <c r="CH798" s="77"/>
      <c r="CI798" s="77"/>
      <c r="CJ798" s="77"/>
      <c r="CK798" s="77"/>
      <c r="CL798" s="77"/>
      <c r="CM798" s="77"/>
      <c r="CN798" s="77"/>
      <c r="CO798" s="77"/>
      <c r="CP798" s="77"/>
      <c r="CQ798" s="77"/>
      <c r="CR798" s="77"/>
      <c r="CS798" s="77"/>
      <c r="CT798" s="77"/>
      <c r="CU798" s="77"/>
      <c r="CV798" s="77"/>
      <c r="CW798" s="77"/>
    </row>
    <row r="799" spans="1:101" ht="16.5" x14ac:dyDescent="0.45">
      <c r="A799" s="76"/>
      <c r="B799" s="77"/>
      <c r="C799" s="77"/>
      <c r="D799" s="78"/>
      <c r="E799" s="80"/>
      <c r="F799" s="80"/>
      <c r="G799" s="81"/>
      <c r="H799" s="81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82"/>
      <c r="Z799" s="82"/>
      <c r="AA799" s="82"/>
      <c r="AB799" s="80"/>
      <c r="AC799" s="77"/>
      <c r="AD799" s="77"/>
      <c r="AE799" s="77"/>
      <c r="AF799" s="77"/>
      <c r="AG799" s="77"/>
      <c r="AH799" s="77"/>
      <c r="AI799" s="92"/>
      <c r="AJ799" s="77"/>
      <c r="AK799" s="77"/>
      <c r="AL799" s="77"/>
      <c r="AM799" s="77"/>
      <c r="AN799" s="77"/>
      <c r="AO799" s="77"/>
      <c r="AP799" s="76"/>
      <c r="AQ799" s="81"/>
      <c r="AR799" s="76"/>
      <c r="AS799" s="81"/>
      <c r="AT799" s="76"/>
      <c r="AU799" s="81"/>
      <c r="AV799" s="77"/>
      <c r="AW799" s="81"/>
      <c r="AX799" s="77"/>
      <c r="AY799" s="81"/>
      <c r="AZ799" s="77"/>
      <c r="BA799" s="81"/>
      <c r="BB799" s="77"/>
      <c r="BC799" s="81"/>
      <c r="BD799" s="77"/>
      <c r="BE799" s="81"/>
      <c r="BF799" s="77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77"/>
      <c r="BU799" s="77"/>
      <c r="BV799" s="77"/>
      <c r="BW799" s="77"/>
      <c r="BX799" s="77"/>
      <c r="BY799" s="77"/>
      <c r="BZ799" s="77"/>
      <c r="CA799" s="77"/>
      <c r="CB799" s="77"/>
      <c r="CC799" s="77"/>
      <c r="CD799" s="77"/>
      <c r="CE799" s="77"/>
      <c r="CF799" s="77"/>
      <c r="CG799" s="77"/>
      <c r="CH799" s="77"/>
      <c r="CI799" s="77"/>
      <c r="CJ799" s="77"/>
      <c r="CK799" s="77"/>
      <c r="CL799" s="77"/>
      <c r="CM799" s="77"/>
      <c r="CN799" s="77"/>
      <c r="CO799" s="77"/>
      <c r="CP799" s="77"/>
      <c r="CQ799" s="77"/>
      <c r="CR799" s="77"/>
      <c r="CS799" s="77"/>
      <c r="CT799" s="77"/>
      <c r="CU799" s="77"/>
      <c r="CV799" s="77"/>
      <c r="CW799" s="77"/>
    </row>
    <row r="800" spans="1:101" ht="16.5" x14ac:dyDescent="0.45">
      <c r="A800" s="76"/>
      <c r="B800" s="77"/>
      <c r="C800" s="77"/>
      <c r="D800" s="78"/>
      <c r="E800" s="80"/>
      <c r="F800" s="80"/>
      <c r="G800" s="81"/>
      <c r="H800" s="81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82"/>
      <c r="Z800" s="82"/>
      <c r="AA800" s="82"/>
      <c r="AB800" s="80"/>
      <c r="AC800" s="77"/>
      <c r="AD800" s="77"/>
      <c r="AE800" s="77"/>
      <c r="AF800" s="77"/>
      <c r="AG800" s="77"/>
      <c r="AH800" s="77"/>
      <c r="AI800" s="92"/>
      <c r="AJ800" s="77"/>
      <c r="AK800" s="77"/>
      <c r="AL800" s="77"/>
      <c r="AM800" s="77"/>
      <c r="AN800" s="77"/>
      <c r="AO800" s="77"/>
      <c r="AP800" s="76"/>
      <c r="AQ800" s="81"/>
      <c r="AR800" s="76"/>
      <c r="AS800" s="81"/>
      <c r="AT800" s="76"/>
      <c r="AU800" s="81"/>
      <c r="AV800" s="77"/>
      <c r="AW800" s="81"/>
      <c r="AX800" s="77"/>
      <c r="AY800" s="81"/>
      <c r="AZ800" s="77"/>
      <c r="BA800" s="81"/>
      <c r="BB800" s="77"/>
      <c r="BC800" s="81"/>
      <c r="BD800" s="77"/>
      <c r="BE800" s="81"/>
      <c r="BF800" s="77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77"/>
      <c r="BU800" s="77"/>
      <c r="BV800" s="77"/>
      <c r="BW800" s="77"/>
      <c r="BX800" s="77"/>
      <c r="BY800" s="77"/>
      <c r="BZ800" s="77"/>
      <c r="CA800" s="77"/>
      <c r="CB800" s="77"/>
      <c r="CC800" s="77"/>
      <c r="CD800" s="77"/>
      <c r="CE800" s="77"/>
      <c r="CF800" s="77"/>
      <c r="CG800" s="77"/>
      <c r="CH800" s="77"/>
      <c r="CI800" s="77"/>
      <c r="CJ800" s="77"/>
      <c r="CK800" s="77"/>
      <c r="CL800" s="77"/>
      <c r="CM800" s="77"/>
      <c r="CN800" s="77"/>
      <c r="CO800" s="77"/>
      <c r="CP800" s="77"/>
      <c r="CQ800" s="77"/>
      <c r="CR800" s="77"/>
      <c r="CS800" s="77"/>
      <c r="CT800" s="77"/>
      <c r="CU800" s="77"/>
      <c r="CV800" s="77"/>
      <c r="CW800" s="77"/>
    </row>
    <row r="801" spans="1:101" ht="16.5" x14ac:dyDescent="0.45">
      <c r="A801" s="76"/>
      <c r="B801" s="77"/>
      <c r="C801" s="77"/>
      <c r="D801" s="78"/>
      <c r="E801" s="80"/>
      <c r="F801" s="80"/>
      <c r="G801" s="81"/>
      <c r="H801" s="81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82"/>
      <c r="Z801" s="82"/>
      <c r="AA801" s="82"/>
      <c r="AB801" s="80"/>
      <c r="AC801" s="77"/>
      <c r="AD801" s="77"/>
      <c r="AE801" s="77"/>
      <c r="AF801" s="77"/>
      <c r="AG801" s="77"/>
      <c r="AH801" s="77"/>
      <c r="AI801" s="92"/>
      <c r="AJ801" s="77"/>
      <c r="AK801" s="77"/>
      <c r="AL801" s="77"/>
      <c r="AM801" s="77"/>
      <c r="AN801" s="77"/>
      <c r="AO801" s="77"/>
      <c r="AP801" s="76"/>
      <c r="AQ801" s="81"/>
      <c r="AR801" s="76"/>
      <c r="AS801" s="81"/>
      <c r="AT801" s="76"/>
      <c r="AU801" s="81"/>
      <c r="AV801" s="77"/>
      <c r="AW801" s="81"/>
      <c r="AX801" s="77"/>
      <c r="AY801" s="81"/>
      <c r="AZ801" s="77"/>
      <c r="BA801" s="81"/>
      <c r="BB801" s="77"/>
      <c r="BC801" s="81"/>
      <c r="BD801" s="77"/>
      <c r="BE801" s="81"/>
      <c r="BF801" s="77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77"/>
      <c r="BU801" s="77"/>
      <c r="BV801" s="77"/>
      <c r="BW801" s="77"/>
      <c r="BX801" s="77"/>
      <c r="BY801" s="77"/>
      <c r="BZ801" s="77"/>
      <c r="CA801" s="77"/>
      <c r="CB801" s="77"/>
      <c r="CC801" s="77"/>
      <c r="CD801" s="77"/>
      <c r="CE801" s="77"/>
      <c r="CF801" s="77"/>
      <c r="CG801" s="77"/>
      <c r="CH801" s="77"/>
      <c r="CI801" s="77"/>
      <c r="CJ801" s="77"/>
      <c r="CK801" s="77"/>
      <c r="CL801" s="77"/>
      <c r="CM801" s="77"/>
      <c r="CN801" s="77"/>
      <c r="CO801" s="77"/>
      <c r="CP801" s="77"/>
      <c r="CQ801" s="77"/>
      <c r="CR801" s="77"/>
      <c r="CS801" s="77"/>
      <c r="CT801" s="77"/>
      <c r="CU801" s="77"/>
      <c r="CV801" s="77"/>
      <c r="CW801" s="77"/>
    </row>
    <row r="802" spans="1:101" ht="16.5" x14ac:dyDescent="0.45">
      <c r="A802" s="76"/>
      <c r="B802" s="77"/>
      <c r="C802" s="77"/>
      <c r="D802" s="78"/>
      <c r="E802" s="80"/>
      <c r="F802" s="80"/>
      <c r="G802" s="81"/>
      <c r="H802" s="81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82"/>
      <c r="Z802" s="82"/>
      <c r="AA802" s="82"/>
      <c r="AB802" s="80"/>
      <c r="AC802" s="77"/>
      <c r="AD802" s="77"/>
      <c r="AE802" s="77"/>
      <c r="AF802" s="77"/>
      <c r="AG802" s="77"/>
      <c r="AH802" s="77"/>
      <c r="AI802" s="92"/>
      <c r="AJ802" s="77"/>
      <c r="AK802" s="77"/>
      <c r="AL802" s="77"/>
      <c r="AM802" s="77"/>
      <c r="AN802" s="77"/>
      <c r="AO802" s="77"/>
      <c r="AP802" s="76"/>
      <c r="AQ802" s="81"/>
      <c r="AR802" s="76"/>
      <c r="AS802" s="81"/>
      <c r="AT802" s="76"/>
      <c r="AU802" s="81"/>
      <c r="AV802" s="77"/>
      <c r="AW802" s="81"/>
      <c r="AX802" s="77"/>
      <c r="AY802" s="81"/>
      <c r="AZ802" s="77"/>
      <c r="BA802" s="81"/>
      <c r="BB802" s="77"/>
      <c r="BC802" s="81"/>
      <c r="BD802" s="77"/>
      <c r="BE802" s="81"/>
      <c r="BF802" s="77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77"/>
      <c r="BU802" s="77"/>
      <c r="BV802" s="77"/>
      <c r="BW802" s="77"/>
      <c r="BX802" s="77"/>
      <c r="BY802" s="77"/>
      <c r="BZ802" s="77"/>
      <c r="CA802" s="77"/>
      <c r="CB802" s="77"/>
      <c r="CC802" s="77"/>
      <c r="CD802" s="77"/>
      <c r="CE802" s="77"/>
      <c r="CF802" s="77"/>
      <c r="CG802" s="77"/>
      <c r="CH802" s="77"/>
      <c r="CI802" s="77"/>
      <c r="CJ802" s="77"/>
      <c r="CK802" s="77"/>
      <c r="CL802" s="77"/>
      <c r="CM802" s="77"/>
      <c r="CN802" s="77"/>
      <c r="CO802" s="77"/>
      <c r="CP802" s="77"/>
      <c r="CQ802" s="77"/>
      <c r="CR802" s="77"/>
      <c r="CS802" s="77"/>
      <c r="CT802" s="77"/>
      <c r="CU802" s="77"/>
      <c r="CV802" s="77"/>
      <c r="CW802" s="77"/>
    </row>
    <row r="803" spans="1:101" ht="16.5" x14ac:dyDescent="0.45">
      <c r="A803" s="76"/>
      <c r="B803" s="77"/>
      <c r="C803" s="77"/>
      <c r="D803" s="78"/>
      <c r="E803" s="80"/>
      <c r="F803" s="80"/>
      <c r="G803" s="81"/>
      <c r="H803" s="81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82"/>
      <c r="Z803" s="82"/>
      <c r="AA803" s="82"/>
      <c r="AB803" s="80"/>
      <c r="AC803" s="77"/>
      <c r="AD803" s="77"/>
      <c r="AE803" s="77"/>
      <c r="AF803" s="77"/>
      <c r="AG803" s="77"/>
      <c r="AH803" s="77"/>
      <c r="AI803" s="92"/>
      <c r="AJ803" s="77"/>
      <c r="AK803" s="77"/>
      <c r="AL803" s="77"/>
      <c r="AM803" s="77"/>
      <c r="AN803" s="77"/>
      <c r="AO803" s="77"/>
      <c r="AP803" s="76"/>
      <c r="AQ803" s="81"/>
      <c r="AR803" s="76"/>
      <c r="AS803" s="81"/>
      <c r="AT803" s="76"/>
      <c r="AU803" s="81"/>
      <c r="AV803" s="77"/>
      <c r="AW803" s="81"/>
      <c r="AX803" s="77"/>
      <c r="AY803" s="81"/>
      <c r="AZ803" s="77"/>
      <c r="BA803" s="81"/>
      <c r="BB803" s="77"/>
      <c r="BC803" s="81"/>
      <c r="BD803" s="77"/>
      <c r="BE803" s="81"/>
      <c r="BF803" s="77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77"/>
      <c r="BU803" s="77"/>
      <c r="BV803" s="77"/>
      <c r="BW803" s="77"/>
      <c r="BX803" s="77"/>
      <c r="BY803" s="77"/>
      <c r="BZ803" s="77"/>
      <c r="CA803" s="77"/>
      <c r="CB803" s="77"/>
      <c r="CC803" s="77"/>
      <c r="CD803" s="77"/>
      <c r="CE803" s="77"/>
      <c r="CF803" s="77"/>
      <c r="CG803" s="77"/>
      <c r="CH803" s="77"/>
      <c r="CI803" s="77"/>
      <c r="CJ803" s="77"/>
      <c r="CK803" s="77"/>
      <c r="CL803" s="77"/>
      <c r="CM803" s="77"/>
      <c r="CN803" s="77"/>
      <c r="CO803" s="77"/>
      <c r="CP803" s="77"/>
      <c r="CQ803" s="77"/>
      <c r="CR803" s="77"/>
      <c r="CS803" s="77"/>
      <c r="CT803" s="77"/>
      <c r="CU803" s="77"/>
      <c r="CV803" s="77"/>
      <c r="CW803" s="77"/>
    </row>
    <row r="804" spans="1:101" ht="16.5" x14ac:dyDescent="0.45">
      <c r="A804" s="76"/>
      <c r="B804" s="77"/>
      <c r="C804" s="77"/>
      <c r="D804" s="78"/>
      <c r="E804" s="80"/>
      <c r="F804" s="80"/>
      <c r="G804" s="81"/>
      <c r="H804" s="81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82"/>
      <c r="Z804" s="82"/>
      <c r="AA804" s="82"/>
      <c r="AB804" s="80"/>
      <c r="AC804" s="77"/>
      <c r="AD804" s="77"/>
      <c r="AE804" s="77"/>
      <c r="AF804" s="77"/>
      <c r="AG804" s="77"/>
      <c r="AH804" s="77"/>
      <c r="AI804" s="92"/>
      <c r="AJ804" s="77"/>
      <c r="AK804" s="77"/>
      <c r="AL804" s="77"/>
      <c r="AM804" s="77"/>
      <c r="AN804" s="77"/>
      <c r="AO804" s="77"/>
      <c r="AP804" s="76"/>
      <c r="AQ804" s="81"/>
      <c r="AR804" s="76"/>
      <c r="AS804" s="81"/>
      <c r="AT804" s="76"/>
      <c r="AU804" s="81"/>
      <c r="AV804" s="77"/>
      <c r="AW804" s="81"/>
      <c r="AX804" s="77"/>
      <c r="AY804" s="81"/>
      <c r="AZ804" s="77"/>
      <c r="BA804" s="81"/>
      <c r="BB804" s="77"/>
      <c r="BC804" s="81"/>
      <c r="BD804" s="77"/>
      <c r="BE804" s="81"/>
      <c r="BF804" s="77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77"/>
      <c r="BU804" s="77"/>
      <c r="BV804" s="77"/>
      <c r="BW804" s="77"/>
      <c r="BX804" s="77"/>
      <c r="BY804" s="77"/>
      <c r="BZ804" s="77"/>
      <c r="CA804" s="77"/>
      <c r="CB804" s="77"/>
      <c r="CC804" s="77"/>
      <c r="CD804" s="77"/>
      <c r="CE804" s="77"/>
      <c r="CF804" s="77"/>
      <c r="CG804" s="77"/>
      <c r="CH804" s="77"/>
      <c r="CI804" s="77"/>
      <c r="CJ804" s="77"/>
      <c r="CK804" s="77"/>
      <c r="CL804" s="77"/>
      <c r="CM804" s="77"/>
      <c r="CN804" s="77"/>
      <c r="CO804" s="77"/>
      <c r="CP804" s="77"/>
      <c r="CQ804" s="77"/>
      <c r="CR804" s="77"/>
      <c r="CS804" s="77"/>
      <c r="CT804" s="77"/>
      <c r="CU804" s="77"/>
      <c r="CV804" s="77"/>
      <c r="CW804" s="77"/>
    </row>
    <row r="805" spans="1:101" ht="16.5" x14ac:dyDescent="0.45">
      <c r="A805" s="76"/>
      <c r="B805" s="77"/>
      <c r="C805" s="77"/>
      <c r="D805" s="78"/>
      <c r="E805" s="80"/>
      <c r="F805" s="80"/>
      <c r="G805" s="81"/>
      <c r="H805" s="81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82"/>
      <c r="Z805" s="82"/>
      <c r="AA805" s="82"/>
      <c r="AB805" s="80"/>
      <c r="AC805" s="77"/>
      <c r="AD805" s="77"/>
      <c r="AE805" s="77"/>
      <c r="AF805" s="77"/>
      <c r="AG805" s="77"/>
      <c r="AH805" s="77"/>
      <c r="AI805" s="92"/>
      <c r="AJ805" s="77"/>
      <c r="AK805" s="77"/>
      <c r="AL805" s="77"/>
      <c r="AM805" s="77"/>
      <c r="AN805" s="77"/>
      <c r="AO805" s="77"/>
      <c r="AP805" s="76"/>
      <c r="AQ805" s="81"/>
      <c r="AR805" s="76"/>
      <c r="AS805" s="81"/>
      <c r="AT805" s="76"/>
      <c r="AU805" s="81"/>
      <c r="AV805" s="77"/>
      <c r="AW805" s="81"/>
      <c r="AX805" s="77"/>
      <c r="AY805" s="81"/>
      <c r="AZ805" s="77"/>
      <c r="BA805" s="81"/>
      <c r="BB805" s="77"/>
      <c r="BC805" s="81"/>
      <c r="BD805" s="77"/>
      <c r="BE805" s="81"/>
      <c r="BF805" s="77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77"/>
      <c r="BU805" s="77"/>
      <c r="BV805" s="77"/>
      <c r="BW805" s="77"/>
      <c r="BX805" s="77"/>
      <c r="BY805" s="77"/>
      <c r="BZ805" s="77"/>
      <c r="CA805" s="77"/>
      <c r="CB805" s="77"/>
      <c r="CC805" s="77"/>
      <c r="CD805" s="77"/>
      <c r="CE805" s="77"/>
      <c r="CF805" s="77"/>
      <c r="CG805" s="77"/>
      <c r="CH805" s="77"/>
      <c r="CI805" s="77"/>
      <c r="CJ805" s="77"/>
      <c r="CK805" s="77"/>
      <c r="CL805" s="77"/>
      <c r="CM805" s="77"/>
      <c r="CN805" s="77"/>
      <c r="CO805" s="77"/>
      <c r="CP805" s="77"/>
      <c r="CQ805" s="77"/>
      <c r="CR805" s="77"/>
      <c r="CS805" s="77"/>
      <c r="CT805" s="77"/>
      <c r="CU805" s="77"/>
      <c r="CV805" s="77"/>
      <c r="CW805" s="77"/>
    </row>
    <row r="806" spans="1:101" ht="16.5" x14ac:dyDescent="0.45">
      <c r="A806" s="76"/>
      <c r="B806" s="77"/>
      <c r="C806" s="77"/>
      <c r="D806" s="78"/>
      <c r="E806" s="80"/>
      <c r="F806" s="80"/>
      <c r="G806" s="81"/>
      <c r="H806" s="81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82"/>
      <c r="Z806" s="82"/>
      <c r="AA806" s="82"/>
      <c r="AB806" s="80"/>
      <c r="AC806" s="77"/>
      <c r="AD806" s="77"/>
      <c r="AE806" s="77"/>
      <c r="AF806" s="77"/>
      <c r="AG806" s="77"/>
      <c r="AH806" s="77"/>
      <c r="AI806" s="92"/>
      <c r="AJ806" s="77"/>
      <c r="AK806" s="77"/>
      <c r="AL806" s="77"/>
      <c r="AM806" s="77"/>
      <c r="AN806" s="77"/>
      <c r="AO806" s="77"/>
      <c r="AP806" s="76"/>
      <c r="AQ806" s="81"/>
      <c r="AR806" s="76"/>
      <c r="AS806" s="81"/>
      <c r="AT806" s="76"/>
      <c r="AU806" s="81"/>
      <c r="AV806" s="77"/>
      <c r="AW806" s="81"/>
      <c r="AX806" s="77"/>
      <c r="AY806" s="81"/>
      <c r="AZ806" s="77"/>
      <c r="BA806" s="81"/>
      <c r="BB806" s="77"/>
      <c r="BC806" s="81"/>
      <c r="BD806" s="77"/>
      <c r="BE806" s="81"/>
      <c r="BF806" s="77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77"/>
      <c r="BU806" s="77"/>
      <c r="BV806" s="77"/>
      <c r="BW806" s="77"/>
      <c r="BX806" s="77"/>
      <c r="BY806" s="77"/>
      <c r="BZ806" s="77"/>
      <c r="CA806" s="77"/>
      <c r="CB806" s="77"/>
      <c r="CC806" s="77"/>
      <c r="CD806" s="77"/>
      <c r="CE806" s="77"/>
      <c r="CF806" s="77"/>
      <c r="CG806" s="77"/>
      <c r="CH806" s="77"/>
      <c r="CI806" s="77"/>
      <c r="CJ806" s="77"/>
      <c r="CK806" s="77"/>
      <c r="CL806" s="77"/>
      <c r="CM806" s="77"/>
      <c r="CN806" s="77"/>
      <c r="CO806" s="77"/>
      <c r="CP806" s="77"/>
      <c r="CQ806" s="77"/>
      <c r="CR806" s="77"/>
      <c r="CS806" s="77"/>
      <c r="CT806" s="77"/>
      <c r="CU806" s="77"/>
      <c r="CV806" s="77"/>
      <c r="CW806" s="77"/>
    </row>
    <row r="807" spans="1:101" ht="16.5" x14ac:dyDescent="0.45">
      <c r="A807" s="76"/>
      <c r="B807" s="77"/>
      <c r="C807" s="77"/>
      <c r="D807" s="78"/>
      <c r="E807" s="80"/>
      <c r="F807" s="80"/>
      <c r="G807" s="81"/>
      <c r="H807" s="81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82"/>
      <c r="Z807" s="82"/>
      <c r="AA807" s="82"/>
      <c r="AB807" s="80"/>
      <c r="AC807" s="77"/>
      <c r="AD807" s="77"/>
      <c r="AE807" s="77"/>
      <c r="AF807" s="77"/>
      <c r="AG807" s="77"/>
      <c r="AH807" s="77"/>
      <c r="AI807" s="92"/>
      <c r="AJ807" s="77"/>
      <c r="AK807" s="77"/>
      <c r="AL807" s="77"/>
      <c r="AM807" s="77"/>
      <c r="AN807" s="77"/>
      <c r="AO807" s="77"/>
      <c r="AP807" s="76"/>
      <c r="AQ807" s="81"/>
      <c r="AR807" s="76"/>
      <c r="AS807" s="81"/>
      <c r="AT807" s="76"/>
      <c r="AU807" s="81"/>
      <c r="AV807" s="77"/>
      <c r="AW807" s="81"/>
      <c r="AX807" s="77"/>
      <c r="AY807" s="81"/>
      <c r="AZ807" s="77"/>
      <c r="BA807" s="81"/>
      <c r="BB807" s="77"/>
      <c r="BC807" s="81"/>
      <c r="BD807" s="77"/>
      <c r="BE807" s="81"/>
      <c r="BF807" s="77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77"/>
      <c r="BU807" s="77"/>
      <c r="BV807" s="77"/>
      <c r="BW807" s="77"/>
      <c r="BX807" s="77"/>
      <c r="BY807" s="77"/>
      <c r="BZ807" s="77"/>
      <c r="CA807" s="77"/>
      <c r="CB807" s="77"/>
      <c r="CC807" s="77"/>
      <c r="CD807" s="77"/>
      <c r="CE807" s="77"/>
      <c r="CF807" s="77"/>
      <c r="CG807" s="77"/>
      <c r="CH807" s="77"/>
      <c r="CI807" s="77"/>
      <c r="CJ807" s="77"/>
      <c r="CK807" s="77"/>
      <c r="CL807" s="77"/>
      <c r="CM807" s="77"/>
      <c r="CN807" s="77"/>
      <c r="CO807" s="77"/>
      <c r="CP807" s="77"/>
      <c r="CQ807" s="77"/>
      <c r="CR807" s="77"/>
      <c r="CS807" s="77"/>
      <c r="CT807" s="77"/>
      <c r="CU807" s="77"/>
      <c r="CV807" s="77"/>
      <c r="CW807" s="77"/>
    </row>
    <row r="808" spans="1:101" ht="16.5" x14ac:dyDescent="0.45">
      <c r="A808" s="76"/>
      <c r="B808" s="77"/>
      <c r="C808" s="77"/>
      <c r="D808" s="78"/>
      <c r="E808" s="80"/>
      <c r="F808" s="80"/>
      <c r="G808" s="81"/>
      <c r="H808" s="81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82"/>
      <c r="Z808" s="82"/>
      <c r="AA808" s="82"/>
      <c r="AB808" s="80"/>
      <c r="AC808" s="77"/>
      <c r="AD808" s="77"/>
      <c r="AE808" s="77"/>
      <c r="AF808" s="77"/>
      <c r="AG808" s="77"/>
      <c r="AH808" s="77"/>
      <c r="AI808" s="92"/>
      <c r="AJ808" s="77"/>
      <c r="AK808" s="77"/>
      <c r="AL808" s="77"/>
      <c r="AM808" s="77"/>
      <c r="AN808" s="77"/>
      <c r="AO808" s="77"/>
      <c r="AP808" s="76"/>
      <c r="AQ808" s="81"/>
      <c r="AR808" s="76"/>
      <c r="AS808" s="81"/>
      <c r="AT808" s="76"/>
      <c r="AU808" s="81"/>
      <c r="AV808" s="77"/>
      <c r="AW808" s="81"/>
      <c r="AX808" s="77"/>
      <c r="AY808" s="81"/>
      <c r="AZ808" s="77"/>
      <c r="BA808" s="81"/>
      <c r="BB808" s="77"/>
      <c r="BC808" s="81"/>
      <c r="BD808" s="77"/>
      <c r="BE808" s="81"/>
      <c r="BF808" s="77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77"/>
      <c r="BU808" s="77"/>
      <c r="BV808" s="77"/>
      <c r="BW808" s="77"/>
      <c r="BX808" s="77"/>
      <c r="BY808" s="77"/>
      <c r="BZ808" s="77"/>
      <c r="CA808" s="77"/>
      <c r="CB808" s="77"/>
      <c r="CC808" s="77"/>
      <c r="CD808" s="77"/>
      <c r="CE808" s="77"/>
      <c r="CF808" s="77"/>
      <c r="CG808" s="77"/>
      <c r="CH808" s="77"/>
      <c r="CI808" s="77"/>
      <c r="CJ808" s="77"/>
      <c r="CK808" s="77"/>
      <c r="CL808" s="77"/>
      <c r="CM808" s="77"/>
      <c r="CN808" s="77"/>
      <c r="CO808" s="77"/>
      <c r="CP808" s="77"/>
      <c r="CQ808" s="77"/>
      <c r="CR808" s="77"/>
      <c r="CS808" s="77"/>
      <c r="CT808" s="77"/>
      <c r="CU808" s="77"/>
      <c r="CV808" s="77"/>
      <c r="CW808" s="77"/>
    </row>
    <row r="809" spans="1:101" ht="16.5" x14ac:dyDescent="0.45">
      <c r="A809" s="76"/>
      <c r="B809" s="77"/>
      <c r="C809" s="77"/>
      <c r="D809" s="78"/>
      <c r="E809" s="80"/>
      <c r="F809" s="80"/>
      <c r="G809" s="81"/>
      <c r="H809" s="81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82"/>
      <c r="Z809" s="82"/>
      <c r="AA809" s="82"/>
      <c r="AB809" s="80"/>
      <c r="AC809" s="77"/>
      <c r="AD809" s="77"/>
      <c r="AE809" s="77"/>
      <c r="AF809" s="77"/>
      <c r="AG809" s="77"/>
      <c r="AH809" s="77"/>
      <c r="AI809" s="92"/>
      <c r="AJ809" s="77"/>
      <c r="AK809" s="77"/>
      <c r="AL809" s="77"/>
      <c r="AM809" s="77"/>
      <c r="AN809" s="77"/>
      <c r="AO809" s="77"/>
      <c r="AP809" s="76"/>
      <c r="AQ809" s="81"/>
      <c r="AR809" s="76"/>
      <c r="AS809" s="81"/>
      <c r="AT809" s="76"/>
      <c r="AU809" s="81"/>
      <c r="AV809" s="77"/>
      <c r="AW809" s="81"/>
      <c r="AX809" s="77"/>
      <c r="AY809" s="81"/>
      <c r="AZ809" s="77"/>
      <c r="BA809" s="81"/>
      <c r="BB809" s="77"/>
      <c r="BC809" s="81"/>
      <c r="BD809" s="77"/>
      <c r="BE809" s="81"/>
      <c r="BF809" s="77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77"/>
      <c r="BU809" s="77"/>
      <c r="BV809" s="77"/>
      <c r="BW809" s="77"/>
      <c r="BX809" s="77"/>
      <c r="BY809" s="77"/>
      <c r="BZ809" s="77"/>
      <c r="CA809" s="77"/>
      <c r="CB809" s="77"/>
      <c r="CC809" s="77"/>
      <c r="CD809" s="77"/>
      <c r="CE809" s="77"/>
      <c r="CF809" s="77"/>
      <c r="CG809" s="77"/>
      <c r="CH809" s="77"/>
      <c r="CI809" s="77"/>
      <c r="CJ809" s="77"/>
      <c r="CK809" s="77"/>
      <c r="CL809" s="77"/>
      <c r="CM809" s="77"/>
      <c r="CN809" s="77"/>
      <c r="CO809" s="77"/>
      <c r="CP809" s="77"/>
      <c r="CQ809" s="77"/>
      <c r="CR809" s="77"/>
      <c r="CS809" s="77"/>
      <c r="CT809" s="77"/>
      <c r="CU809" s="77"/>
      <c r="CV809" s="77"/>
      <c r="CW809" s="77"/>
    </row>
    <row r="810" spans="1:101" ht="16.5" x14ac:dyDescent="0.45">
      <c r="A810" s="76"/>
      <c r="B810" s="77"/>
      <c r="C810" s="77"/>
      <c r="D810" s="78"/>
      <c r="E810" s="80"/>
      <c r="F810" s="80"/>
      <c r="G810" s="81"/>
      <c r="H810" s="81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82"/>
      <c r="Z810" s="82"/>
      <c r="AA810" s="82"/>
      <c r="AB810" s="80"/>
      <c r="AC810" s="77"/>
      <c r="AD810" s="77"/>
      <c r="AE810" s="77"/>
      <c r="AF810" s="77"/>
      <c r="AG810" s="77"/>
      <c r="AH810" s="77"/>
      <c r="AI810" s="92"/>
      <c r="AJ810" s="77"/>
      <c r="AK810" s="77"/>
      <c r="AL810" s="77"/>
      <c r="AM810" s="77"/>
      <c r="AN810" s="77"/>
      <c r="AO810" s="77"/>
      <c r="AP810" s="76"/>
      <c r="AQ810" s="81"/>
      <c r="AR810" s="76"/>
      <c r="AS810" s="81"/>
      <c r="AT810" s="76"/>
      <c r="AU810" s="81"/>
      <c r="AV810" s="77"/>
      <c r="AW810" s="81"/>
      <c r="AX810" s="77"/>
      <c r="AY810" s="81"/>
      <c r="AZ810" s="77"/>
      <c r="BA810" s="81"/>
      <c r="BB810" s="77"/>
      <c r="BC810" s="81"/>
      <c r="BD810" s="77"/>
      <c r="BE810" s="81"/>
      <c r="BF810" s="77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77"/>
      <c r="BU810" s="77"/>
      <c r="BV810" s="77"/>
      <c r="BW810" s="77"/>
      <c r="BX810" s="77"/>
      <c r="BY810" s="77"/>
      <c r="BZ810" s="77"/>
      <c r="CA810" s="77"/>
      <c r="CB810" s="77"/>
      <c r="CC810" s="77"/>
      <c r="CD810" s="77"/>
      <c r="CE810" s="77"/>
      <c r="CF810" s="77"/>
      <c r="CG810" s="77"/>
      <c r="CH810" s="77"/>
      <c r="CI810" s="77"/>
      <c r="CJ810" s="77"/>
      <c r="CK810" s="77"/>
      <c r="CL810" s="77"/>
      <c r="CM810" s="77"/>
      <c r="CN810" s="77"/>
      <c r="CO810" s="77"/>
      <c r="CP810" s="77"/>
      <c r="CQ810" s="77"/>
      <c r="CR810" s="77"/>
      <c r="CS810" s="77"/>
      <c r="CT810" s="77"/>
      <c r="CU810" s="77"/>
      <c r="CV810" s="77"/>
      <c r="CW810" s="77"/>
    </row>
    <row r="811" spans="1:101" ht="16.5" x14ac:dyDescent="0.45">
      <c r="A811" s="76"/>
      <c r="B811" s="77"/>
      <c r="C811" s="77"/>
      <c r="D811" s="78"/>
      <c r="E811" s="80"/>
      <c r="F811" s="80"/>
      <c r="G811" s="81"/>
      <c r="H811" s="81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82"/>
      <c r="Z811" s="82"/>
      <c r="AA811" s="82"/>
      <c r="AB811" s="80"/>
      <c r="AC811" s="77"/>
      <c r="AD811" s="77"/>
      <c r="AE811" s="77"/>
      <c r="AF811" s="77"/>
      <c r="AG811" s="77"/>
      <c r="AH811" s="77"/>
      <c r="AI811" s="92"/>
      <c r="AJ811" s="77"/>
      <c r="AK811" s="77"/>
      <c r="AL811" s="77"/>
      <c r="AM811" s="77"/>
      <c r="AN811" s="77"/>
      <c r="AO811" s="77"/>
      <c r="AP811" s="76"/>
      <c r="AQ811" s="81"/>
      <c r="AR811" s="76"/>
      <c r="AS811" s="81"/>
      <c r="AT811" s="76"/>
      <c r="AU811" s="81"/>
      <c r="AV811" s="77"/>
      <c r="AW811" s="81"/>
      <c r="AX811" s="77"/>
      <c r="AY811" s="81"/>
      <c r="AZ811" s="77"/>
      <c r="BA811" s="81"/>
      <c r="BB811" s="77"/>
      <c r="BC811" s="81"/>
      <c r="BD811" s="77"/>
      <c r="BE811" s="81"/>
      <c r="BF811" s="77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77"/>
      <c r="BU811" s="77"/>
      <c r="BV811" s="77"/>
      <c r="BW811" s="77"/>
      <c r="BX811" s="77"/>
      <c r="BY811" s="77"/>
      <c r="BZ811" s="77"/>
      <c r="CA811" s="77"/>
      <c r="CB811" s="77"/>
      <c r="CC811" s="77"/>
      <c r="CD811" s="77"/>
      <c r="CE811" s="77"/>
      <c r="CF811" s="77"/>
      <c r="CG811" s="77"/>
      <c r="CH811" s="77"/>
      <c r="CI811" s="77"/>
      <c r="CJ811" s="77"/>
      <c r="CK811" s="77"/>
      <c r="CL811" s="77"/>
      <c r="CM811" s="77"/>
      <c r="CN811" s="77"/>
      <c r="CO811" s="77"/>
      <c r="CP811" s="77"/>
      <c r="CQ811" s="77"/>
      <c r="CR811" s="77"/>
      <c r="CS811" s="77"/>
      <c r="CT811" s="77"/>
      <c r="CU811" s="77"/>
      <c r="CV811" s="77"/>
      <c r="CW811" s="77"/>
    </row>
    <row r="812" spans="1:101" ht="16.5" x14ac:dyDescent="0.45">
      <c r="A812" s="76"/>
      <c r="B812" s="77"/>
      <c r="C812" s="77"/>
      <c r="D812" s="78"/>
      <c r="E812" s="80"/>
      <c r="F812" s="80"/>
      <c r="G812" s="81"/>
      <c r="H812" s="81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82"/>
      <c r="Z812" s="82"/>
      <c r="AA812" s="82"/>
      <c r="AB812" s="80"/>
      <c r="AC812" s="77"/>
      <c r="AD812" s="77"/>
      <c r="AE812" s="77"/>
      <c r="AF812" s="77"/>
      <c r="AG812" s="77"/>
      <c r="AH812" s="77"/>
      <c r="AI812" s="92"/>
      <c r="AJ812" s="77"/>
      <c r="AK812" s="77"/>
      <c r="AL812" s="77"/>
      <c r="AM812" s="77"/>
      <c r="AN812" s="77"/>
      <c r="AO812" s="77"/>
      <c r="AP812" s="76"/>
      <c r="AQ812" s="81"/>
      <c r="AR812" s="76"/>
      <c r="AS812" s="81"/>
      <c r="AT812" s="76"/>
      <c r="AU812" s="81"/>
      <c r="AV812" s="77"/>
      <c r="AW812" s="81"/>
      <c r="AX812" s="77"/>
      <c r="AY812" s="81"/>
      <c r="AZ812" s="77"/>
      <c r="BA812" s="81"/>
      <c r="BB812" s="77"/>
      <c r="BC812" s="81"/>
      <c r="BD812" s="77"/>
      <c r="BE812" s="81"/>
      <c r="BF812" s="77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77"/>
      <c r="BU812" s="77"/>
      <c r="BV812" s="77"/>
      <c r="BW812" s="77"/>
      <c r="BX812" s="77"/>
      <c r="BY812" s="77"/>
      <c r="BZ812" s="77"/>
      <c r="CA812" s="77"/>
      <c r="CB812" s="77"/>
      <c r="CC812" s="77"/>
      <c r="CD812" s="77"/>
      <c r="CE812" s="77"/>
      <c r="CF812" s="77"/>
      <c r="CG812" s="77"/>
      <c r="CH812" s="77"/>
      <c r="CI812" s="77"/>
      <c r="CJ812" s="77"/>
      <c r="CK812" s="77"/>
      <c r="CL812" s="77"/>
      <c r="CM812" s="77"/>
      <c r="CN812" s="77"/>
      <c r="CO812" s="77"/>
      <c r="CP812" s="77"/>
      <c r="CQ812" s="77"/>
      <c r="CR812" s="77"/>
      <c r="CS812" s="77"/>
      <c r="CT812" s="77"/>
      <c r="CU812" s="77"/>
      <c r="CV812" s="77"/>
      <c r="CW812" s="77"/>
    </row>
    <row r="813" spans="1:101" ht="16.5" x14ac:dyDescent="0.45">
      <c r="A813" s="76"/>
      <c r="B813" s="77"/>
      <c r="C813" s="77"/>
      <c r="D813" s="78"/>
      <c r="E813" s="80"/>
      <c r="F813" s="80"/>
      <c r="G813" s="81"/>
      <c r="H813" s="81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82"/>
      <c r="Z813" s="82"/>
      <c r="AA813" s="82"/>
      <c r="AB813" s="80"/>
      <c r="AC813" s="77"/>
      <c r="AD813" s="77"/>
      <c r="AE813" s="77"/>
      <c r="AF813" s="77"/>
      <c r="AG813" s="77"/>
      <c r="AH813" s="77"/>
      <c r="AI813" s="92"/>
      <c r="AJ813" s="77"/>
      <c r="AK813" s="77"/>
      <c r="AL813" s="77"/>
      <c r="AM813" s="77"/>
      <c r="AN813" s="77"/>
      <c r="AO813" s="77"/>
      <c r="AP813" s="76"/>
      <c r="AQ813" s="81"/>
      <c r="AR813" s="76"/>
      <c r="AS813" s="81"/>
      <c r="AT813" s="76"/>
      <c r="AU813" s="81"/>
      <c r="AV813" s="77"/>
      <c r="AW813" s="81"/>
      <c r="AX813" s="77"/>
      <c r="AY813" s="81"/>
      <c r="AZ813" s="77"/>
      <c r="BA813" s="81"/>
      <c r="BB813" s="77"/>
      <c r="BC813" s="81"/>
      <c r="BD813" s="77"/>
      <c r="BE813" s="81"/>
      <c r="BF813" s="77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77"/>
      <c r="BU813" s="77"/>
      <c r="BV813" s="77"/>
      <c r="BW813" s="77"/>
      <c r="BX813" s="77"/>
      <c r="BY813" s="77"/>
      <c r="BZ813" s="77"/>
      <c r="CA813" s="77"/>
      <c r="CB813" s="77"/>
      <c r="CC813" s="77"/>
      <c r="CD813" s="77"/>
      <c r="CE813" s="77"/>
      <c r="CF813" s="77"/>
      <c r="CG813" s="77"/>
      <c r="CH813" s="77"/>
      <c r="CI813" s="77"/>
      <c r="CJ813" s="77"/>
      <c r="CK813" s="77"/>
      <c r="CL813" s="77"/>
      <c r="CM813" s="77"/>
      <c r="CN813" s="77"/>
      <c r="CO813" s="77"/>
      <c r="CP813" s="77"/>
      <c r="CQ813" s="77"/>
      <c r="CR813" s="77"/>
      <c r="CS813" s="77"/>
      <c r="CT813" s="77"/>
      <c r="CU813" s="77"/>
      <c r="CV813" s="77"/>
      <c r="CW813" s="77"/>
    </row>
    <row r="814" spans="1:101" ht="16.5" x14ac:dyDescent="0.45">
      <c r="A814" s="76"/>
      <c r="B814" s="77"/>
      <c r="C814" s="77"/>
      <c r="D814" s="78"/>
      <c r="E814" s="80"/>
      <c r="F814" s="80"/>
      <c r="G814" s="81"/>
      <c r="H814" s="81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82"/>
      <c r="Z814" s="82"/>
      <c r="AA814" s="82"/>
      <c r="AB814" s="80"/>
      <c r="AC814" s="77"/>
      <c r="AD814" s="77"/>
      <c r="AE814" s="77"/>
      <c r="AF814" s="77"/>
      <c r="AG814" s="77"/>
      <c r="AH814" s="77"/>
      <c r="AI814" s="92"/>
      <c r="AJ814" s="77"/>
      <c r="AK814" s="77"/>
      <c r="AL814" s="77"/>
      <c r="AM814" s="77"/>
      <c r="AN814" s="77"/>
      <c r="AO814" s="77"/>
      <c r="AP814" s="76"/>
      <c r="AQ814" s="81"/>
      <c r="AR814" s="76"/>
      <c r="AS814" s="81"/>
      <c r="AT814" s="76"/>
      <c r="AU814" s="81"/>
      <c r="AV814" s="77"/>
      <c r="AW814" s="81"/>
      <c r="AX814" s="77"/>
      <c r="AY814" s="81"/>
      <c r="AZ814" s="77"/>
      <c r="BA814" s="81"/>
      <c r="BB814" s="77"/>
      <c r="BC814" s="81"/>
      <c r="BD814" s="77"/>
      <c r="BE814" s="81"/>
      <c r="BF814" s="77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77"/>
      <c r="BU814" s="77"/>
      <c r="BV814" s="77"/>
      <c r="BW814" s="77"/>
      <c r="BX814" s="77"/>
      <c r="BY814" s="77"/>
      <c r="BZ814" s="77"/>
      <c r="CA814" s="77"/>
      <c r="CB814" s="77"/>
      <c r="CC814" s="77"/>
      <c r="CD814" s="77"/>
      <c r="CE814" s="77"/>
      <c r="CF814" s="77"/>
      <c r="CG814" s="77"/>
      <c r="CH814" s="77"/>
      <c r="CI814" s="77"/>
      <c r="CJ814" s="77"/>
      <c r="CK814" s="77"/>
      <c r="CL814" s="77"/>
      <c r="CM814" s="77"/>
      <c r="CN814" s="77"/>
      <c r="CO814" s="77"/>
      <c r="CP814" s="77"/>
      <c r="CQ814" s="77"/>
      <c r="CR814" s="77"/>
      <c r="CS814" s="77"/>
      <c r="CT814" s="77"/>
      <c r="CU814" s="77"/>
      <c r="CV814" s="77"/>
      <c r="CW814" s="77"/>
    </row>
    <row r="815" spans="1:101" ht="16.5" x14ac:dyDescent="0.45">
      <c r="A815" s="76"/>
      <c r="B815" s="77"/>
      <c r="C815" s="77"/>
      <c r="D815" s="78"/>
      <c r="E815" s="80"/>
      <c r="F815" s="80"/>
      <c r="G815" s="81"/>
      <c r="H815" s="81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82"/>
      <c r="Z815" s="82"/>
      <c r="AA815" s="82"/>
      <c r="AB815" s="80"/>
      <c r="AC815" s="77"/>
      <c r="AD815" s="77"/>
      <c r="AE815" s="77"/>
      <c r="AF815" s="77"/>
      <c r="AG815" s="77"/>
      <c r="AH815" s="77"/>
      <c r="AI815" s="92"/>
      <c r="AJ815" s="77"/>
      <c r="AK815" s="77"/>
      <c r="AL815" s="77"/>
      <c r="AM815" s="77"/>
      <c r="AN815" s="77"/>
      <c r="AO815" s="77"/>
      <c r="AP815" s="76"/>
      <c r="AQ815" s="81"/>
      <c r="AR815" s="76"/>
      <c r="AS815" s="81"/>
      <c r="AT815" s="76"/>
      <c r="AU815" s="81"/>
      <c r="AV815" s="77"/>
      <c r="AW815" s="81"/>
      <c r="AX815" s="77"/>
      <c r="AY815" s="81"/>
      <c r="AZ815" s="77"/>
      <c r="BA815" s="81"/>
      <c r="BB815" s="77"/>
      <c r="BC815" s="81"/>
      <c r="BD815" s="77"/>
      <c r="BE815" s="81"/>
      <c r="BF815" s="77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77"/>
      <c r="BU815" s="77"/>
      <c r="BV815" s="77"/>
      <c r="BW815" s="77"/>
      <c r="BX815" s="77"/>
      <c r="BY815" s="77"/>
      <c r="BZ815" s="77"/>
      <c r="CA815" s="77"/>
      <c r="CB815" s="77"/>
      <c r="CC815" s="77"/>
      <c r="CD815" s="77"/>
      <c r="CE815" s="77"/>
      <c r="CF815" s="77"/>
      <c r="CG815" s="77"/>
      <c r="CH815" s="77"/>
      <c r="CI815" s="77"/>
      <c r="CJ815" s="77"/>
      <c r="CK815" s="77"/>
      <c r="CL815" s="77"/>
      <c r="CM815" s="77"/>
      <c r="CN815" s="77"/>
      <c r="CO815" s="77"/>
      <c r="CP815" s="77"/>
      <c r="CQ815" s="77"/>
      <c r="CR815" s="77"/>
      <c r="CS815" s="77"/>
      <c r="CT815" s="77"/>
      <c r="CU815" s="77"/>
      <c r="CV815" s="77"/>
      <c r="CW815" s="77"/>
    </row>
    <row r="816" spans="1:101" ht="16.5" x14ac:dyDescent="0.45">
      <c r="A816" s="76"/>
      <c r="B816" s="77"/>
      <c r="C816" s="77"/>
      <c r="D816" s="78"/>
      <c r="E816" s="80"/>
      <c r="F816" s="80"/>
      <c r="G816" s="81"/>
      <c r="H816" s="81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82"/>
      <c r="Z816" s="82"/>
      <c r="AA816" s="82"/>
      <c r="AB816" s="80"/>
      <c r="AC816" s="77"/>
      <c r="AD816" s="77"/>
      <c r="AE816" s="77"/>
      <c r="AF816" s="77"/>
      <c r="AG816" s="77"/>
      <c r="AH816" s="77"/>
      <c r="AI816" s="92"/>
      <c r="AJ816" s="77"/>
      <c r="AK816" s="77"/>
      <c r="AL816" s="77"/>
      <c r="AM816" s="77"/>
      <c r="AN816" s="77"/>
      <c r="AO816" s="77"/>
      <c r="AP816" s="76"/>
      <c r="AQ816" s="81"/>
      <c r="AR816" s="76"/>
      <c r="AS816" s="81"/>
      <c r="AT816" s="76"/>
      <c r="AU816" s="81"/>
      <c r="AV816" s="77"/>
      <c r="AW816" s="81"/>
      <c r="AX816" s="77"/>
      <c r="AY816" s="81"/>
      <c r="AZ816" s="77"/>
      <c r="BA816" s="81"/>
      <c r="BB816" s="77"/>
      <c r="BC816" s="81"/>
      <c r="BD816" s="77"/>
      <c r="BE816" s="81"/>
      <c r="BF816" s="77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77"/>
      <c r="BU816" s="77"/>
      <c r="BV816" s="77"/>
      <c r="BW816" s="77"/>
      <c r="BX816" s="77"/>
      <c r="BY816" s="77"/>
      <c r="BZ816" s="77"/>
      <c r="CA816" s="77"/>
      <c r="CB816" s="77"/>
      <c r="CC816" s="77"/>
      <c r="CD816" s="77"/>
      <c r="CE816" s="77"/>
      <c r="CF816" s="77"/>
      <c r="CG816" s="77"/>
      <c r="CH816" s="77"/>
      <c r="CI816" s="77"/>
      <c r="CJ816" s="77"/>
      <c r="CK816" s="77"/>
      <c r="CL816" s="77"/>
      <c r="CM816" s="77"/>
      <c r="CN816" s="77"/>
      <c r="CO816" s="77"/>
      <c r="CP816" s="77"/>
      <c r="CQ816" s="77"/>
      <c r="CR816" s="77"/>
      <c r="CS816" s="77"/>
      <c r="CT816" s="77"/>
      <c r="CU816" s="77"/>
      <c r="CV816" s="77"/>
      <c r="CW816" s="77"/>
    </row>
    <row r="817" spans="1:101" ht="16.5" x14ac:dyDescent="0.45">
      <c r="A817" s="76"/>
      <c r="B817" s="77"/>
      <c r="C817" s="77"/>
      <c r="D817" s="78"/>
      <c r="E817" s="80"/>
      <c r="F817" s="80"/>
      <c r="G817" s="81"/>
      <c r="H817" s="81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82"/>
      <c r="Z817" s="82"/>
      <c r="AA817" s="82"/>
      <c r="AB817" s="80"/>
      <c r="AC817" s="77"/>
      <c r="AD817" s="77"/>
      <c r="AE817" s="77"/>
      <c r="AF817" s="77"/>
      <c r="AG817" s="77"/>
      <c r="AH817" s="77"/>
      <c r="AI817" s="92"/>
      <c r="AJ817" s="77"/>
      <c r="AK817" s="77"/>
      <c r="AL817" s="77"/>
      <c r="AM817" s="77"/>
      <c r="AN817" s="77"/>
      <c r="AO817" s="77"/>
      <c r="AP817" s="76"/>
      <c r="AQ817" s="81"/>
      <c r="AR817" s="76"/>
      <c r="AS817" s="81"/>
      <c r="AT817" s="76"/>
      <c r="AU817" s="81"/>
      <c r="AV817" s="77"/>
      <c r="AW817" s="81"/>
      <c r="AX817" s="77"/>
      <c r="AY817" s="81"/>
      <c r="AZ817" s="77"/>
      <c r="BA817" s="81"/>
      <c r="BB817" s="77"/>
      <c r="BC817" s="81"/>
      <c r="BD817" s="77"/>
      <c r="BE817" s="81"/>
      <c r="BF817" s="77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77"/>
      <c r="BU817" s="77"/>
      <c r="BV817" s="77"/>
      <c r="BW817" s="77"/>
      <c r="BX817" s="77"/>
      <c r="BY817" s="77"/>
      <c r="BZ817" s="77"/>
      <c r="CA817" s="77"/>
      <c r="CB817" s="77"/>
      <c r="CC817" s="77"/>
      <c r="CD817" s="77"/>
      <c r="CE817" s="77"/>
      <c r="CF817" s="77"/>
      <c r="CG817" s="77"/>
      <c r="CH817" s="77"/>
      <c r="CI817" s="77"/>
      <c r="CJ817" s="77"/>
      <c r="CK817" s="77"/>
      <c r="CL817" s="77"/>
      <c r="CM817" s="77"/>
      <c r="CN817" s="77"/>
      <c r="CO817" s="77"/>
      <c r="CP817" s="77"/>
      <c r="CQ817" s="77"/>
      <c r="CR817" s="77"/>
      <c r="CS817" s="77"/>
      <c r="CT817" s="77"/>
      <c r="CU817" s="77"/>
      <c r="CV817" s="77"/>
      <c r="CW817" s="77"/>
    </row>
    <row r="818" spans="1:101" ht="16.5" x14ac:dyDescent="0.45">
      <c r="A818" s="76"/>
      <c r="B818" s="77"/>
      <c r="C818" s="77"/>
      <c r="D818" s="78"/>
      <c r="E818" s="80"/>
      <c r="F818" s="80"/>
      <c r="G818" s="81"/>
      <c r="H818" s="81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82"/>
      <c r="Z818" s="82"/>
      <c r="AA818" s="82"/>
      <c r="AB818" s="80"/>
      <c r="AC818" s="77"/>
      <c r="AD818" s="77"/>
      <c r="AE818" s="77"/>
      <c r="AF818" s="77"/>
      <c r="AG818" s="77"/>
      <c r="AH818" s="77"/>
      <c r="AI818" s="92"/>
      <c r="AJ818" s="77"/>
      <c r="AK818" s="77"/>
      <c r="AL818" s="77"/>
      <c r="AM818" s="77"/>
      <c r="AN818" s="77"/>
      <c r="AO818" s="77"/>
      <c r="AP818" s="76"/>
      <c r="AQ818" s="81"/>
      <c r="AR818" s="76"/>
      <c r="AS818" s="81"/>
      <c r="AT818" s="76"/>
      <c r="AU818" s="81"/>
      <c r="AV818" s="77"/>
      <c r="AW818" s="81"/>
      <c r="AX818" s="77"/>
      <c r="AY818" s="81"/>
      <c r="AZ818" s="77"/>
      <c r="BA818" s="81"/>
      <c r="BB818" s="77"/>
      <c r="BC818" s="81"/>
      <c r="BD818" s="77"/>
      <c r="BE818" s="81"/>
      <c r="BF818" s="77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77"/>
      <c r="BU818" s="77"/>
      <c r="BV818" s="77"/>
      <c r="BW818" s="77"/>
      <c r="BX818" s="77"/>
      <c r="BY818" s="77"/>
      <c r="BZ818" s="77"/>
      <c r="CA818" s="77"/>
      <c r="CB818" s="77"/>
      <c r="CC818" s="77"/>
      <c r="CD818" s="77"/>
      <c r="CE818" s="77"/>
      <c r="CF818" s="77"/>
      <c r="CG818" s="77"/>
      <c r="CH818" s="77"/>
      <c r="CI818" s="77"/>
      <c r="CJ818" s="77"/>
      <c r="CK818" s="77"/>
      <c r="CL818" s="77"/>
      <c r="CM818" s="77"/>
      <c r="CN818" s="77"/>
      <c r="CO818" s="77"/>
      <c r="CP818" s="77"/>
      <c r="CQ818" s="77"/>
      <c r="CR818" s="77"/>
      <c r="CS818" s="77"/>
      <c r="CT818" s="77"/>
      <c r="CU818" s="77"/>
      <c r="CV818" s="77"/>
      <c r="CW818" s="77"/>
    </row>
    <row r="819" spans="1:101" ht="16.5" x14ac:dyDescent="0.45">
      <c r="A819" s="76"/>
      <c r="B819" s="77"/>
      <c r="C819" s="77"/>
      <c r="D819" s="78"/>
      <c r="E819" s="80"/>
      <c r="F819" s="80"/>
      <c r="G819" s="81"/>
      <c r="H819" s="81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82"/>
      <c r="Z819" s="82"/>
      <c r="AA819" s="82"/>
      <c r="AB819" s="80"/>
      <c r="AC819" s="77"/>
      <c r="AD819" s="77"/>
      <c r="AE819" s="77"/>
      <c r="AF819" s="77"/>
      <c r="AG819" s="77"/>
      <c r="AH819" s="77"/>
      <c r="AI819" s="92"/>
      <c r="AJ819" s="77"/>
      <c r="AK819" s="77"/>
      <c r="AL819" s="77"/>
      <c r="AM819" s="77"/>
      <c r="AN819" s="77"/>
      <c r="AO819" s="77"/>
      <c r="AP819" s="76"/>
      <c r="AQ819" s="81"/>
      <c r="AR819" s="76"/>
      <c r="AS819" s="81"/>
      <c r="AT819" s="76"/>
      <c r="AU819" s="81"/>
      <c r="AV819" s="77"/>
      <c r="AW819" s="81"/>
      <c r="AX819" s="77"/>
      <c r="AY819" s="81"/>
      <c r="AZ819" s="77"/>
      <c r="BA819" s="81"/>
      <c r="BB819" s="77"/>
      <c r="BC819" s="81"/>
      <c r="BD819" s="77"/>
      <c r="BE819" s="81"/>
      <c r="BF819" s="77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77"/>
      <c r="BU819" s="77"/>
      <c r="BV819" s="77"/>
      <c r="BW819" s="77"/>
      <c r="BX819" s="77"/>
      <c r="BY819" s="77"/>
      <c r="BZ819" s="77"/>
      <c r="CA819" s="77"/>
      <c r="CB819" s="77"/>
      <c r="CC819" s="77"/>
      <c r="CD819" s="77"/>
      <c r="CE819" s="77"/>
      <c r="CF819" s="77"/>
      <c r="CG819" s="77"/>
      <c r="CH819" s="77"/>
      <c r="CI819" s="77"/>
      <c r="CJ819" s="77"/>
      <c r="CK819" s="77"/>
      <c r="CL819" s="77"/>
      <c r="CM819" s="77"/>
      <c r="CN819" s="77"/>
      <c r="CO819" s="77"/>
      <c r="CP819" s="77"/>
      <c r="CQ819" s="77"/>
      <c r="CR819" s="77"/>
      <c r="CS819" s="77"/>
      <c r="CT819" s="77"/>
      <c r="CU819" s="77"/>
      <c r="CV819" s="77"/>
      <c r="CW819" s="77"/>
    </row>
    <row r="820" spans="1:101" ht="16.5" x14ac:dyDescent="0.45">
      <c r="A820" s="76"/>
      <c r="B820" s="77"/>
      <c r="C820" s="77"/>
      <c r="D820" s="78"/>
      <c r="E820" s="80"/>
      <c r="F820" s="80"/>
      <c r="G820" s="81"/>
      <c r="H820" s="81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82"/>
      <c r="Z820" s="82"/>
      <c r="AA820" s="82"/>
      <c r="AB820" s="80"/>
      <c r="AC820" s="77"/>
      <c r="AD820" s="77"/>
      <c r="AE820" s="77"/>
      <c r="AF820" s="77"/>
      <c r="AG820" s="77"/>
      <c r="AH820" s="77"/>
      <c r="AI820" s="92"/>
      <c r="AJ820" s="77"/>
      <c r="AK820" s="77"/>
      <c r="AL820" s="77"/>
      <c r="AM820" s="77"/>
      <c r="AN820" s="77"/>
      <c r="AO820" s="77"/>
      <c r="AP820" s="76"/>
      <c r="AQ820" s="81"/>
      <c r="AR820" s="76"/>
      <c r="AS820" s="81"/>
      <c r="AT820" s="76"/>
      <c r="AU820" s="81"/>
      <c r="AV820" s="77"/>
      <c r="AW820" s="81"/>
      <c r="AX820" s="77"/>
      <c r="AY820" s="81"/>
      <c r="AZ820" s="77"/>
      <c r="BA820" s="81"/>
      <c r="BB820" s="77"/>
      <c r="BC820" s="81"/>
      <c r="BD820" s="77"/>
      <c r="BE820" s="81"/>
      <c r="BF820" s="77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77"/>
      <c r="BU820" s="77"/>
      <c r="BV820" s="77"/>
      <c r="BW820" s="77"/>
      <c r="BX820" s="77"/>
      <c r="BY820" s="77"/>
      <c r="BZ820" s="77"/>
      <c r="CA820" s="77"/>
      <c r="CB820" s="77"/>
      <c r="CC820" s="77"/>
      <c r="CD820" s="77"/>
      <c r="CE820" s="77"/>
      <c r="CF820" s="77"/>
      <c r="CG820" s="77"/>
      <c r="CH820" s="77"/>
      <c r="CI820" s="77"/>
      <c r="CJ820" s="77"/>
      <c r="CK820" s="77"/>
      <c r="CL820" s="77"/>
      <c r="CM820" s="77"/>
      <c r="CN820" s="77"/>
      <c r="CO820" s="77"/>
      <c r="CP820" s="77"/>
      <c r="CQ820" s="77"/>
      <c r="CR820" s="77"/>
      <c r="CS820" s="77"/>
      <c r="CT820" s="77"/>
      <c r="CU820" s="77"/>
      <c r="CV820" s="77"/>
      <c r="CW820" s="77"/>
    </row>
    <row r="821" spans="1:101" ht="16.5" x14ac:dyDescent="0.45">
      <c r="A821" s="76"/>
      <c r="B821" s="77"/>
      <c r="C821" s="77"/>
      <c r="D821" s="78"/>
      <c r="E821" s="80"/>
      <c r="F821" s="80"/>
      <c r="G821" s="81"/>
      <c r="H821" s="81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82"/>
      <c r="Z821" s="82"/>
      <c r="AA821" s="82"/>
      <c r="AB821" s="80"/>
      <c r="AC821" s="77"/>
      <c r="AD821" s="77"/>
      <c r="AE821" s="77"/>
      <c r="AF821" s="77"/>
      <c r="AG821" s="77"/>
      <c r="AH821" s="77"/>
      <c r="AI821" s="92"/>
      <c r="AJ821" s="77"/>
      <c r="AK821" s="77"/>
      <c r="AL821" s="77"/>
      <c r="AM821" s="77"/>
      <c r="AN821" s="77"/>
      <c r="AO821" s="77"/>
      <c r="AP821" s="76"/>
      <c r="AQ821" s="81"/>
      <c r="AR821" s="76"/>
      <c r="AS821" s="81"/>
      <c r="AT821" s="76"/>
      <c r="AU821" s="81"/>
      <c r="AV821" s="77"/>
      <c r="AW821" s="81"/>
      <c r="AX821" s="77"/>
      <c r="AY821" s="81"/>
      <c r="AZ821" s="77"/>
      <c r="BA821" s="81"/>
      <c r="BB821" s="77"/>
      <c r="BC821" s="81"/>
      <c r="BD821" s="77"/>
      <c r="BE821" s="81"/>
      <c r="BF821" s="77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77"/>
      <c r="BU821" s="77"/>
      <c r="BV821" s="77"/>
      <c r="BW821" s="77"/>
      <c r="BX821" s="77"/>
      <c r="BY821" s="77"/>
      <c r="BZ821" s="77"/>
      <c r="CA821" s="77"/>
      <c r="CB821" s="77"/>
      <c r="CC821" s="77"/>
      <c r="CD821" s="77"/>
      <c r="CE821" s="77"/>
      <c r="CF821" s="77"/>
      <c r="CG821" s="77"/>
      <c r="CH821" s="77"/>
      <c r="CI821" s="77"/>
      <c r="CJ821" s="77"/>
      <c r="CK821" s="77"/>
      <c r="CL821" s="77"/>
      <c r="CM821" s="77"/>
      <c r="CN821" s="77"/>
      <c r="CO821" s="77"/>
      <c r="CP821" s="77"/>
      <c r="CQ821" s="77"/>
      <c r="CR821" s="77"/>
      <c r="CS821" s="77"/>
      <c r="CT821" s="77"/>
      <c r="CU821" s="77"/>
      <c r="CV821" s="77"/>
      <c r="CW821" s="77"/>
    </row>
    <row r="822" spans="1:101" ht="16.5" x14ac:dyDescent="0.45">
      <c r="A822" s="76"/>
      <c r="B822" s="77"/>
      <c r="C822" s="77"/>
      <c r="D822" s="78"/>
      <c r="E822" s="80"/>
      <c r="F822" s="80"/>
      <c r="G822" s="81"/>
      <c r="H822" s="81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82"/>
      <c r="Z822" s="82"/>
      <c r="AA822" s="82"/>
      <c r="AB822" s="80"/>
      <c r="AC822" s="77"/>
      <c r="AD822" s="77"/>
      <c r="AE822" s="77"/>
      <c r="AF822" s="77"/>
      <c r="AG822" s="77"/>
      <c r="AH822" s="77"/>
      <c r="AI822" s="92"/>
      <c r="AJ822" s="77"/>
      <c r="AK822" s="77"/>
      <c r="AL822" s="77"/>
      <c r="AM822" s="77"/>
      <c r="AN822" s="77"/>
      <c r="AO822" s="77"/>
      <c r="AP822" s="76"/>
      <c r="AQ822" s="81"/>
      <c r="AR822" s="76"/>
      <c r="AS822" s="81"/>
      <c r="AT822" s="76"/>
      <c r="AU822" s="81"/>
      <c r="AV822" s="77"/>
      <c r="AW822" s="81"/>
      <c r="AX822" s="77"/>
      <c r="AY822" s="81"/>
      <c r="AZ822" s="77"/>
      <c r="BA822" s="81"/>
      <c r="BB822" s="77"/>
      <c r="BC822" s="81"/>
      <c r="BD822" s="77"/>
      <c r="BE822" s="81"/>
      <c r="BF822" s="77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77"/>
      <c r="BU822" s="77"/>
      <c r="BV822" s="77"/>
      <c r="BW822" s="77"/>
      <c r="BX822" s="77"/>
      <c r="BY822" s="77"/>
      <c r="BZ822" s="77"/>
      <c r="CA822" s="77"/>
      <c r="CB822" s="77"/>
      <c r="CC822" s="77"/>
      <c r="CD822" s="77"/>
      <c r="CE822" s="77"/>
      <c r="CF822" s="77"/>
      <c r="CG822" s="77"/>
      <c r="CH822" s="77"/>
      <c r="CI822" s="77"/>
      <c r="CJ822" s="77"/>
      <c r="CK822" s="77"/>
      <c r="CL822" s="77"/>
      <c r="CM822" s="77"/>
      <c r="CN822" s="77"/>
      <c r="CO822" s="77"/>
      <c r="CP822" s="77"/>
      <c r="CQ822" s="77"/>
      <c r="CR822" s="77"/>
      <c r="CS822" s="77"/>
      <c r="CT822" s="77"/>
      <c r="CU822" s="77"/>
      <c r="CV822" s="77"/>
      <c r="CW822" s="77"/>
    </row>
    <row r="823" spans="1:101" ht="16.5" x14ac:dyDescent="0.45">
      <c r="A823" s="76"/>
      <c r="B823" s="77"/>
      <c r="C823" s="77"/>
      <c r="D823" s="78"/>
      <c r="E823" s="80"/>
      <c r="F823" s="80"/>
      <c r="G823" s="81"/>
      <c r="H823" s="81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82"/>
      <c r="Z823" s="82"/>
      <c r="AA823" s="82"/>
      <c r="AB823" s="80"/>
      <c r="AC823" s="77"/>
      <c r="AD823" s="77"/>
      <c r="AE823" s="77"/>
      <c r="AF823" s="77"/>
      <c r="AG823" s="77"/>
      <c r="AH823" s="77"/>
      <c r="AI823" s="92"/>
      <c r="AJ823" s="77"/>
      <c r="AK823" s="77"/>
      <c r="AL823" s="77"/>
      <c r="AM823" s="77"/>
      <c r="AN823" s="77"/>
      <c r="AO823" s="77"/>
      <c r="AP823" s="76"/>
      <c r="AQ823" s="81"/>
      <c r="AR823" s="76"/>
      <c r="AS823" s="81"/>
      <c r="AT823" s="76"/>
      <c r="AU823" s="81"/>
      <c r="AV823" s="77"/>
      <c r="AW823" s="81"/>
      <c r="AX823" s="77"/>
      <c r="AY823" s="81"/>
      <c r="AZ823" s="77"/>
      <c r="BA823" s="81"/>
      <c r="BB823" s="77"/>
      <c r="BC823" s="81"/>
      <c r="BD823" s="77"/>
      <c r="BE823" s="81"/>
      <c r="BF823" s="77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77"/>
      <c r="BU823" s="77"/>
      <c r="BV823" s="77"/>
      <c r="BW823" s="77"/>
      <c r="BX823" s="77"/>
      <c r="BY823" s="77"/>
      <c r="BZ823" s="77"/>
      <c r="CA823" s="77"/>
      <c r="CB823" s="77"/>
      <c r="CC823" s="77"/>
      <c r="CD823" s="77"/>
      <c r="CE823" s="77"/>
      <c r="CF823" s="77"/>
      <c r="CG823" s="77"/>
      <c r="CH823" s="77"/>
      <c r="CI823" s="77"/>
      <c r="CJ823" s="77"/>
      <c r="CK823" s="77"/>
      <c r="CL823" s="77"/>
      <c r="CM823" s="77"/>
      <c r="CN823" s="77"/>
      <c r="CO823" s="77"/>
      <c r="CP823" s="77"/>
      <c r="CQ823" s="77"/>
      <c r="CR823" s="77"/>
      <c r="CS823" s="77"/>
      <c r="CT823" s="77"/>
      <c r="CU823" s="77"/>
      <c r="CV823" s="77"/>
      <c r="CW823" s="77"/>
    </row>
    <row r="824" spans="1:101" ht="16.5" x14ac:dyDescent="0.45">
      <c r="A824" s="76"/>
      <c r="B824" s="77"/>
      <c r="C824" s="77"/>
      <c r="D824" s="78"/>
      <c r="E824" s="80"/>
      <c r="F824" s="80"/>
      <c r="G824" s="81"/>
      <c r="H824" s="81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82"/>
      <c r="Z824" s="82"/>
      <c r="AA824" s="82"/>
      <c r="AB824" s="80"/>
      <c r="AC824" s="77"/>
      <c r="AD824" s="77"/>
      <c r="AE824" s="77"/>
      <c r="AF824" s="77"/>
      <c r="AG824" s="77"/>
      <c r="AH824" s="77"/>
      <c r="AI824" s="92"/>
      <c r="AJ824" s="77"/>
      <c r="AK824" s="77"/>
      <c r="AL824" s="77"/>
      <c r="AM824" s="77"/>
      <c r="AN824" s="77"/>
      <c r="AO824" s="77"/>
      <c r="AP824" s="76"/>
      <c r="AQ824" s="81"/>
      <c r="AR824" s="76"/>
      <c r="AS824" s="81"/>
      <c r="AT824" s="76"/>
      <c r="AU824" s="81"/>
      <c r="AV824" s="77"/>
      <c r="AW824" s="81"/>
      <c r="AX824" s="77"/>
      <c r="AY824" s="81"/>
      <c r="AZ824" s="77"/>
      <c r="BA824" s="81"/>
      <c r="BB824" s="77"/>
      <c r="BC824" s="81"/>
      <c r="BD824" s="77"/>
      <c r="BE824" s="81"/>
      <c r="BF824" s="77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77"/>
      <c r="BU824" s="77"/>
      <c r="BV824" s="77"/>
      <c r="BW824" s="77"/>
      <c r="BX824" s="77"/>
      <c r="BY824" s="77"/>
      <c r="BZ824" s="77"/>
      <c r="CA824" s="77"/>
      <c r="CB824" s="77"/>
      <c r="CC824" s="77"/>
      <c r="CD824" s="77"/>
      <c r="CE824" s="77"/>
      <c r="CF824" s="77"/>
      <c r="CG824" s="77"/>
      <c r="CH824" s="77"/>
      <c r="CI824" s="77"/>
      <c r="CJ824" s="77"/>
      <c r="CK824" s="77"/>
      <c r="CL824" s="77"/>
      <c r="CM824" s="77"/>
      <c r="CN824" s="77"/>
      <c r="CO824" s="77"/>
      <c r="CP824" s="77"/>
      <c r="CQ824" s="77"/>
      <c r="CR824" s="77"/>
      <c r="CS824" s="77"/>
      <c r="CT824" s="77"/>
      <c r="CU824" s="77"/>
      <c r="CV824" s="77"/>
      <c r="CW824" s="77"/>
    </row>
    <row r="825" spans="1:101" ht="16.5" x14ac:dyDescent="0.45">
      <c r="A825" s="76"/>
      <c r="B825" s="77"/>
      <c r="C825" s="77"/>
      <c r="D825" s="78"/>
      <c r="E825" s="80"/>
      <c r="F825" s="80"/>
      <c r="G825" s="81"/>
      <c r="H825" s="81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82"/>
      <c r="Z825" s="82"/>
      <c r="AA825" s="82"/>
      <c r="AB825" s="80"/>
      <c r="AC825" s="77"/>
      <c r="AD825" s="77"/>
      <c r="AE825" s="77"/>
      <c r="AF825" s="77"/>
      <c r="AG825" s="77"/>
      <c r="AH825" s="77"/>
      <c r="AI825" s="92"/>
      <c r="AJ825" s="77"/>
      <c r="AK825" s="77"/>
      <c r="AL825" s="77"/>
      <c r="AM825" s="77"/>
      <c r="AN825" s="77"/>
      <c r="AO825" s="77"/>
      <c r="AP825" s="76"/>
      <c r="AQ825" s="81"/>
      <c r="AR825" s="76"/>
      <c r="AS825" s="81"/>
      <c r="AT825" s="76"/>
      <c r="AU825" s="81"/>
      <c r="AV825" s="77"/>
      <c r="AW825" s="81"/>
      <c r="AX825" s="77"/>
      <c r="AY825" s="81"/>
      <c r="AZ825" s="77"/>
      <c r="BA825" s="81"/>
      <c r="BB825" s="77"/>
      <c r="BC825" s="81"/>
      <c r="BD825" s="77"/>
      <c r="BE825" s="81"/>
      <c r="BF825" s="77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77"/>
      <c r="BU825" s="77"/>
      <c r="BV825" s="77"/>
      <c r="BW825" s="77"/>
      <c r="BX825" s="77"/>
      <c r="BY825" s="77"/>
      <c r="BZ825" s="77"/>
      <c r="CA825" s="77"/>
      <c r="CB825" s="77"/>
      <c r="CC825" s="77"/>
      <c r="CD825" s="77"/>
      <c r="CE825" s="77"/>
      <c r="CF825" s="77"/>
      <c r="CG825" s="77"/>
      <c r="CH825" s="77"/>
      <c r="CI825" s="77"/>
      <c r="CJ825" s="77"/>
      <c r="CK825" s="77"/>
      <c r="CL825" s="77"/>
      <c r="CM825" s="77"/>
      <c r="CN825" s="77"/>
      <c r="CO825" s="77"/>
      <c r="CP825" s="77"/>
      <c r="CQ825" s="77"/>
      <c r="CR825" s="77"/>
      <c r="CS825" s="77"/>
      <c r="CT825" s="77"/>
      <c r="CU825" s="77"/>
      <c r="CV825" s="77"/>
      <c r="CW825" s="77"/>
    </row>
    <row r="826" spans="1:101" ht="16.5" x14ac:dyDescent="0.45">
      <c r="A826" s="76"/>
      <c r="B826" s="77"/>
      <c r="C826" s="77"/>
      <c r="D826" s="78"/>
      <c r="E826" s="80"/>
      <c r="F826" s="80"/>
      <c r="G826" s="81"/>
      <c r="H826" s="81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82"/>
      <c r="Z826" s="82"/>
      <c r="AA826" s="82"/>
      <c r="AB826" s="80"/>
      <c r="AC826" s="77"/>
      <c r="AD826" s="77"/>
      <c r="AE826" s="77"/>
      <c r="AF826" s="77"/>
      <c r="AG826" s="77"/>
      <c r="AH826" s="77"/>
      <c r="AI826" s="92"/>
      <c r="AJ826" s="77"/>
      <c r="AK826" s="77"/>
      <c r="AL826" s="77"/>
      <c r="AM826" s="77"/>
      <c r="AN826" s="77"/>
      <c r="AO826" s="77"/>
      <c r="AP826" s="76"/>
      <c r="AQ826" s="81"/>
      <c r="AR826" s="76"/>
      <c r="AS826" s="81"/>
      <c r="AT826" s="76"/>
      <c r="AU826" s="81"/>
      <c r="AV826" s="77"/>
      <c r="AW826" s="81"/>
      <c r="AX826" s="77"/>
      <c r="AY826" s="81"/>
      <c r="AZ826" s="77"/>
      <c r="BA826" s="81"/>
      <c r="BB826" s="77"/>
      <c r="BC826" s="81"/>
      <c r="BD826" s="77"/>
      <c r="BE826" s="81"/>
      <c r="BF826" s="77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77"/>
      <c r="BU826" s="77"/>
      <c r="BV826" s="77"/>
      <c r="BW826" s="77"/>
      <c r="BX826" s="77"/>
      <c r="BY826" s="77"/>
      <c r="BZ826" s="77"/>
      <c r="CA826" s="77"/>
      <c r="CB826" s="77"/>
      <c r="CC826" s="77"/>
      <c r="CD826" s="77"/>
      <c r="CE826" s="77"/>
      <c r="CF826" s="77"/>
      <c r="CG826" s="77"/>
      <c r="CH826" s="77"/>
      <c r="CI826" s="77"/>
      <c r="CJ826" s="77"/>
      <c r="CK826" s="77"/>
      <c r="CL826" s="77"/>
      <c r="CM826" s="77"/>
      <c r="CN826" s="77"/>
      <c r="CO826" s="77"/>
      <c r="CP826" s="77"/>
      <c r="CQ826" s="77"/>
      <c r="CR826" s="77"/>
      <c r="CS826" s="77"/>
      <c r="CT826" s="77"/>
      <c r="CU826" s="77"/>
      <c r="CV826" s="77"/>
      <c r="CW826" s="77"/>
    </row>
    <row r="827" spans="1:101" ht="16.5" x14ac:dyDescent="0.45">
      <c r="A827" s="76"/>
      <c r="B827" s="77"/>
      <c r="C827" s="77"/>
      <c r="D827" s="78"/>
      <c r="E827" s="80"/>
      <c r="F827" s="80"/>
      <c r="G827" s="81"/>
      <c r="H827" s="81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82"/>
      <c r="Z827" s="82"/>
      <c r="AA827" s="82"/>
      <c r="AB827" s="80"/>
      <c r="AC827" s="77"/>
      <c r="AD827" s="77"/>
      <c r="AE827" s="77"/>
      <c r="AF827" s="77"/>
      <c r="AG827" s="77"/>
      <c r="AH827" s="77"/>
      <c r="AI827" s="92"/>
      <c r="AJ827" s="77"/>
      <c r="AK827" s="77"/>
      <c r="AL827" s="77"/>
      <c r="AM827" s="77"/>
      <c r="AN827" s="77"/>
      <c r="AO827" s="77"/>
      <c r="AP827" s="76"/>
      <c r="AQ827" s="81"/>
      <c r="AR827" s="76"/>
      <c r="AS827" s="81"/>
      <c r="AT827" s="76"/>
      <c r="AU827" s="81"/>
      <c r="AV827" s="77"/>
      <c r="AW827" s="81"/>
      <c r="AX827" s="77"/>
      <c r="AY827" s="81"/>
      <c r="AZ827" s="77"/>
      <c r="BA827" s="81"/>
      <c r="BB827" s="77"/>
      <c r="BC827" s="81"/>
      <c r="BD827" s="77"/>
      <c r="BE827" s="81"/>
      <c r="BF827" s="77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77"/>
      <c r="BU827" s="77"/>
      <c r="BV827" s="77"/>
      <c r="BW827" s="77"/>
      <c r="BX827" s="77"/>
      <c r="BY827" s="77"/>
      <c r="BZ827" s="77"/>
      <c r="CA827" s="77"/>
      <c r="CB827" s="77"/>
      <c r="CC827" s="77"/>
      <c r="CD827" s="77"/>
      <c r="CE827" s="77"/>
      <c r="CF827" s="77"/>
      <c r="CG827" s="77"/>
      <c r="CH827" s="77"/>
      <c r="CI827" s="77"/>
      <c r="CJ827" s="77"/>
      <c r="CK827" s="77"/>
      <c r="CL827" s="77"/>
      <c r="CM827" s="77"/>
      <c r="CN827" s="77"/>
      <c r="CO827" s="77"/>
      <c r="CP827" s="77"/>
      <c r="CQ827" s="77"/>
      <c r="CR827" s="77"/>
      <c r="CS827" s="77"/>
      <c r="CT827" s="77"/>
      <c r="CU827" s="77"/>
      <c r="CV827" s="77"/>
      <c r="CW827" s="77"/>
    </row>
    <row r="828" spans="1:101" ht="16.5" x14ac:dyDescent="0.45">
      <c r="A828" s="76"/>
      <c r="B828" s="77"/>
      <c r="C828" s="77"/>
      <c r="D828" s="78"/>
      <c r="E828" s="80"/>
      <c r="F828" s="80"/>
      <c r="G828" s="81"/>
      <c r="H828" s="81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82"/>
      <c r="Z828" s="82"/>
      <c r="AA828" s="82"/>
      <c r="AB828" s="80"/>
      <c r="AC828" s="77"/>
      <c r="AD828" s="77"/>
      <c r="AE828" s="77"/>
      <c r="AF828" s="77"/>
      <c r="AG828" s="77"/>
      <c r="AH828" s="77"/>
      <c r="AI828" s="92"/>
      <c r="AJ828" s="77"/>
      <c r="AK828" s="77"/>
      <c r="AL828" s="77"/>
      <c r="AM828" s="77"/>
      <c r="AN828" s="77"/>
      <c r="AO828" s="77"/>
      <c r="AP828" s="76"/>
      <c r="AQ828" s="81"/>
      <c r="AR828" s="76"/>
      <c r="AS828" s="81"/>
      <c r="AT828" s="76"/>
      <c r="AU828" s="81"/>
      <c r="AV828" s="77"/>
      <c r="AW828" s="81"/>
      <c r="AX828" s="77"/>
      <c r="AY828" s="81"/>
      <c r="AZ828" s="77"/>
      <c r="BA828" s="81"/>
      <c r="BB828" s="77"/>
      <c r="BC828" s="81"/>
      <c r="BD828" s="77"/>
      <c r="BE828" s="81"/>
      <c r="BF828" s="77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77"/>
      <c r="BU828" s="77"/>
      <c r="BV828" s="77"/>
      <c r="BW828" s="77"/>
      <c r="BX828" s="77"/>
      <c r="BY828" s="77"/>
      <c r="BZ828" s="77"/>
      <c r="CA828" s="77"/>
      <c r="CB828" s="77"/>
      <c r="CC828" s="77"/>
      <c r="CD828" s="77"/>
      <c r="CE828" s="77"/>
      <c r="CF828" s="77"/>
      <c r="CG828" s="77"/>
      <c r="CH828" s="77"/>
      <c r="CI828" s="77"/>
      <c r="CJ828" s="77"/>
      <c r="CK828" s="77"/>
      <c r="CL828" s="77"/>
      <c r="CM828" s="77"/>
      <c r="CN828" s="77"/>
      <c r="CO828" s="77"/>
      <c r="CP828" s="77"/>
      <c r="CQ828" s="77"/>
      <c r="CR828" s="77"/>
      <c r="CS828" s="77"/>
      <c r="CT828" s="77"/>
      <c r="CU828" s="77"/>
      <c r="CV828" s="77"/>
      <c r="CW828" s="77"/>
    </row>
    <row r="829" spans="1:101" ht="16.5" x14ac:dyDescent="0.45">
      <c r="A829" s="76"/>
      <c r="B829" s="77"/>
      <c r="C829" s="77"/>
      <c r="D829" s="78"/>
      <c r="E829" s="80"/>
      <c r="F829" s="80"/>
      <c r="G829" s="81"/>
      <c r="H829" s="81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82"/>
      <c r="Z829" s="82"/>
      <c r="AA829" s="82"/>
      <c r="AB829" s="80"/>
      <c r="AC829" s="77"/>
      <c r="AD829" s="77"/>
      <c r="AE829" s="77"/>
      <c r="AF829" s="77"/>
      <c r="AG829" s="77"/>
      <c r="AH829" s="77"/>
      <c r="AI829" s="92"/>
      <c r="AJ829" s="77"/>
      <c r="AK829" s="77"/>
      <c r="AL829" s="77"/>
      <c r="AM829" s="77"/>
      <c r="AN829" s="77"/>
      <c r="AO829" s="77"/>
      <c r="AP829" s="76"/>
      <c r="AQ829" s="81"/>
      <c r="AR829" s="76"/>
      <c r="AS829" s="81"/>
      <c r="AT829" s="76"/>
      <c r="AU829" s="81"/>
      <c r="AV829" s="77"/>
      <c r="AW829" s="81"/>
      <c r="AX829" s="77"/>
      <c r="AY829" s="81"/>
      <c r="AZ829" s="77"/>
      <c r="BA829" s="81"/>
      <c r="BB829" s="77"/>
      <c r="BC829" s="81"/>
      <c r="BD829" s="77"/>
      <c r="BE829" s="81"/>
      <c r="BF829" s="77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77"/>
      <c r="BU829" s="77"/>
      <c r="BV829" s="77"/>
      <c r="BW829" s="77"/>
      <c r="BX829" s="77"/>
      <c r="BY829" s="77"/>
      <c r="BZ829" s="77"/>
      <c r="CA829" s="77"/>
      <c r="CB829" s="77"/>
      <c r="CC829" s="77"/>
      <c r="CD829" s="77"/>
      <c r="CE829" s="77"/>
      <c r="CF829" s="77"/>
      <c r="CG829" s="77"/>
      <c r="CH829" s="77"/>
      <c r="CI829" s="77"/>
      <c r="CJ829" s="77"/>
      <c r="CK829" s="77"/>
      <c r="CL829" s="77"/>
      <c r="CM829" s="77"/>
      <c r="CN829" s="77"/>
      <c r="CO829" s="77"/>
      <c r="CP829" s="77"/>
      <c r="CQ829" s="77"/>
      <c r="CR829" s="77"/>
      <c r="CS829" s="77"/>
      <c r="CT829" s="77"/>
      <c r="CU829" s="77"/>
      <c r="CV829" s="77"/>
      <c r="CW829" s="77"/>
    </row>
    <row r="830" spans="1:101" ht="16.5" x14ac:dyDescent="0.45">
      <c r="A830" s="76"/>
      <c r="B830" s="77"/>
      <c r="C830" s="77"/>
      <c r="D830" s="78"/>
      <c r="E830" s="80"/>
      <c r="F830" s="80"/>
      <c r="G830" s="81"/>
      <c r="H830" s="81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82"/>
      <c r="Z830" s="82"/>
      <c r="AA830" s="82"/>
      <c r="AB830" s="80"/>
      <c r="AC830" s="77"/>
      <c r="AD830" s="77"/>
      <c r="AE830" s="77"/>
      <c r="AF830" s="77"/>
      <c r="AG830" s="77"/>
      <c r="AH830" s="77"/>
      <c r="AI830" s="92"/>
      <c r="AJ830" s="77"/>
      <c r="AK830" s="77"/>
      <c r="AL830" s="77"/>
      <c r="AM830" s="77"/>
      <c r="AN830" s="77"/>
      <c r="AO830" s="77"/>
      <c r="AP830" s="76"/>
      <c r="AQ830" s="81"/>
      <c r="AR830" s="76"/>
      <c r="AS830" s="81"/>
      <c r="AT830" s="76"/>
      <c r="AU830" s="81"/>
      <c r="AV830" s="77"/>
      <c r="AW830" s="81"/>
      <c r="AX830" s="77"/>
      <c r="AY830" s="81"/>
      <c r="AZ830" s="77"/>
      <c r="BA830" s="81"/>
      <c r="BB830" s="77"/>
      <c r="BC830" s="81"/>
      <c r="BD830" s="77"/>
      <c r="BE830" s="81"/>
      <c r="BF830" s="77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77"/>
      <c r="BU830" s="77"/>
      <c r="BV830" s="77"/>
      <c r="BW830" s="77"/>
      <c r="BX830" s="77"/>
      <c r="BY830" s="77"/>
      <c r="BZ830" s="77"/>
      <c r="CA830" s="77"/>
      <c r="CB830" s="77"/>
      <c r="CC830" s="77"/>
      <c r="CD830" s="77"/>
      <c r="CE830" s="77"/>
      <c r="CF830" s="77"/>
      <c r="CG830" s="77"/>
      <c r="CH830" s="77"/>
      <c r="CI830" s="77"/>
      <c r="CJ830" s="77"/>
      <c r="CK830" s="77"/>
      <c r="CL830" s="77"/>
      <c r="CM830" s="77"/>
      <c r="CN830" s="77"/>
      <c r="CO830" s="77"/>
      <c r="CP830" s="77"/>
      <c r="CQ830" s="77"/>
      <c r="CR830" s="77"/>
      <c r="CS830" s="77"/>
      <c r="CT830" s="77"/>
      <c r="CU830" s="77"/>
      <c r="CV830" s="77"/>
      <c r="CW830" s="77"/>
    </row>
    <row r="831" spans="1:101" ht="16.5" x14ac:dyDescent="0.45">
      <c r="A831" s="76"/>
      <c r="B831" s="77"/>
      <c r="C831" s="77"/>
      <c r="D831" s="78"/>
      <c r="E831" s="80"/>
      <c r="F831" s="80"/>
      <c r="G831" s="81"/>
      <c r="H831" s="81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82"/>
      <c r="Z831" s="82"/>
      <c r="AA831" s="82"/>
      <c r="AB831" s="80"/>
      <c r="AC831" s="77"/>
      <c r="AD831" s="77"/>
      <c r="AE831" s="77"/>
      <c r="AF831" s="77"/>
      <c r="AG831" s="77"/>
      <c r="AH831" s="77"/>
      <c r="AI831" s="92"/>
      <c r="AJ831" s="77"/>
      <c r="AK831" s="77"/>
      <c r="AL831" s="77"/>
      <c r="AM831" s="77"/>
      <c r="AN831" s="77"/>
      <c r="AO831" s="77"/>
      <c r="AP831" s="76"/>
      <c r="AQ831" s="81"/>
      <c r="AR831" s="76"/>
      <c r="AS831" s="81"/>
      <c r="AT831" s="76"/>
      <c r="AU831" s="81"/>
      <c r="AV831" s="77"/>
      <c r="AW831" s="81"/>
      <c r="AX831" s="77"/>
      <c r="AY831" s="81"/>
      <c r="AZ831" s="77"/>
      <c r="BA831" s="81"/>
      <c r="BB831" s="77"/>
      <c r="BC831" s="81"/>
      <c r="BD831" s="77"/>
      <c r="BE831" s="81"/>
      <c r="BF831" s="77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77"/>
      <c r="BU831" s="77"/>
      <c r="BV831" s="77"/>
      <c r="BW831" s="77"/>
      <c r="BX831" s="77"/>
      <c r="BY831" s="77"/>
      <c r="BZ831" s="77"/>
      <c r="CA831" s="77"/>
      <c r="CB831" s="77"/>
      <c r="CC831" s="77"/>
      <c r="CD831" s="77"/>
      <c r="CE831" s="77"/>
      <c r="CF831" s="77"/>
      <c r="CG831" s="77"/>
      <c r="CH831" s="77"/>
      <c r="CI831" s="77"/>
      <c r="CJ831" s="77"/>
      <c r="CK831" s="77"/>
      <c r="CL831" s="77"/>
      <c r="CM831" s="77"/>
      <c r="CN831" s="77"/>
      <c r="CO831" s="77"/>
      <c r="CP831" s="77"/>
      <c r="CQ831" s="77"/>
      <c r="CR831" s="77"/>
      <c r="CS831" s="77"/>
      <c r="CT831" s="77"/>
      <c r="CU831" s="77"/>
      <c r="CV831" s="77"/>
      <c r="CW831" s="77"/>
    </row>
    <row r="832" spans="1:101" ht="16.5" x14ac:dyDescent="0.45">
      <c r="A832" s="76"/>
      <c r="B832" s="77"/>
      <c r="C832" s="77"/>
      <c r="D832" s="78"/>
      <c r="E832" s="80"/>
      <c r="F832" s="80"/>
      <c r="G832" s="81"/>
      <c r="H832" s="81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82"/>
      <c r="Z832" s="82"/>
      <c r="AA832" s="82"/>
      <c r="AB832" s="80"/>
      <c r="AC832" s="77"/>
      <c r="AD832" s="77"/>
      <c r="AE832" s="77"/>
      <c r="AF832" s="77"/>
      <c r="AG832" s="77"/>
      <c r="AH832" s="77"/>
      <c r="AI832" s="92"/>
      <c r="AJ832" s="77"/>
      <c r="AK832" s="77"/>
      <c r="AL832" s="77"/>
      <c r="AM832" s="77"/>
      <c r="AN832" s="77"/>
      <c r="AO832" s="77"/>
      <c r="AP832" s="76"/>
      <c r="AQ832" s="81"/>
      <c r="AR832" s="76"/>
      <c r="AS832" s="81"/>
      <c r="AT832" s="76"/>
      <c r="AU832" s="81"/>
      <c r="AV832" s="77"/>
      <c r="AW832" s="81"/>
      <c r="AX832" s="77"/>
      <c r="AY832" s="81"/>
      <c r="AZ832" s="77"/>
      <c r="BA832" s="81"/>
      <c r="BB832" s="77"/>
      <c r="BC832" s="81"/>
      <c r="BD832" s="77"/>
      <c r="BE832" s="81"/>
      <c r="BF832" s="77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77"/>
      <c r="BU832" s="77"/>
      <c r="BV832" s="77"/>
      <c r="BW832" s="77"/>
      <c r="BX832" s="77"/>
      <c r="BY832" s="77"/>
      <c r="BZ832" s="77"/>
      <c r="CA832" s="77"/>
      <c r="CB832" s="77"/>
      <c r="CC832" s="77"/>
      <c r="CD832" s="77"/>
      <c r="CE832" s="77"/>
      <c r="CF832" s="77"/>
      <c r="CG832" s="77"/>
      <c r="CH832" s="77"/>
      <c r="CI832" s="77"/>
      <c r="CJ832" s="77"/>
      <c r="CK832" s="77"/>
      <c r="CL832" s="77"/>
      <c r="CM832" s="77"/>
      <c r="CN832" s="77"/>
      <c r="CO832" s="77"/>
      <c r="CP832" s="77"/>
      <c r="CQ832" s="77"/>
      <c r="CR832" s="77"/>
      <c r="CS832" s="77"/>
      <c r="CT832" s="77"/>
      <c r="CU832" s="77"/>
      <c r="CV832" s="77"/>
      <c r="CW832" s="77"/>
    </row>
    <row r="833" spans="1:101" ht="16.5" x14ac:dyDescent="0.45">
      <c r="A833" s="76"/>
      <c r="B833" s="77"/>
      <c r="C833" s="77"/>
      <c r="D833" s="78"/>
      <c r="E833" s="80"/>
      <c r="F833" s="80"/>
      <c r="G833" s="81"/>
      <c r="H833" s="81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82"/>
      <c r="Z833" s="82"/>
      <c r="AA833" s="82"/>
      <c r="AB833" s="80"/>
      <c r="AC833" s="77"/>
      <c r="AD833" s="77"/>
      <c r="AE833" s="77"/>
      <c r="AF833" s="77"/>
      <c r="AG833" s="77"/>
      <c r="AH833" s="77"/>
      <c r="AI833" s="92"/>
      <c r="AJ833" s="77"/>
      <c r="AK833" s="77"/>
      <c r="AL833" s="77"/>
      <c r="AM833" s="77"/>
      <c r="AN833" s="77"/>
      <c r="AO833" s="77"/>
      <c r="AP833" s="76"/>
      <c r="AQ833" s="81"/>
      <c r="AR833" s="76"/>
      <c r="AS833" s="81"/>
      <c r="AT833" s="76"/>
      <c r="AU833" s="81"/>
      <c r="AV833" s="77"/>
      <c r="AW833" s="81"/>
      <c r="AX833" s="77"/>
      <c r="AY833" s="81"/>
      <c r="AZ833" s="77"/>
      <c r="BA833" s="81"/>
      <c r="BB833" s="77"/>
      <c r="BC833" s="81"/>
      <c r="BD833" s="77"/>
      <c r="BE833" s="81"/>
      <c r="BF833" s="77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77"/>
      <c r="BU833" s="77"/>
      <c r="BV833" s="77"/>
      <c r="BW833" s="77"/>
      <c r="BX833" s="77"/>
      <c r="BY833" s="77"/>
      <c r="BZ833" s="77"/>
      <c r="CA833" s="77"/>
      <c r="CB833" s="77"/>
      <c r="CC833" s="77"/>
      <c r="CD833" s="77"/>
      <c r="CE833" s="77"/>
      <c r="CF833" s="77"/>
      <c r="CG833" s="77"/>
      <c r="CH833" s="77"/>
      <c r="CI833" s="77"/>
      <c r="CJ833" s="77"/>
      <c r="CK833" s="77"/>
      <c r="CL833" s="77"/>
      <c r="CM833" s="77"/>
      <c r="CN833" s="77"/>
      <c r="CO833" s="77"/>
      <c r="CP833" s="77"/>
      <c r="CQ833" s="77"/>
      <c r="CR833" s="77"/>
      <c r="CS833" s="77"/>
      <c r="CT833" s="77"/>
      <c r="CU833" s="77"/>
      <c r="CV833" s="77"/>
      <c r="CW833" s="77"/>
    </row>
    <row r="834" spans="1:101" ht="16.5" x14ac:dyDescent="0.45">
      <c r="A834" s="76"/>
      <c r="B834" s="77"/>
      <c r="C834" s="77"/>
      <c r="D834" s="78"/>
      <c r="E834" s="80"/>
      <c r="F834" s="80"/>
      <c r="G834" s="81"/>
      <c r="H834" s="81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82"/>
      <c r="Z834" s="82"/>
      <c r="AA834" s="82"/>
      <c r="AB834" s="80"/>
      <c r="AC834" s="77"/>
      <c r="AD834" s="77"/>
      <c r="AE834" s="77"/>
      <c r="AF834" s="77"/>
      <c r="AG834" s="77"/>
      <c r="AH834" s="77"/>
      <c r="AI834" s="92"/>
      <c r="AJ834" s="77"/>
      <c r="AK834" s="77"/>
      <c r="AL834" s="77"/>
      <c r="AM834" s="77"/>
      <c r="AN834" s="77"/>
      <c r="AO834" s="77"/>
      <c r="AP834" s="76"/>
      <c r="AQ834" s="81"/>
      <c r="AR834" s="76"/>
      <c r="AS834" s="81"/>
      <c r="AT834" s="76"/>
      <c r="AU834" s="81"/>
      <c r="AV834" s="77"/>
      <c r="AW834" s="81"/>
      <c r="AX834" s="77"/>
      <c r="AY834" s="81"/>
      <c r="AZ834" s="77"/>
      <c r="BA834" s="81"/>
      <c r="BB834" s="77"/>
      <c r="BC834" s="81"/>
      <c r="BD834" s="77"/>
      <c r="BE834" s="81"/>
      <c r="BF834" s="77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77"/>
      <c r="BU834" s="77"/>
      <c r="BV834" s="77"/>
      <c r="BW834" s="77"/>
      <c r="BX834" s="77"/>
      <c r="BY834" s="77"/>
      <c r="BZ834" s="77"/>
      <c r="CA834" s="77"/>
      <c r="CB834" s="77"/>
      <c r="CC834" s="77"/>
      <c r="CD834" s="77"/>
      <c r="CE834" s="77"/>
      <c r="CF834" s="77"/>
      <c r="CG834" s="77"/>
      <c r="CH834" s="77"/>
      <c r="CI834" s="77"/>
      <c r="CJ834" s="77"/>
      <c r="CK834" s="77"/>
      <c r="CL834" s="77"/>
      <c r="CM834" s="77"/>
      <c r="CN834" s="77"/>
      <c r="CO834" s="77"/>
      <c r="CP834" s="77"/>
      <c r="CQ834" s="77"/>
      <c r="CR834" s="77"/>
      <c r="CS834" s="77"/>
      <c r="CT834" s="77"/>
      <c r="CU834" s="77"/>
      <c r="CV834" s="77"/>
      <c r="CW834" s="77"/>
    </row>
    <row r="835" spans="1:101" ht="16.5" x14ac:dyDescent="0.45">
      <c r="A835" s="76"/>
      <c r="B835" s="77"/>
      <c r="C835" s="77"/>
      <c r="D835" s="78"/>
      <c r="E835" s="80"/>
      <c r="F835" s="80"/>
      <c r="G835" s="81"/>
      <c r="H835" s="81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82"/>
      <c r="Z835" s="82"/>
      <c r="AA835" s="82"/>
      <c r="AB835" s="80"/>
      <c r="AC835" s="77"/>
      <c r="AD835" s="77"/>
      <c r="AE835" s="77"/>
      <c r="AF835" s="77"/>
      <c r="AG835" s="77"/>
      <c r="AH835" s="77"/>
      <c r="AI835" s="92"/>
      <c r="AJ835" s="77"/>
      <c r="AK835" s="77"/>
      <c r="AL835" s="77"/>
      <c r="AM835" s="77"/>
      <c r="AN835" s="77"/>
      <c r="AO835" s="77"/>
      <c r="AP835" s="76"/>
      <c r="AQ835" s="81"/>
      <c r="AR835" s="76"/>
      <c r="AS835" s="81"/>
      <c r="AT835" s="76"/>
      <c r="AU835" s="81"/>
      <c r="AV835" s="77"/>
      <c r="AW835" s="81"/>
      <c r="AX835" s="77"/>
      <c r="AY835" s="81"/>
      <c r="AZ835" s="77"/>
      <c r="BA835" s="81"/>
      <c r="BB835" s="77"/>
      <c r="BC835" s="81"/>
      <c r="BD835" s="77"/>
      <c r="BE835" s="81"/>
      <c r="BF835" s="77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77"/>
      <c r="BU835" s="77"/>
      <c r="BV835" s="77"/>
      <c r="BW835" s="77"/>
      <c r="BX835" s="77"/>
      <c r="BY835" s="77"/>
      <c r="BZ835" s="77"/>
      <c r="CA835" s="77"/>
      <c r="CB835" s="77"/>
      <c r="CC835" s="77"/>
      <c r="CD835" s="77"/>
      <c r="CE835" s="77"/>
      <c r="CF835" s="77"/>
      <c r="CG835" s="77"/>
      <c r="CH835" s="77"/>
      <c r="CI835" s="77"/>
      <c r="CJ835" s="77"/>
      <c r="CK835" s="77"/>
      <c r="CL835" s="77"/>
      <c r="CM835" s="77"/>
      <c r="CN835" s="77"/>
      <c r="CO835" s="77"/>
      <c r="CP835" s="77"/>
      <c r="CQ835" s="77"/>
      <c r="CR835" s="77"/>
      <c r="CS835" s="77"/>
      <c r="CT835" s="77"/>
      <c r="CU835" s="77"/>
      <c r="CV835" s="77"/>
      <c r="CW835" s="77"/>
    </row>
    <row r="836" spans="1:101" ht="16.5" x14ac:dyDescent="0.45">
      <c r="A836" s="76"/>
      <c r="B836" s="77"/>
      <c r="C836" s="77"/>
      <c r="D836" s="78"/>
      <c r="E836" s="80"/>
      <c r="F836" s="80"/>
      <c r="G836" s="81"/>
      <c r="H836" s="81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82"/>
      <c r="Z836" s="82"/>
      <c r="AA836" s="82"/>
      <c r="AB836" s="80"/>
      <c r="AC836" s="77"/>
      <c r="AD836" s="77"/>
      <c r="AE836" s="77"/>
      <c r="AF836" s="77"/>
      <c r="AG836" s="77"/>
      <c r="AH836" s="77"/>
      <c r="AI836" s="92"/>
      <c r="AJ836" s="77"/>
      <c r="AK836" s="77"/>
      <c r="AL836" s="77"/>
      <c r="AM836" s="77"/>
      <c r="AN836" s="77"/>
      <c r="AO836" s="77"/>
      <c r="AP836" s="76"/>
      <c r="AQ836" s="81"/>
      <c r="AR836" s="76"/>
      <c r="AS836" s="81"/>
      <c r="AT836" s="76"/>
      <c r="AU836" s="81"/>
      <c r="AV836" s="77"/>
      <c r="AW836" s="81"/>
      <c r="AX836" s="77"/>
      <c r="AY836" s="81"/>
      <c r="AZ836" s="77"/>
      <c r="BA836" s="81"/>
      <c r="BB836" s="77"/>
      <c r="BC836" s="81"/>
      <c r="BD836" s="77"/>
      <c r="BE836" s="81"/>
      <c r="BF836" s="77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77"/>
      <c r="BU836" s="77"/>
      <c r="BV836" s="77"/>
      <c r="BW836" s="77"/>
      <c r="BX836" s="77"/>
      <c r="BY836" s="77"/>
      <c r="BZ836" s="77"/>
      <c r="CA836" s="77"/>
      <c r="CB836" s="77"/>
      <c r="CC836" s="77"/>
      <c r="CD836" s="77"/>
      <c r="CE836" s="77"/>
      <c r="CF836" s="77"/>
      <c r="CG836" s="77"/>
      <c r="CH836" s="77"/>
      <c r="CI836" s="77"/>
      <c r="CJ836" s="77"/>
      <c r="CK836" s="77"/>
      <c r="CL836" s="77"/>
      <c r="CM836" s="77"/>
      <c r="CN836" s="77"/>
      <c r="CO836" s="77"/>
      <c r="CP836" s="77"/>
      <c r="CQ836" s="77"/>
      <c r="CR836" s="77"/>
      <c r="CS836" s="77"/>
      <c r="CT836" s="77"/>
      <c r="CU836" s="77"/>
      <c r="CV836" s="77"/>
      <c r="CW836" s="77"/>
    </row>
    <row r="837" spans="1:101" ht="16.5" x14ac:dyDescent="0.45">
      <c r="A837" s="76"/>
      <c r="B837" s="77"/>
      <c r="C837" s="77"/>
      <c r="D837" s="78"/>
      <c r="E837" s="80"/>
      <c r="F837" s="80"/>
      <c r="G837" s="81"/>
      <c r="H837" s="81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82"/>
      <c r="Z837" s="82"/>
      <c r="AA837" s="82"/>
      <c r="AB837" s="80"/>
      <c r="AC837" s="77"/>
      <c r="AD837" s="77"/>
      <c r="AE837" s="77"/>
      <c r="AF837" s="77"/>
      <c r="AG837" s="77"/>
      <c r="AH837" s="77"/>
      <c r="AI837" s="92"/>
      <c r="AJ837" s="77"/>
      <c r="AK837" s="77"/>
      <c r="AL837" s="77"/>
      <c r="AM837" s="77"/>
      <c r="AN837" s="77"/>
      <c r="AO837" s="77"/>
      <c r="AP837" s="76"/>
      <c r="AQ837" s="81"/>
      <c r="AR837" s="76"/>
      <c r="AS837" s="81"/>
      <c r="AT837" s="76"/>
      <c r="AU837" s="81"/>
      <c r="AV837" s="77"/>
      <c r="AW837" s="81"/>
      <c r="AX837" s="77"/>
      <c r="AY837" s="81"/>
      <c r="AZ837" s="77"/>
      <c r="BA837" s="81"/>
      <c r="BB837" s="77"/>
      <c r="BC837" s="81"/>
      <c r="BD837" s="77"/>
      <c r="BE837" s="81"/>
      <c r="BF837" s="77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77"/>
      <c r="BU837" s="77"/>
      <c r="BV837" s="77"/>
      <c r="BW837" s="77"/>
      <c r="BX837" s="77"/>
      <c r="BY837" s="77"/>
      <c r="BZ837" s="77"/>
      <c r="CA837" s="77"/>
      <c r="CB837" s="77"/>
      <c r="CC837" s="77"/>
      <c r="CD837" s="77"/>
      <c r="CE837" s="77"/>
      <c r="CF837" s="77"/>
      <c r="CG837" s="77"/>
      <c r="CH837" s="77"/>
      <c r="CI837" s="77"/>
      <c r="CJ837" s="77"/>
      <c r="CK837" s="77"/>
      <c r="CL837" s="77"/>
      <c r="CM837" s="77"/>
      <c r="CN837" s="77"/>
      <c r="CO837" s="77"/>
      <c r="CP837" s="77"/>
      <c r="CQ837" s="77"/>
      <c r="CR837" s="77"/>
      <c r="CS837" s="77"/>
      <c r="CT837" s="77"/>
      <c r="CU837" s="77"/>
      <c r="CV837" s="77"/>
      <c r="CW837" s="77"/>
    </row>
    <row r="838" spans="1:101" ht="16.5" x14ac:dyDescent="0.45">
      <c r="A838" s="76"/>
      <c r="B838" s="77"/>
      <c r="C838" s="77"/>
      <c r="D838" s="78"/>
      <c r="E838" s="80"/>
      <c r="F838" s="80"/>
      <c r="G838" s="81"/>
      <c r="H838" s="81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82"/>
      <c r="Z838" s="82"/>
      <c r="AA838" s="82"/>
      <c r="AB838" s="80"/>
      <c r="AC838" s="77"/>
      <c r="AD838" s="77"/>
      <c r="AE838" s="77"/>
      <c r="AF838" s="77"/>
      <c r="AG838" s="77"/>
      <c r="AH838" s="77"/>
      <c r="AI838" s="92"/>
      <c r="AJ838" s="77"/>
      <c r="AK838" s="77"/>
      <c r="AL838" s="77"/>
      <c r="AM838" s="77"/>
      <c r="AN838" s="77"/>
      <c r="AO838" s="77"/>
      <c r="AP838" s="76"/>
      <c r="AQ838" s="81"/>
      <c r="AR838" s="76"/>
      <c r="AS838" s="81"/>
      <c r="AT838" s="76"/>
      <c r="AU838" s="81"/>
      <c r="AV838" s="77"/>
      <c r="AW838" s="81"/>
      <c r="AX838" s="77"/>
      <c r="AY838" s="81"/>
      <c r="AZ838" s="77"/>
      <c r="BA838" s="81"/>
      <c r="BB838" s="77"/>
      <c r="BC838" s="81"/>
      <c r="BD838" s="77"/>
      <c r="BE838" s="81"/>
      <c r="BF838" s="77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77"/>
      <c r="BU838" s="77"/>
      <c r="BV838" s="77"/>
      <c r="BW838" s="77"/>
      <c r="BX838" s="77"/>
      <c r="BY838" s="77"/>
      <c r="BZ838" s="77"/>
      <c r="CA838" s="77"/>
      <c r="CB838" s="77"/>
      <c r="CC838" s="77"/>
      <c r="CD838" s="77"/>
      <c r="CE838" s="77"/>
      <c r="CF838" s="77"/>
      <c r="CG838" s="77"/>
      <c r="CH838" s="77"/>
      <c r="CI838" s="77"/>
      <c r="CJ838" s="77"/>
      <c r="CK838" s="77"/>
      <c r="CL838" s="77"/>
      <c r="CM838" s="77"/>
      <c r="CN838" s="77"/>
      <c r="CO838" s="77"/>
      <c r="CP838" s="77"/>
      <c r="CQ838" s="77"/>
      <c r="CR838" s="77"/>
      <c r="CS838" s="77"/>
      <c r="CT838" s="77"/>
      <c r="CU838" s="77"/>
      <c r="CV838" s="77"/>
      <c r="CW838" s="77"/>
    </row>
    <row r="839" spans="1:101" ht="16.5" x14ac:dyDescent="0.45">
      <c r="A839" s="76"/>
      <c r="B839" s="77"/>
      <c r="C839" s="77"/>
      <c r="D839" s="78"/>
      <c r="E839" s="80"/>
      <c r="F839" s="80"/>
      <c r="G839" s="81"/>
      <c r="H839" s="81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82"/>
      <c r="Z839" s="82"/>
      <c r="AA839" s="82"/>
      <c r="AB839" s="80"/>
      <c r="AC839" s="77"/>
      <c r="AD839" s="77"/>
      <c r="AE839" s="77"/>
      <c r="AF839" s="77"/>
      <c r="AG839" s="77"/>
      <c r="AH839" s="77"/>
      <c r="AI839" s="92"/>
      <c r="AJ839" s="77"/>
      <c r="AK839" s="77"/>
      <c r="AL839" s="77"/>
      <c r="AM839" s="77"/>
      <c r="AN839" s="77"/>
      <c r="AO839" s="77"/>
      <c r="AP839" s="76"/>
      <c r="AQ839" s="81"/>
      <c r="AR839" s="76"/>
      <c r="AS839" s="81"/>
      <c r="AT839" s="76"/>
      <c r="AU839" s="81"/>
      <c r="AV839" s="77"/>
      <c r="AW839" s="81"/>
      <c r="AX839" s="77"/>
      <c r="AY839" s="81"/>
      <c r="AZ839" s="77"/>
      <c r="BA839" s="81"/>
      <c r="BB839" s="77"/>
      <c r="BC839" s="81"/>
      <c r="BD839" s="77"/>
      <c r="BE839" s="81"/>
      <c r="BF839" s="77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77"/>
      <c r="BU839" s="77"/>
      <c r="BV839" s="77"/>
      <c r="BW839" s="77"/>
      <c r="BX839" s="77"/>
      <c r="BY839" s="77"/>
      <c r="BZ839" s="77"/>
      <c r="CA839" s="77"/>
      <c r="CB839" s="77"/>
      <c r="CC839" s="77"/>
      <c r="CD839" s="77"/>
      <c r="CE839" s="77"/>
      <c r="CF839" s="77"/>
      <c r="CG839" s="77"/>
      <c r="CH839" s="77"/>
      <c r="CI839" s="77"/>
      <c r="CJ839" s="77"/>
      <c r="CK839" s="77"/>
      <c r="CL839" s="77"/>
      <c r="CM839" s="77"/>
      <c r="CN839" s="77"/>
      <c r="CO839" s="77"/>
      <c r="CP839" s="77"/>
      <c r="CQ839" s="77"/>
      <c r="CR839" s="77"/>
      <c r="CS839" s="77"/>
      <c r="CT839" s="77"/>
      <c r="CU839" s="77"/>
      <c r="CV839" s="77"/>
      <c r="CW839" s="77"/>
    </row>
    <row r="840" spans="1:101" ht="16.5" x14ac:dyDescent="0.45">
      <c r="A840" s="76"/>
      <c r="B840" s="77"/>
      <c r="C840" s="77"/>
      <c r="D840" s="78"/>
      <c r="E840" s="80"/>
      <c r="F840" s="80"/>
      <c r="G840" s="81"/>
      <c r="H840" s="81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82"/>
      <c r="Z840" s="82"/>
      <c r="AA840" s="82"/>
      <c r="AB840" s="80"/>
      <c r="AC840" s="77"/>
      <c r="AD840" s="77"/>
      <c r="AE840" s="77"/>
      <c r="AF840" s="77"/>
      <c r="AG840" s="77"/>
      <c r="AH840" s="77"/>
      <c r="AI840" s="92"/>
      <c r="AJ840" s="77"/>
      <c r="AK840" s="77"/>
      <c r="AL840" s="77"/>
      <c r="AM840" s="77"/>
      <c r="AN840" s="77"/>
      <c r="AO840" s="77"/>
      <c r="AP840" s="76"/>
      <c r="AQ840" s="81"/>
      <c r="AR840" s="76"/>
      <c r="AS840" s="81"/>
      <c r="AT840" s="76"/>
      <c r="AU840" s="81"/>
      <c r="AV840" s="77"/>
      <c r="AW840" s="81"/>
      <c r="AX840" s="77"/>
      <c r="AY840" s="81"/>
      <c r="AZ840" s="77"/>
      <c r="BA840" s="81"/>
      <c r="BB840" s="77"/>
      <c r="BC840" s="81"/>
      <c r="BD840" s="77"/>
      <c r="BE840" s="81"/>
      <c r="BF840" s="77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77"/>
      <c r="BU840" s="77"/>
      <c r="BV840" s="77"/>
      <c r="BW840" s="77"/>
      <c r="BX840" s="77"/>
      <c r="BY840" s="77"/>
      <c r="BZ840" s="77"/>
      <c r="CA840" s="77"/>
      <c r="CB840" s="77"/>
      <c r="CC840" s="77"/>
      <c r="CD840" s="77"/>
      <c r="CE840" s="77"/>
      <c r="CF840" s="77"/>
      <c r="CG840" s="77"/>
      <c r="CH840" s="77"/>
      <c r="CI840" s="77"/>
      <c r="CJ840" s="77"/>
      <c r="CK840" s="77"/>
      <c r="CL840" s="77"/>
      <c r="CM840" s="77"/>
      <c r="CN840" s="77"/>
      <c r="CO840" s="77"/>
      <c r="CP840" s="77"/>
      <c r="CQ840" s="77"/>
      <c r="CR840" s="77"/>
      <c r="CS840" s="77"/>
      <c r="CT840" s="77"/>
      <c r="CU840" s="77"/>
      <c r="CV840" s="77"/>
      <c r="CW840" s="77"/>
    </row>
    <row r="841" spans="1:101" ht="16.5" x14ac:dyDescent="0.45">
      <c r="A841" s="76"/>
      <c r="B841" s="77"/>
      <c r="C841" s="77"/>
      <c r="D841" s="78"/>
      <c r="E841" s="80"/>
      <c r="F841" s="80"/>
      <c r="G841" s="81"/>
      <c r="H841" s="81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82"/>
      <c r="Z841" s="82"/>
      <c r="AA841" s="82"/>
      <c r="AB841" s="80"/>
      <c r="AC841" s="77"/>
      <c r="AD841" s="77"/>
      <c r="AE841" s="77"/>
      <c r="AF841" s="77"/>
      <c r="AG841" s="77"/>
      <c r="AH841" s="77"/>
      <c r="AI841" s="92"/>
      <c r="AJ841" s="77"/>
      <c r="AK841" s="77"/>
      <c r="AL841" s="77"/>
      <c r="AM841" s="77"/>
      <c r="AN841" s="77"/>
      <c r="AO841" s="77"/>
      <c r="AP841" s="76"/>
      <c r="AQ841" s="81"/>
      <c r="AR841" s="76"/>
      <c r="AS841" s="81"/>
      <c r="AT841" s="76"/>
      <c r="AU841" s="81"/>
      <c r="AV841" s="77"/>
      <c r="AW841" s="81"/>
      <c r="AX841" s="77"/>
      <c r="AY841" s="81"/>
      <c r="AZ841" s="77"/>
      <c r="BA841" s="81"/>
      <c r="BB841" s="77"/>
      <c r="BC841" s="81"/>
      <c r="BD841" s="77"/>
      <c r="BE841" s="81"/>
      <c r="BF841" s="77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77"/>
      <c r="BU841" s="77"/>
      <c r="BV841" s="77"/>
      <c r="BW841" s="77"/>
      <c r="BX841" s="77"/>
      <c r="BY841" s="77"/>
      <c r="BZ841" s="77"/>
      <c r="CA841" s="77"/>
      <c r="CB841" s="77"/>
      <c r="CC841" s="77"/>
      <c r="CD841" s="77"/>
      <c r="CE841" s="77"/>
      <c r="CF841" s="77"/>
      <c r="CG841" s="77"/>
      <c r="CH841" s="77"/>
      <c r="CI841" s="77"/>
      <c r="CJ841" s="77"/>
      <c r="CK841" s="77"/>
      <c r="CL841" s="77"/>
      <c r="CM841" s="77"/>
      <c r="CN841" s="77"/>
      <c r="CO841" s="77"/>
      <c r="CP841" s="77"/>
      <c r="CQ841" s="77"/>
      <c r="CR841" s="77"/>
      <c r="CS841" s="77"/>
      <c r="CT841" s="77"/>
      <c r="CU841" s="77"/>
      <c r="CV841" s="77"/>
      <c r="CW841" s="77"/>
    </row>
    <row r="842" spans="1:101" ht="16.5" x14ac:dyDescent="0.45">
      <c r="A842" s="76"/>
      <c r="B842" s="77"/>
      <c r="C842" s="77"/>
      <c r="D842" s="78"/>
      <c r="E842" s="80"/>
      <c r="F842" s="80"/>
      <c r="G842" s="81"/>
      <c r="H842" s="81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82"/>
      <c r="Z842" s="82"/>
      <c r="AA842" s="82"/>
      <c r="AB842" s="80"/>
      <c r="AC842" s="77"/>
      <c r="AD842" s="77"/>
      <c r="AE842" s="77"/>
      <c r="AF842" s="77"/>
      <c r="AG842" s="77"/>
      <c r="AH842" s="77"/>
      <c r="AI842" s="92"/>
      <c r="AJ842" s="77"/>
      <c r="AK842" s="77"/>
      <c r="AL842" s="77"/>
      <c r="AM842" s="77"/>
      <c r="AN842" s="77"/>
      <c r="AO842" s="77"/>
      <c r="AP842" s="76"/>
      <c r="AQ842" s="81"/>
      <c r="AR842" s="76"/>
      <c r="AS842" s="81"/>
      <c r="AT842" s="76"/>
      <c r="AU842" s="81"/>
      <c r="AV842" s="77"/>
      <c r="AW842" s="81"/>
      <c r="AX842" s="77"/>
      <c r="AY842" s="81"/>
      <c r="AZ842" s="77"/>
      <c r="BA842" s="81"/>
      <c r="BB842" s="77"/>
      <c r="BC842" s="81"/>
      <c r="BD842" s="77"/>
      <c r="BE842" s="81"/>
      <c r="BF842" s="77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77"/>
      <c r="BU842" s="77"/>
      <c r="BV842" s="77"/>
      <c r="BW842" s="77"/>
      <c r="BX842" s="77"/>
      <c r="BY842" s="77"/>
      <c r="BZ842" s="77"/>
      <c r="CA842" s="77"/>
      <c r="CB842" s="77"/>
      <c r="CC842" s="77"/>
      <c r="CD842" s="77"/>
      <c r="CE842" s="77"/>
      <c r="CF842" s="77"/>
      <c r="CG842" s="77"/>
      <c r="CH842" s="77"/>
      <c r="CI842" s="77"/>
      <c r="CJ842" s="77"/>
      <c r="CK842" s="77"/>
      <c r="CL842" s="77"/>
      <c r="CM842" s="77"/>
      <c r="CN842" s="77"/>
      <c r="CO842" s="77"/>
      <c r="CP842" s="77"/>
      <c r="CQ842" s="77"/>
      <c r="CR842" s="77"/>
      <c r="CS842" s="77"/>
      <c r="CT842" s="77"/>
      <c r="CU842" s="77"/>
      <c r="CV842" s="77"/>
      <c r="CW842" s="77"/>
    </row>
    <row r="843" spans="1:101" ht="16.5" x14ac:dyDescent="0.45">
      <c r="A843" s="76"/>
      <c r="B843" s="77"/>
      <c r="C843" s="77"/>
      <c r="D843" s="78"/>
      <c r="E843" s="80"/>
      <c r="F843" s="80"/>
      <c r="G843" s="81"/>
      <c r="H843" s="81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82"/>
      <c r="Z843" s="82"/>
      <c r="AA843" s="82"/>
      <c r="AB843" s="80"/>
      <c r="AC843" s="77"/>
      <c r="AD843" s="77"/>
      <c r="AE843" s="77"/>
      <c r="AF843" s="77"/>
      <c r="AG843" s="77"/>
      <c r="AH843" s="77"/>
      <c r="AI843" s="92"/>
      <c r="AJ843" s="77"/>
      <c r="AK843" s="77"/>
      <c r="AL843" s="77"/>
      <c r="AM843" s="77"/>
      <c r="AN843" s="77"/>
      <c r="AO843" s="77"/>
      <c r="AP843" s="76"/>
      <c r="AQ843" s="81"/>
      <c r="AR843" s="76"/>
      <c r="AS843" s="81"/>
      <c r="AT843" s="76"/>
      <c r="AU843" s="81"/>
      <c r="AV843" s="77"/>
      <c r="AW843" s="81"/>
      <c r="AX843" s="77"/>
      <c r="AY843" s="81"/>
      <c r="AZ843" s="77"/>
      <c r="BA843" s="81"/>
      <c r="BB843" s="77"/>
      <c r="BC843" s="81"/>
      <c r="BD843" s="77"/>
      <c r="BE843" s="81"/>
      <c r="BF843" s="77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77"/>
      <c r="BU843" s="77"/>
      <c r="BV843" s="77"/>
      <c r="BW843" s="77"/>
      <c r="BX843" s="77"/>
      <c r="BY843" s="77"/>
      <c r="BZ843" s="77"/>
      <c r="CA843" s="77"/>
      <c r="CB843" s="77"/>
      <c r="CC843" s="77"/>
      <c r="CD843" s="77"/>
      <c r="CE843" s="77"/>
      <c r="CF843" s="77"/>
      <c r="CG843" s="77"/>
      <c r="CH843" s="77"/>
      <c r="CI843" s="77"/>
      <c r="CJ843" s="77"/>
      <c r="CK843" s="77"/>
      <c r="CL843" s="77"/>
      <c r="CM843" s="77"/>
      <c r="CN843" s="77"/>
      <c r="CO843" s="77"/>
      <c r="CP843" s="77"/>
      <c r="CQ843" s="77"/>
      <c r="CR843" s="77"/>
      <c r="CS843" s="77"/>
      <c r="CT843" s="77"/>
      <c r="CU843" s="77"/>
      <c r="CV843" s="77"/>
      <c r="CW843" s="77"/>
    </row>
    <row r="844" spans="1:101" ht="16.5" x14ac:dyDescent="0.45">
      <c r="A844" s="76"/>
      <c r="B844" s="77"/>
      <c r="C844" s="77"/>
      <c r="D844" s="78"/>
      <c r="E844" s="80"/>
      <c r="F844" s="80"/>
      <c r="G844" s="81"/>
      <c r="H844" s="81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82"/>
      <c r="Z844" s="82"/>
      <c r="AA844" s="82"/>
      <c r="AB844" s="80"/>
      <c r="AC844" s="77"/>
      <c r="AD844" s="77"/>
      <c r="AE844" s="77"/>
      <c r="AF844" s="77"/>
      <c r="AG844" s="77"/>
      <c r="AH844" s="77"/>
      <c r="AI844" s="92"/>
      <c r="AJ844" s="77"/>
      <c r="AK844" s="77"/>
      <c r="AL844" s="77"/>
      <c r="AM844" s="77"/>
      <c r="AN844" s="77"/>
      <c r="AO844" s="77"/>
      <c r="AP844" s="76"/>
      <c r="AQ844" s="81"/>
      <c r="AR844" s="76"/>
      <c r="AS844" s="81"/>
      <c r="AT844" s="76"/>
      <c r="AU844" s="81"/>
      <c r="AV844" s="77"/>
      <c r="AW844" s="81"/>
      <c r="AX844" s="77"/>
      <c r="AY844" s="81"/>
      <c r="AZ844" s="77"/>
      <c r="BA844" s="81"/>
      <c r="BB844" s="77"/>
      <c r="BC844" s="81"/>
      <c r="BD844" s="77"/>
      <c r="BE844" s="81"/>
      <c r="BF844" s="77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77"/>
      <c r="BU844" s="77"/>
      <c r="BV844" s="77"/>
      <c r="BW844" s="77"/>
      <c r="BX844" s="77"/>
      <c r="BY844" s="77"/>
      <c r="BZ844" s="77"/>
      <c r="CA844" s="77"/>
      <c r="CB844" s="77"/>
      <c r="CC844" s="77"/>
      <c r="CD844" s="77"/>
      <c r="CE844" s="77"/>
      <c r="CF844" s="77"/>
      <c r="CG844" s="77"/>
      <c r="CH844" s="77"/>
      <c r="CI844" s="77"/>
      <c r="CJ844" s="77"/>
      <c r="CK844" s="77"/>
      <c r="CL844" s="77"/>
      <c r="CM844" s="77"/>
      <c r="CN844" s="77"/>
      <c r="CO844" s="77"/>
      <c r="CP844" s="77"/>
      <c r="CQ844" s="77"/>
      <c r="CR844" s="77"/>
      <c r="CS844" s="77"/>
      <c r="CT844" s="77"/>
      <c r="CU844" s="77"/>
      <c r="CV844" s="77"/>
      <c r="CW844" s="77"/>
    </row>
    <row r="845" spans="1:101" ht="16.5" x14ac:dyDescent="0.45">
      <c r="A845" s="76"/>
      <c r="B845" s="77"/>
      <c r="C845" s="77"/>
      <c r="D845" s="78"/>
      <c r="E845" s="80"/>
      <c r="F845" s="80"/>
      <c r="G845" s="81"/>
      <c r="H845" s="81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82"/>
      <c r="Z845" s="82"/>
      <c r="AA845" s="82"/>
      <c r="AB845" s="80"/>
      <c r="AC845" s="77"/>
      <c r="AD845" s="77"/>
      <c r="AE845" s="77"/>
      <c r="AF845" s="77"/>
      <c r="AG845" s="77"/>
      <c r="AH845" s="77"/>
      <c r="AI845" s="92"/>
      <c r="AJ845" s="77"/>
      <c r="AK845" s="77"/>
      <c r="AL845" s="77"/>
      <c r="AM845" s="77"/>
      <c r="AN845" s="77"/>
      <c r="AO845" s="77"/>
      <c r="AP845" s="76"/>
      <c r="AQ845" s="81"/>
      <c r="AR845" s="76"/>
      <c r="AS845" s="81"/>
      <c r="AT845" s="76"/>
      <c r="AU845" s="81"/>
      <c r="AV845" s="77"/>
      <c r="AW845" s="81"/>
      <c r="AX845" s="77"/>
      <c r="AY845" s="81"/>
      <c r="AZ845" s="77"/>
      <c r="BA845" s="81"/>
      <c r="BB845" s="77"/>
      <c r="BC845" s="81"/>
      <c r="BD845" s="77"/>
      <c r="BE845" s="81"/>
      <c r="BF845" s="77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77"/>
      <c r="BU845" s="77"/>
      <c r="BV845" s="77"/>
      <c r="BW845" s="77"/>
      <c r="BX845" s="77"/>
      <c r="BY845" s="77"/>
      <c r="BZ845" s="77"/>
      <c r="CA845" s="77"/>
      <c r="CB845" s="77"/>
      <c r="CC845" s="77"/>
      <c r="CD845" s="77"/>
      <c r="CE845" s="77"/>
      <c r="CF845" s="77"/>
      <c r="CG845" s="77"/>
      <c r="CH845" s="77"/>
      <c r="CI845" s="77"/>
      <c r="CJ845" s="77"/>
      <c r="CK845" s="77"/>
      <c r="CL845" s="77"/>
      <c r="CM845" s="77"/>
      <c r="CN845" s="77"/>
      <c r="CO845" s="77"/>
      <c r="CP845" s="77"/>
      <c r="CQ845" s="77"/>
      <c r="CR845" s="77"/>
      <c r="CS845" s="77"/>
      <c r="CT845" s="77"/>
      <c r="CU845" s="77"/>
      <c r="CV845" s="77"/>
      <c r="CW845" s="77"/>
    </row>
    <row r="846" spans="1:101" ht="16.5" x14ac:dyDescent="0.45">
      <c r="A846" s="76"/>
      <c r="B846" s="77"/>
      <c r="C846" s="77"/>
      <c r="D846" s="78"/>
      <c r="E846" s="80"/>
      <c r="F846" s="80"/>
      <c r="G846" s="81"/>
      <c r="H846" s="81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82"/>
      <c r="Z846" s="82"/>
      <c r="AA846" s="82"/>
      <c r="AB846" s="80"/>
      <c r="AC846" s="77"/>
      <c r="AD846" s="77"/>
      <c r="AE846" s="77"/>
      <c r="AF846" s="77"/>
      <c r="AG846" s="77"/>
      <c r="AH846" s="77"/>
      <c r="AI846" s="92"/>
      <c r="AJ846" s="77"/>
      <c r="AK846" s="77"/>
      <c r="AL846" s="77"/>
      <c r="AM846" s="77"/>
      <c r="AN846" s="77"/>
      <c r="AO846" s="77"/>
      <c r="AP846" s="76"/>
      <c r="AQ846" s="81"/>
      <c r="AR846" s="76"/>
      <c r="AS846" s="81"/>
      <c r="AT846" s="76"/>
      <c r="AU846" s="81"/>
      <c r="AV846" s="77"/>
      <c r="AW846" s="81"/>
      <c r="AX846" s="77"/>
      <c r="AY846" s="81"/>
      <c r="AZ846" s="77"/>
      <c r="BA846" s="81"/>
      <c r="BB846" s="77"/>
      <c r="BC846" s="81"/>
      <c r="BD846" s="77"/>
      <c r="BE846" s="81"/>
      <c r="BF846" s="77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77"/>
      <c r="BU846" s="77"/>
      <c r="BV846" s="77"/>
      <c r="BW846" s="77"/>
      <c r="BX846" s="77"/>
      <c r="BY846" s="77"/>
      <c r="BZ846" s="77"/>
      <c r="CA846" s="77"/>
      <c r="CB846" s="77"/>
      <c r="CC846" s="77"/>
      <c r="CD846" s="77"/>
      <c r="CE846" s="77"/>
      <c r="CF846" s="77"/>
      <c r="CG846" s="77"/>
      <c r="CH846" s="77"/>
      <c r="CI846" s="77"/>
      <c r="CJ846" s="77"/>
      <c r="CK846" s="77"/>
      <c r="CL846" s="77"/>
      <c r="CM846" s="77"/>
      <c r="CN846" s="77"/>
      <c r="CO846" s="77"/>
      <c r="CP846" s="77"/>
      <c r="CQ846" s="77"/>
      <c r="CR846" s="77"/>
      <c r="CS846" s="77"/>
      <c r="CT846" s="77"/>
      <c r="CU846" s="77"/>
      <c r="CV846" s="77"/>
      <c r="CW846" s="77"/>
    </row>
    <row r="847" spans="1:101" ht="16.5" x14ac:dyDescent="0.45">
      <c r="A847" s="76"/>
      <c r="B847" s="77"/>
      <c r="C847" s="77"/>
      <c r="D847" s="78"/>
      <c r="E847" s="80"/>
      <c r="F847" s="80"/>
      <c r="G847" s="81"/>
      <c r="H847" s="81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82"/>
      <c r="Z847" s="82"/>
      <c r="AA847" s="82"/>
      <c r="AB847" s="80"/>
      <c r="AC847" s="77"/>
      <c r="AD847" s="77"/>
      <c r="AE847" s="77"/>
      <c r="AF847" s="77"/>
      <c r="AG847" s="77"/>
      <c r="AH847" s="77"/>
      <c r="AI847" s="92"/>
      <c r="AJ847" s="77"/>
      <c r="AK847" s="77"/>
      <c r="AL847" s="77"/>
      <c r="AM847" s="77"/>
      <c r="AN847" s="77"/>
      <c r="AO847" s="77"/>
      <c r="AP847" s="76"/>
      <c r="AQ847" s="81"/>
      <c r="AR847" s="76"/>
      <c r="AS847" s="81"/>
      <c r="AT847" s="76"/>
      <c r="AU847" s="81"/>
      <c r="AV847" s="77"/>
      <c r="AW847" s="81"/>
      <c r="AX847" s="77"/>
      <c r="AY847" s="81"/>
      <c r="AZ847" s="77"/>
      <c r="BA847" s="81"/>
      <c r="BB847" s="77"/>
      <c r="BC847" s="81"/>
      <c r="BD847" s="77"/>
      <c r="BE847" s="81"/>
      <c r="BF847" s="77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77"/>
      <c r="BU847" s="77"/>
      <c r="BV847" s="77"/>
      <c r="BW847" s="77"/>
      <c r="BX847" s="77"/>
      <c r="BY847" s="77"/>
      <c r="BZ847" s="77"/>
      <c r="CA847" s="77"/>
      <c r="CB847" s="77"/>
      <c r="CC847" s="77"/>
      <c r="CD847" s="77"/>
      <c r="CE847" s="77"/>
      <c r="CF847" s="77"/>
      <c r="CG847" s="77"/>
      <c r="CH847" s="77"/>
      <c r="CI847" s="77"/>
      <c r="CJ847" s="77"/>
      <c r="CK847" s="77"/>
      <c r="CL847" s="77"/>
      <c r="CM847" s="77"/>
      <c r="CN847" s="77"/>
      <c r="CO847" s="77"/>
      <c r="CP847" s="77"/>
      <c r="CQ847" s="77"/>
      <c r="CR847" s="77"/>
      <c r="CS847" s="77"/>
      <c r="CT847" s="77"/>
      <c r="CU847" s="77"/>
      <c r="CV847" s="77"/>
      <c r="CW847" s="77"/>
    </row>
    <row r="848" spans="1:101" ht="16.5" x14ac:dyDescent="0.45">
      <c r="A848" s="76"/>
      <c r="B848" s="77"/>
      <c r="C848" s="77"/>
      <c r="D848" s="78"/>
      <c r="E848" s="80"/>
      <c r="F848" s="80"/>
      <c r="G848" s="81"/>
      <c r="H848" s="81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82"/>
      <c r="Z848" s="82"/>
      <c r="AA848" s="82"/>
      <c r="AB848" s="80"/>
      <c r="AC848" s="77"/>
      <c r="AD848" s="77"/>
      <c r="AE848" s="77"/>
      <c r="AF848" s="77"/>
      <c r="AG848" s="77"/>
      <c r="AH848" s="77"/>
      <c r="AI848" s="92"/>
      <c r="AJ848" s="77"/>
      <c r="AK848" s="77"/>
      <c r="AL848" s="77"/>
      <c r="AM848" s="77"/>
      <c r="AN848" s="77"/>
      <c r="AO848" s="77"/>
      <c r="AP848" s="76"/>
      <c r="AQ848" s="81"/>
      <c r="AR848" s="76"/>
      <c r="AS848" s="81"/>
      <c r="AT848" s="76"/>
      <c r="AU848" s="81"/>
      <c r="AV848" s="77"/>
      <c r="AW848" s="81"/>
      <c r="AX848" s="77"/>
      <c r="AY848" s="81"/>
      <c r="AZ848" s="77"/>
      <c r="BA848" s="81"/>
      <c r="BB848" s="77"/>
      <c r="BC848" s="81"/>
      <c r="BD848" s="77"/>
      <c r="BE848" s="81"/>
      <c r="BF848" s="77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77"/>
      <c r="BU848" s="77"/>
      <c r="BV848" s="77"/>
      <c r="BW848" s="77"/>
      <c r="BX848" s="77"/>
      <c r="BY848" s="77"/>
      <c r="BZ848" s="77"/>
      <c r="CA848" s="77"/>
      <c r="CB848" s="77"/>
      <c r="CC848" s="77"/>
      <c r="CD848" s="77"/>
      <c r="CE848" s="77"/>
      <c r="CF848" s="77"/>
      <c r="CG848" s="77"/>
      <c r="CH848" s="77"/>
      <c r="CI848" s="77"/>
      <c r="CJ848" s="77"/>
      <c r="CK848" s="77"/>
      <c r="CL848" s="77"/>
      <c r="CM848" s="77"/>
      <c r="CN848" s="77"/>
      <c r="CO848" s="77"/>
      <c r="CP848" s="77"/>
      <c r="CQ848" s="77"/>
      <c r="CR848" s="77"/>
      <c r="CS848" s="77"/>
      <c r="CT848" s="77"/>
      <c r="CU848" s="77"/>
      <c r="CV848" s="77"/>
      <c r="CW848" s="77"/>
    </row>
    <row r="849" spans="1:101" ht="16.5" x14ac:dyDescent="0.45">
      <c r="A849" s="76"/>
      <c r="B849" s="77"/>
      <c r="C849" s="77"/>
      <c r="D849" s="78"/>
      <c r="E849" s="80"/>
      <c r="F849" s="80"/>
      <c r="G849" s="81"/>
      <c r="H849" s="81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82"/>
      <c r="Z849" s="82"/>
      <c r="AA849" s="82"/>
      <c r="AB849" s="80"/>
      <c r="AC849" s="77"/>
      <c r="AD849" s="77"/>
      <c r="AE849" s="77"/>
      <c r="AF849" s="77"/>
      <c r="AG849" s="77"/>
      <c r="AH849" s="77"/>
      <c r="AI849" s="92"/>
      <c r="AJ849" s="77"/>
      <c r="AK849" s="77"/>
      <c r="AL849" s="77"/>
      <c r="AM849" s="77"/>
      <c r="AN849" s="77"/>
      <c r="AO849" s="77"/>
      <c r="AP849" s="76"/>
      <c r="AQ849" s="81"/>
      <c r="AR849" s="76"/>
      <c r="AS849" s="81"/>
      <c r="AT849" s="76"/>
      <c r="AU849" s="81"/>
      <c r="AV849" s="77"/>
      <c r="AW849" s="81"/>
      <c r="AX849" s="77"/>
      <c r="AY849" s="81"/>
      <c r="AZ849" s="77"/>
      <c r="BA849" s="81"/>
      <c r="BB849" s="77"/>
      <c r="BC849" s="81"/>
      <c r="BD849" s="77"/>
      <c r="BE849" s="81"/>
      <c r="BF849" s="77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77"/>
      <c r="BU849" s="77"/>
      <c r="BV849" s="77"/>
      <c r="BW849" s="77"/>
      <c r="BX849" s="77"/>
      <c r="BY849" s="77"/>
      <c r="BZ849" s="77"/>
      <c r="CA849" s="77"/>
      <c r="CB849" s="77"/>
      <c r="CC849" s="77"/>
      <c r="CD849" s="77"/>
      <c r="CE849" s="77"/>
      <c r="CF849" s="77"/>
      <c r="CG849" s="77"/>
      <c r="CH849" s="77"/>
      <c r="CI849" s="77"/>
      <c r="CJ849" s="77"/>
      <c r="CK849" s="77"/>
      <c r="CL849" s="77"/>
      <c r="CM849" s="77"/>
      <c r="CN849" s="77"/>
      <c r="CO849" s="77"/>
      <c r="CP849" s="77"/>
      <c r="CQ849" s="77"/>
      <c r="CR849" s="77"/>
      <c r="CS849" s="77"/>
      <c r="CT849" s="77"/>
      <c r="CU849" s="77"/>
      <c r="CV849" s="77"/>
      <c r="CW849" s="77"/>
    </row>
    <row r="850" spans="1:101" ht="16.5" x14ac:dyDescent="0.45">
      <c r="A850" s="76"/>
      <c r="B850" s="77"/>
      <c r="C850" s="77"/>
      <c r="D850" s="78"/>
      <c r="E850" s="80"/>
      <c r="F850" s="80"/>
      <c r="G850" s="81"/>
      <c r="H850" s="81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82"/>
      <c r="Z850" s="82"/>
      <c r="AA850" s="82"/>
      <c r="AB850" s="80"/>
      <c r="AC850" s="77"/>
      <c r="AD850" s="77"/>
      <c r="AE850" s="77"/>
      <c r="AF850" s="77"/>
      <c r="AG850" s="77"/>
      <c r="AH850" s="77"/>
      <c r="AI850" s="92"/>
      <c r="AJ850" s="77"/>
      <c r="AK850" s="77"/>
      <c r="AL850" s="77"/>
      <c r="AM850" s="77"/>
      <c r="AN850" s="77"/>
      <c r="AO850" s="77"/>
      <c r="AP850" s="76"/>
      <c r="AQ850" s="81"/>
      <c r="AR850" s="76"/>
      <c r="AS850" s="81"/>
      <c r="AT850" s="76"/>
      <c r="AU850" s="81"/>
      <c r="AV850" s="77"/>
      <c r="AW850" s="81"/>
      <c r="AX850" s="77"/>
      <c r="AY850" s="81"/>
      <c r="AZ850" s="77"/>
      <c r="BA850" s="81"/>
      <c r="BB850" s="77"/>
      <c r="BC850" s="81"/>
      <c r="BD850" s="77"/>
      <c r="BE850" s="81"/>
      <c r="BF850" s="77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77"/>
      <c r="BU850" s="77"/>
      <c r="BV850" s="77"/>
      <c r="BW850" s="77"/>
      <c r="BX850" s="77"/>
      <c r="BY850" s="77"/>
      <c r="BZ850" s="77"/>
      <c r="CA850" s="77"/>
      <c r="CB850" s="77"/>
      <c r="CC850" s="77"/>
      <c r="CD850" s="77"/>
      <c r="CE850" s="77"/>
      <c r="CF850" s="77"/>
      <c r="CG850" s="77"/>
      <c r="CH850" s="77"/>
      <c r="CI850" s="77"/>
      <c r="CJ850" s="77"/>
      <c r="CK850" s="77"/>
      <c r="CL850" s="77"/>
      <c r="CM850" s="77"/>
      <c r="CN850" s="77"/>
      <c r="CO850" s="77"/>
      <c r="CP850" s="77"/>
      <c r="CQ850" s="77"/>
      <c r="CR850" s="77"/>
      <c r="CS850" s="77"/>
      <c r="CT850" s="77"/>
      <c r="CU850" s="77"/>
      <c r="CV850" s="77"/>
      <c r="CW850" s="77"/>
    </row>
    <row r="851" spans="1:101" ht="16.5" x14ac:dyDescent="0.45">
      <c r="A851" s="76"/>
      <c r="B851" s="77"/>
      <c r="C851" s="77"/>
      <c r="D851" s="78"/>
      <c r="E851" s="80"/>
      <c r="F851" s="80"/>
      <c r="G851" s="81"/>
      <c r="H851" s="81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82"/>
      <c r="Z851" s="82"/>
      <c r="AA851" s="82"/>
      <c r="AB851" s="80"/>
      <c r="AC851" s="77"/>
      <c r="AD851" s="77"/>
      <c r="AE851" s="77"/>
      <c r="AF851" s="77"/>
      <c r="AG851" s="77"/>
      <c r="AH851" s="77"/>
      <c r="AI851" s="92"/>
      <c r="AJ851" s="77"/>
      <c r="AK851" s="77"/>
      <c r="AL851" s="77"/>
      <c r="AM851" s="77"/>
      <c r="AN851" s="77"/>
      <c r="AO851" s="77"/>
      <c r="AP851" s="76"/>
      <c r="AQ851" s="81"/>
      <c r="AR851" s="76"/>
      <c r="AS851" s="81"/>
      <c r="AT851" s="76"/>
      <c r="AU851" s="81"/>
      <c r="AV851" s="77"/>
      <c r="AW851" s="81"/>
      <c r="AX851" s="77"/>
      <c r="AY851" s="81"/>
      <c r="AZ851" s="77"/>
      <c r="BA851" s="81"/>
      <c r="BB851" s="77"/>
      <c r="BC851" s="81"/>
      <c r="BD851" s="77"/>
      <c r="BE851" s="81"/>
      <c r="BF851" s="77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77"/>
      <c r="BU851" s="77"/>
      <c r="BV851" s="77"/>
      <c r="BW851" s="77"/>
      <c r="BX851" s="77"/>
      <c r="BY851" s="77"/>
      <c r="BZ851" s="77"/>
      <c r="CA851" s="77"/>
      <c r="CB851" s="77"/>
      <c r="CC851" s="77"/>
      <c r="CD851" s="77"/>
      <c r="CE851" s="77"/>
      <c r="CF851" s="77"/>
      <c r="CG851" s="77"/>
      <c r="CH851" s="77"/>
      <c r="CI851" s="77"/>
      <c r="CJ851" s="77"/>
      <c r="CK851" s="77"/>
      <c r="CL851" s="77"/>
      <c r="CM851" s="77"/>
      <c r="CN851" s="77"/>
      <c r="CO851" s="77"/>
      <c r="CP851" s="77"/>
      <c r="CQ851" s="77"/>
      <c r="CR851" s="77"/>
      <c r="CS851" s="77"/>
      <c r="CT851" s="77"/>
      <c r="CU851" s="77"/>
      <c r="CV851" s="77"/>
      <c r="CW851" s="77"/>
    </row>
    <row r="852" spans="1:101" ht="16.5" x14ac:dyDescent="0.45">
      <c r="A852" s="76"/>
      <c r="B852" s="77"/>
      <c r="C852" s="77"/>
      <c r="D852" s="78"/>
      <c r="E852" s="80"/>
      <c r="F852" s="80"/>
      <c r="G852" s="81"/>
      <c r="H852" s="81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82"/>
      <c r="Z852" s="82"/>
      <c r="AA852" s="82"/>
      <c r="AB852" s="80"/>
      <c r="AC852" s="77"/>
      <c r="AD852" s="77"/>
      <c r="AE852" s="77"/>
      <c r="AF852" s="77"/>
      <c r="AG852" s="77"/>
      <c r="AH852" s="77"/>
      <c r="AI852" s="92"/>
      <c r="AJ852" s="77"/>
      <c r="AK852" s="77"/>
      <c r="AL852" s="77"/>
      <c r="AM852" s="77"/>
      <c r="AN852" s="77"/>
      <c r="AO852" s="77"/>
      <c r="AP852" s="76"/>
      <c r="AQ852" s="81"/>
      <c r="AR852" s="76"/>
      <c r="AS852" s="81"/>
      <c r="AT852" s="76"/>
      <c r="AU852" s="81"/>
      <c r="AV852" s="77"/>
      <c r="AW852" s="81"/>
      <c r="AX852" s="77"/>
      <c r="AY852" s="81"/>
      <c r="AZ852" s="77"/>
      <c r="BA852" s="81"/>
      <c r="BB852" s="77"/>
      <c r="BC852" s="81"/>
      <c r="BD852" s="77"/>
      <c r="BE852" s="81"/>
      <c r="BF852" s="77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77"/>
      <c r="BU852" s="77"/>
      <c r="BV852" s="77"/>
      <c r="BW852" s="77"/>
      <c r="BX852" s="77"/>
      <c r="BY852" s="77"/>
      <c r="BZ852" s="77"/>
      <c r="CA852" s="77"/>
      <c r="CB852" s="77"/>
      <c r="CC852" s="77"/>
      <c r="CD852" s="77"/>
      <c r="CE852" s="77"/>
      <c r="CF852" s="77"/>
      <c r="CG852" s="77"/>
      <c r="CH852" s="77"/>
      <c r="CI852" s="77"/>
      <c r="CJ852" s="77"/>
      <c r="CK852" s="77"/>
      <c r="CL852" s="77"/>
      <c r="CM852" s="77"/>
      <c r="CN852" s="77"/>
      <c r="CO852" s="77"/>
      <c r="CP852" s="77"/>
      <c r="CQ852" s="77"/>
      <c r="CR852" s="77"/>
      <c r="CS852" s="77"/>
      <c r="CT852" s="77"/>
      <c r="CU852" s="77"/>
      <c r="CV852" s="77"/>
      <c r="CW852" s="77"/>
    </row>
    <row r="853" spans="1:101" ht="16.5" x14ac:dyDescent="0.45">
      <c r="A853" s="76"/>
      <c r="B853" s="77"/>
      <c r="C853" s="77"/>
      <c r="D853" s="78"/>
      <c r="E853" s="80"/>
      <c r="F853" s="80"/>
      <c r="G853" s="81"/>
      <c r="H853" s="81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82"/>
      <c r="Z853" s="82"/>
      <c r="AA853" s="82"/>
      <c r="AB853" s="80"/>
      <c r="AC853" s="77"/>
      <c r="AD853" s="77"/>
      <c r="AE853" s="77"/>
      <c r="AF853" s="77"/>
      <c r="AG853" s="77"/>
      <c r="AH853" s="77"/>
      <c r="AI853" s="92"/>
      <c r="AJ853" s="77"/>
      <c r="AK853" s="77"/>
      <c r="AL853" s="77"/>
      <c r="AM853" s="77"/>
      <c r="AN853" s="77"/>
      <c r="AO853" s="77"/>
      <c r="AP853" s="76"/>
      <c r="AQ853" s="81"/>
      <c r="AR853" s="76"/>
      <c r="AS853" s="81"/>
      <c r="AT853" s="76"/>
      <c r="AU853" s="81"/>
      <c r="AV853" s="77"/>
      <c r="AW853" s="81"/>
      <c r="AX853" s="77"/>
      <c r="AY853" s="81"/>
      <c r="AZ853" s="77"/>
      <c r="BA853" s="81"/>
      <c r="BB853" s="77"/>
      <c r="BC853" s="81"/>
      <c r="BD853" s="77"/>
      <c r="BE853" s="81"/>
      <c r="BF853" s="77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77"/>
      <c r="BU853" s="77"/>
      <c r="BV853" s="77"/>
      <c r="BW853" s="77"/>
      <c r="BX853" s="77"/>
      <c r="BY853" s="77"/>
      <c r="BZ853" s="77"/>
      <c r="CA853" s="77"/>
      <c r="CB853" s="77"/>
      <c r="CC853" s="77"/>
      <c r="CD853" s="77"/>
      <c r="CE853" s="77"/>
      <c r="CF853" s="77"/>
      <c r="CG853" s="77"/>
      <c r="CH853" s="77"/>
      <c r="CI853" s="77"/>
      <c r="CJ853" s="77"/>
      <c r="CK853" s="77"/>
      <c r="CL853" s="77"/>
      <c r="CM853" s="77"/>
      <c r="CN853" s="77"/>
      <c r="CO853" s="77"/>
      <c r="CP853" s="77"/>
      <c r="CQ853" s="77"/>
      <c r="CR853" s="77"/>
      <c r="CS853" s="77"/>
      <c r="CT853" s="77"/>
      <c r="CU853" s="77"/>
      <c r="CV853" s="77"/>
      <c r="CW853" s="77"/>
    </row>
    <row r="854" spans="1:101" ht="16.5" x14ac:dyDescent="0.45">
      <c r="A854" s="76"/>
      <c r="B854" s="77"/>
      <c r="C854" s="77"/>
      <c r="D854" s="78"/>
      <c r="E854" s="80"/>
      <c r="F854" s="80"/>
      <c r="G854" s="81"/>
      <c r="H854" s="81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82"/>
      <c r="Z854" s="82"/>
      <c r="AA854" s="82"/>
      <c r="AB854" s="80"/>
      <c r="AC854" s="77"/>
      <c r="AD854" s="77"/>
      <c r="AE854" s="77"/>
      <c r="AF854" s="77"/>
      <c r="AG854" s="77"/>
      <c r="AH854" s="77"/>
      <c r="AI854" s="92"/>
      <c r="AJ854" s="77"/>
      <c r="AK854" s="77"/>
      <c r="AL854" s="77"/>
      <c r="AM854" s="77"/>
      <c r="AN854" s="77"/>
      <c r="AO854" s="77"/>
      <c r="AP854" s="76"/>
      <c r="AQ854" s="81"/>
      <c r="AR854" s="76"/>
      <c r="AS854" s="81"/>
      <c r="AT854" s="76"/>
      <c r="AU854" s="81"/>
      <c r="AV854" s="77"/>
      <c r="AW854" s="81"/>
      <c r="AX854" s="77"/>
      <c r="AY854" s="81"/>
      <c r="AZ854" s="77"/>
      <c r="BA854" s="81"/>
      <c r="BB854" s="77"/>
      <c r="BC854" s="81"/>
      <c r="BD854" s="77"/>
      <c r="BE854" s="81"/>
      <c r="BF854" s="77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77"/>
      <c r="BU854" s="77"/>
      <c r="BV854" s="77"/>
      <c r="BW854" s="77"/>
      <c r="BX854" s="77"/>
      <c r="BY854" s="77"/>
      <c r="BZ854" s="77"/>
      <c r="CA854" s="77"/>
      <c r="CB854" s="77"/>
      <c r="CC854" s="77"/>
      <c r="CD854" s="77"/>
      <c r="CE854" s="77"/>
      <c r="CF854" s="77"/>
      <c r="CG854" s="77"/>
      <c r="CH854" s="77"/>
      <c r="CI854" s="77"/>
      <c r="CJ854" s="77"/>
      <c r="CK854" s="77"/>
      <c r="CL854" s="77"/>
      <c r="CM854" s="77"/>
      <c r="CN854" s="77"/>
      <c r="CO854" s="77"/>
      <c r="CP854" s="77"/>
      <c r="CQ854" s="77"/>
      <c r="CR854" s="77"/>
      <c r="CS854" s="77"/>
      <c r="CT854" s="77"/>
      <c r="CU854" s="77"/>
      <c r="CV854" s="77"/>
      <c r="CW854" s="77"/>
    </row>
    <row r="855" spans="1:101" ht="16.5" x14ac:dyDescent="0.45">
      <c r="A855" s="76"/>
      <c r="B855" s="77"/>
      <c r="C855" s="77"/>
      <c r="D855" s="78"/>
      <c r="E855" s="80"/>
      <c r="F855" s="80"/>
      <c r="G855" s="81"/>
      <c r="H855" s="81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82"/>
      <c r="Z855" s="82"/>
      <c r="AA855" s="82"/>
      <c r="AB855" s="80"/>
      <c r="AC855" s="77"/>
      <c r="AD855" s="77"/>
      <c r="AE855" s="77"/>
      <c r="AF855" s="77"/>
      <c r="AG855" s="77"/>
      <c r="AH855" s="77"/>
      <c r="AI855" s="92"/>
      <c r="AJ855" s="77"/>
      <c r="AK855" s="77"/>
      <c r="AL855" s="77"/>
      <c r="AM855" s="77"/>
      <c r="AN855" s="77"/>
      <c r="AO855" s="77"/>
      <c r="AP855" s="76"/>
      <c r="AQ855" s="81"/>
      <c r="AR855" s="76"/>
      <c r="AS855" s="81"/>
      <c r="AT855" s="76"/>
      <c r="AU855" s="81"/>
      <c r="AV855" s="77"/>
      <c r="AW855" s="81"/>
      <c r="AX855" s="77"/>
      <c r="AY855" s="81"/>
      <c r="AZ855" s="77"/>
      <c r="BA855" s="81"/>
      <c r="BB855" s="77"/>
      <c r="BC855" s="81"/>
      <c r="BD855" s="77"/>
      <c r="BE855" s="81"/>
      <c r="BF855" s="77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77"/>
      <c r="BU855" s="77"/>
      <c r="BV855" s="77"/>
      <c r="BW855" s="77"/>
      <c r="BX855" s="77"/>
      <c r="BY855" s="77"/>
      <c r="BZ855" s="77"/>
      <c r="CA855" s="77"/>
      <c r="CB855" s="77"/>
      <c r="CC855" s="77"/>
      <c r="CD855" s="77"/>
      <c r="CE855" s="77"/>
      <c r="CF855" s="77"/>
      <c r="CG855" s="77"/>
      <c r="CH855" s="77"/>
      <c r="CI855" s="77"/>
      <c r="CJ855" s="77"/>
      <c r="CK855" s="77"/>
      <c r="CL855" s="77"/>
      <c r="CM855" s="77"/>
      <c r="CN855" s="77"/>
      <c r="CO855" s="77"/>
      <c r="CP855" s="77"/>
      <c r="CQ855" s="77"/>
      <c r="CR855" s="77"/>
      <c r="CS855" s="77"/>
      <c r="CT855" s="77"/>
      <c r="CU855" s="77"/>
      <c r="CV855" s="77"/>
      <c r="CW855" s="77"/>
    </row>
    <row r="856" spans="1:101" ht="16.5" x14ac:dyDescent="0.45">
      <c r="A856" s="76"/>
      <c r="B856" s="77"/>
      <c r="C856" s="77"/>
      <c r="D856" s="78"/>
      <c r="E856" s="80"/>
      <c r="F856" s="80"/>
      <c r="G856" s="81"/>
      <c r="H856" s="81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82"/>
      <c r="Z856" s="82"/>
      <c r="AA856" s="82"/>
      <c r="AB856" s="80"/>
      <c r="AC856" s="77"/>
      <c r="AD856" s="77"/>
      <c r="AE856" s="77"/>
      <c r="AF856" s="77"/>
      <c r="AG856" s="77"/>
      <c r="AH856" s="77"/>
      <c r="AI856" s="92"/>
      <c r="AJ856" s="77"/>
      <c r="AK856" s="77"/>
      <c r="AL856" s="77"/>
      <c r="AM856" s="77"/>
      <c r="AN856" s="77"/>
      <c r="AO856" s="77"/>
      <c r="AP856" s="76"/>
      <c r="AQ856" s="81"/>
      <c r="AR856" s="76"/>
      <c r="AS856" s="81"/>
      <c r="AT856" s="76"/>
      <c r="AU856" s="81"/>
      <c r="AV856" s="77"/>
      <c r="AW856" s="81"/>
      <c r="AX856" s="77"/>
      <c r="AY856" s="81"/>
      <c r="AZ856" s="77"/>
      <c r="BA856" s="81"/>
      <c r="BB856" s="77"/>
      <c r="BC856" s="81"/>
      <c r="BD856" s="77"/>
      <c r="BE856" s="81"/>
      <c r="BF856" s="77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77"/>
      <c r="BU856" s="77"/>
      <c r="BV856" s="77"/>
      <c r="BW856" s="77"/>
      <c r="BX856" s="77"/>
      <c r="BY856" s="77"/>
      <c r="BZ856" s="77"/>
      <c r="CA856" s="77"/>
      <c r="CB856" s="77"/>
      <c r="CC856" s="77"/>
      <c r="CD856" s="77"/>
      <c r="CE856" s="77"/>
      <c r="CF856" s="77"/>
      <c r="CG856" s="77"/>
      <c r="CH856" s="77"/>
      <c r="CI856" s="77"/>
      <c r="CJ856" s="77"/>
      <c r="CK856" s="77"/>
      <c r="CL856" s="77"/>
      <c r="CM856" s="77"/>
      <c r="CN856" s="77"/>
      <c r="CO856" s="77"/>
      <c r="CP856" s="77"/>
      <c r="CQ856" s="77"/>
      <c r="CR856" s="77"/>
      <c r="CS856" s="77"/>
      <c r="CT856" s="77"/>
      <c r="CU856" s="77"/>
      <c r="CV856" s="77"/>
      <c r="CW856" s="77"/>
    </row>
    <row r="857" spans="1:101" ht="16.5" x14ac:dyDescent="0.45">
      <c r="A857" s="76"/>
      <c r="B857" s="77"/>
      <c r="C857" s="77"/>
      <c r="D857" s="78"/>
      <c r="E857" s="80"/>
      <c r="F857" s="80"/>
      <c r="G857" s="81"/>
      <c r="H857" s="81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82"/>
      <c r="Z857" s="82"/>
      <c r="AA857" s="82"/>
      <c r="AB857" s="80"/>
      <c r="AC857" s="77"/>
      <c r="AD857" s="77"/>
      <c r="AE857" s="77"/>
      <c r="AF857" s="77"/>
      <c r="AG857" s="77"/>
      <c r="AH857" s="77"/>
      <c r="AI857" s="92"/>
      <c r="AJ857" s="77"/>
      <c r="AK857" s="77"/>
      <c r="AL857" s="77"/>
      <c r="AM857" s="77"/>
      <c r="AN857" s="77"/>
      <c r="AO857" s="77"/>
      <c r="AP857" s="76"/>
      <c r="AQ857" s="81"/>
      <c r="AR857" s="76"/>
      <c r="AS857" s="81"/>
      <c r="AT857" s="76"/>
      <c r="AU857" s="81"/>
      <c r="AV857" s="77"/>
      <c r="AW857" s="81"/>
      <c r="AX857" s="77"/>
      <c r="AY857" s="81"/>
      <c r="AZ857" s="77"/>
      <c r="BA857" s="81"/>
      <c r="BB857" s="77"/>
      <c r="BC857" s="81"/>
      <c r="BD857" s="77"/>
      <c r="BE857" s="81"/>
      <c r="BF857" s="77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77"/>
      <c r="BU857" s="77"/>
      <c r="BV857" s="77"/>
      <c r="BW857" s="77"/>
      <c r="BX857" s="77"/>
      <c r="BY857" s="77"/>
      <c r="BZ857" s="77"/>
      <c r="CA857" s="77"/>
      <c r="CB857" s="77"/>
      <c r="CC857" s="77"/>
      <c r="CD857" s="77"/>
      <c r="CE857" s="77"/>
      <c r="CF857" s="77"/>
      <c r="CG857" s="77"/>
      <c r="CH857" s="77"/>
      <c r="CI857" s="77"/>
      <c r="CJ857" s="77"/>
      <c r="CK857" s="77"/>
      <c r="CL857" s="77"/>
      <c r="CM857" s="77"/>
      <c r="CN857" s="77"/>
      <c r="CO857" s="77"/>
      <c r="CP857" s="77"/>
      <c r="CQ857" s="77"/>
      <c r="CR857" s="77"/>
      <c r="CS857" s="77"/>
      <c r="CT857" s="77"/>
      <c r="CU857" s="77"/>
      <c r="CV857" s="77"/>
      <c r="CW857" s="77"/>
    </row>
    <row r="858" spans="1:101" ht="16.5" x14ac:dyDescent="0.45">
      <c r="A858" s="76"/>
      <c r="B858" s="77"/>
      <c r="C858" s="77"/>
      <c r="D858" s="78"/>
      <c r="E858" s="80"/>
      <c r="F858" s="80"/>
      <c r="G858" s="81"/>
      <c r="H858" s="81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82"/>
      <c r="Z858" s="82"/>
      <c r="AA858" s="82"/>
      <c r="AB858" s="80"/>
      <c r="AC858" s="77"/>
      <c r="AD858" s="77"/>
      <c r="AE858" s="77"/>
      <c r="AF858" s="77"/>
      <c r="AG858" s="77"/>
      <c r="AH858" s="77"/>
      <c r="AI858" s="92"/>
      <c r="AJ858" s="77"/>
      <c r="AK858" s="77"/>
      <c r="AL858" s="77"/>
      <c r="AM858" s="77"/>
      <c r="AN858" s="77"/>
      <c r="AO858" s="77"/>
      <c r="AP858" s="76"/>
      <c r="AQ858" s="81"/>
      <c r="AR858" s="76"/>
      <c r="AS858" s="81"/>
      <c r="AT858" s="76"/>
      <c r="AU858" s="81"/>
      <c r="AV858" s="77"/>
      <c r="AW858" s="81"/>
      <c r="AX858" s="77"/>
      <c r="AY858" s="81"/>
      <c r="AZ858" s="77"/>
      <c r="BA858" s="81"/>
      <c r="BB858" s="77"/>
      <c r="BC858" s="81"/>
      <c r="BD858" s="77"/>
      <c r="BE858" s="81"/>
      <c r="BF858" s="77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77"/>
      <c r="BU858" s="77"/>
      <c r="BV858" s="77"/>
      <c r="BW858" s="77"/>
      <c r="BX858" s="77"/>
      <c r="BY858" s="77"/>
      <c r="BZ858" s="77"/>
      <c r="CA858" s="77"/>
      <c r="CB858" s="77"/>
      <c r="CC858" s="77"/>
      <c r="CD858" s="77"/>
      <c r="CE858" s="77"/>
      <c r="CF858" s="77"/>
      <c r="CG858" s="77"/>
      <c r="CH858" s="77"/>
      <c r="CI858" s="77"/>
      <c r="CJ858" s="77"/>
      <c r="CK858" s="77"/>
      <c r="CL858" s="77"/>
      <c r="CM858" s="77"/>
      <c r="CN858" s="77"/>
      <c r="CO858" s="77"/>
      <c r="CP858" s="77"/>
      <c r="CQ858" s="77"/>
      <c r="CR858" s="77"/>
      <c r="CS858" s="77"/>
      <c r="CT858" s="77"/>
      <c r="CU858" s="77"/>
      <c r="CV858" s="77"/>
      <c r="CW858" s="77"/>
    </row>
    <row r="859" spans="1:101" ht="16.5" x14ac:dyDescent="0.45">
      <c r="A859" s="76"/>
      <c r="B859" s="77"/>
      <c r="C859" s="77"/>
      <c r="D859" s="78"/>
      <c r="E859" s="80"/>
      <c r="F859" s="80"/>
      <c r="G859" s="81"/>
      <c r="H859" s="81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82"/>
      <c r="Z859" s="82"/>
      <c r="AA859" s="82"/>
      <c r="AB859" s="80"/>
      <c r="AC859" s="77"/>
      <c r="AD859" s="77"/>
      <c r="AE859" s="77"/>
      <c r="AF859" s="77"/>
      <c r="AG859" s="77"/>
      <c r="AH859" s="77"/>
      <c r="AI859" s="92"/>
      <c r="AJ859" s="77"/>
      <c r="AK859" s="77"/>
      <c r="AL859" s="77"/>
      <c r="AM859" s="77"/>
      <c r="AN859" s="77"/>
      <c r="AO859" s="77"/>
      <c r="AP859" s="76"/>
      <c r="AQ859" s="81"/>
      <c r="AR859" s="76"/>
      <c r="AS859" s="81"/>
      <c r="AT859" s="76"/>
      <c r="AU859" s="81"/>
      <c r="AV859" s="77"/>
      <c r="AW859" s="81"/>
      <c r="AX859" s="77"/>
      <c r="AY859" s="81"/>
      <c r="AZ859" s="77"/>
      <c r="BA859" s="81"/>
      <c r="BB859" s="77"/>
      <c r="BC859" s="81"/>
      <c r="BD859" s="77"/>
      <c r="BE859" s="81"/>
      <c r="BF859" s="77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77"/>
      <c r="BU859" s="77"/>
      <c r="BV859" s="77"/>
      <c r="BW859" s="77"/>
      <c r="BX859" s="77"/>
      <c r="BY859" s="77"/>
      <c r="BZ859" s="77"/>
      <c r="CA859" s="77"/>
      <c r="CB859" s="77"/>
      <c r="CC859" s="77"/>
      <c r="CD859" s="77"/>
      <c r="CE859" s="77"/>
      <c r="CF859" s="77"/>
      <c r="CG859" s="77"/>
      <c r="CH859" s="77"/>
      <c r="CI859" s="77"/>
      <c r="CJ859" s="77"/>
      <c r="CK859" s="77"/>
      <c r="CL859" s="77"/>
      <c r="CM859" s="77"/>
      <c r="CN859" s="77"/>
      <c r="CO859" s="77"/>
      <c r="CP859" s="77"/>
      <c r="CQ859" s="77"/>
      <c r="CR859" s="77"/>
      <c r="CS859" s="77"/>
      <c r="CT859" s="77"/>
      <c r="CU859" s="77"/>
      <c r="CV859" s="77"/>
      <c r="CW859" s="77"/>
    </row>
    <row r="860" spans="1:101" ht="16.5" x14ac:dyDescent="0.45">
      <c r="A860" s="76"/>
      <c r="B860" s="77"/>
      <c r="C860" s="77"/>
      <c r="D860" s="78"/>
      <c r="E860" s="80"/>
      <c r="F860" s="80"/>
      <c r="G860" s="81"/>
      <c r="H860" s="81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82"/>
      <c r="Z860" s="82"/>
      <c r="AA860" s="82"/>
      <c r="AB860" s="80"/>
      <c r="AC860" s="77"/>
      <c r="AD860" s="77"/>
      <c r="AE860" s="77"/>
      <c r="AF860" s="77"/>
      <c r="AG860" s="77"/>
      <c r="AH860" s="77"/>
      <c r="AI860" s="92"/>
      <c r="AJ860" s="77"/>
      <c r="AK860" s="77"/>
      <c r="AL860" s="77"/>
      <c r="AM860" s="77"/>
      <c r="AN860" s="77"/>
      <c r="AO860" s="77"/>
      <c r="AP860" s="76"/>
      <c r="AQ860" s="81"/>
      <c r="AR860" s="76"/>
      <c r="AS860" s="81"/>
      <c r="AT860" s="76"/>
      <c r="AU860" s="81"/>
      <c r="AV860" s="77"/>
      <c r="AW860" s="81"/>
      <c r="AX860" s="77"/>
      <c r="AY860" s="81"/>
      <c r="AZ860" s="77"/>
      <c r="BA860" s="81"/>
      <c r="BB860" s="77"/>
      <c r="BC860" s="81"/>
      <c r="BD860" s="77"/>
      <c r="BE860" s="81"/>
      <c r="BF860" s="77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77"/>
      <c r="BU860" s="77"/>
      <c r="BV860" s="77"/>
      <c r="BW860" s="77"/>
      <c r="BX860" s="77"/>
      <c r="BY860" s="77"/>
      <c r="BZ860" s="77"/>
      <c r="CA860" s="77"/>
      <c r="CB860" s="77"/>
      <c r="CC860" s="77"/>
      <c r="CD860" s="77"/>
      <c r="CE860" s="77"/>
      <c r="CF860" s="77"/>
      <c r="CG860" s="77"/>
      <c r="CH860" s="77"/>
      <c r="CI860" s="77"/>
      <c r="CJ860" s="77"/>
      <c r="CK860" s="77"/>
      <c r="CL860" s="77"/>
      <c r="CM860" s="77"/>
      <c r="CN860" s="77"/>
      <c r="CO860" s="77"/>
      <c r="CP860" s="77"/>
      <c r="CQ860" s="77"/>
      <c r="CR860" s="77"/>
      <c r="CS860" s="77"/>
      <c r="CT860" s="77"/>
      <c r="CU860" s="77"/>
      <c r="CV860" s="77"/>
      <c r="CW860" s="77"/>
    </row>
    <row r="861" spans="1:101" ht="16.5" x14ac:dyDescent="0.45">
      <c r="A861" s="76"/>
      <c r="B861" s="77"/>
      <c r="C861" s="77"/>
      <c r="D861" s="78"/>
      <c r="E861" s="80"/>
      <c r="F861" s="80"/>
      <c r="G861" s="81"/>
      <c r="H861" s="81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82"/>
      <c r="Z861" s="82"/>
      <c r="AA861" s="82"/>
      <c r="AB861" s="80"/>
      <c r="AC861" s="77"/>
      <c r="AD861" s="77"/>
      <c r="AE861" s="77"/>
      <c r="AF861" s="77"/>
      <c r="AG861" s="77"/>
      <c r="AH861" s="77"/>
      <c r="AI861" s="92"/>
      <c r="AJ861" s="77"/>
      <c r="AK861" s="77"/>
      <c r="AL861" s="77"/>
      <c r="AM861" s="77"/>
      <c r="AN861" s="77"/>
      <c r="AO861" s="77"/>
      <c r="AP861" s="76"/>
      <c r="AQ861" s="81"/>
      <c r="AR861" s="76"/>
      <c r="AS861" s="81"/>
      <c r="AT861" s="76"/>
      <c r="AU861" s="81"/>
      <c r="AV861" s="77"/>
      <c r="AW861" s="81"/>
      <c r="AX861" s="77"/>
      <c r="AY861" s="81"/>
      <c r="AZ861" s="77"/>
      <c r="BA861" s="81"/>
      <c r="BB861" s="77"/>
      <c r="BC861" s="81"/>
      <c r="BD861" s="77"/>
      <c r="BE861" s="81"/>
      <c r="BF861" s="77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77"/>
      <c r="BU861" s="77"/>
      <c r="BV861" s="77"/>
      <c r="BW861" s="77"/>
      <c r="BX861" s="77"/>
      <c r="BY861" s="77"/>
      <c r="BZ861" s="77"/>
      <c r="CA861" s="77"/>
      <c r="CB861" s="77"/>
      <c r="CC861" s="77"/>
      <c r="CD861" s="77"/>
      <c r="CE861" s="77"/>
      <c r="CF861" s="77"/>
      <c r="CG861" s="77"/>
      <c r="CH861" s="77"/>
      <c r="CI861" s="77"/>
      <c r="CJ861" s="77"/>
      <c r="CK861" s="77"/>
      <c r="CL861" s="77"/>
      <c r="CM861" s="77"/>
      <c r="CN861" s="77"/>
      <c r="CO861" s="77"/>
      <c r="CP861" s="77"/>
      <c r="CQ861" s="77"/>
      <c r="CR861" s="77"/>
      <c r="CS861" s="77"/>
      <c r="CT861" s="77"/>
      <c r="CU861" s="77"/>
      <c r="CV861" s="77"/>
      <c r="CW861" s="77"/>
    </row>
    <row r="862" spans="1:101" ht="16.5" x14ac:dyDescent="0.45">
      <c r="A862" s="76"/>
      <c r="B862" s="77"/>
      <c r="C862" s="77"/>
      <c r="D862" s="78"/>
      <c r="E862" s="80"/>
      <c r="F862" s="80"/>
      <c r="G862" s="81"/>
      <c r="H862" s="81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82"/>
      <c r="Z862" s="82"/>
      <c r="AA862" s="82"/>
      <c r="AB862" s="80"/>
      <c r="AC862" s="77"/>
      <c r="AD862" s="77"/>
      <c r="AE862" s="77"/>
      <c r="AF862" s="77"/>
      <c r="AG862" s="77"/>
      <c r="AH862" s="77"/>
      <c r="AI862" s="92"/>
      <c r="AJ862" s="77"/>
      <c r="AK862" s="77"/>
      <c r="AL862" s="77"/>
      <c r="AM862" s="77"/>
      <c r="AN862" s="77"/>
      <c r="AO862" s="77"/>
      <c r="AP862" s="76"/>
      <c r="AQ862" s="81"/>
      <c r="AR862" s="76"/>
      <c r="AS862" s="81"/>
      <c r="AT862" s="76"/>
      <c r="AU862" s="81"/>
      <c r="AV862" s="77"/>
      <c r="AW862" s="81"/>
      <c r="AX862" s="77"/>
      <c r="AY862" s="81"/>
      <c r="AZ862" s="77"/>
      <c r="BA862" s="81"/>
      <c r="BB862" s="77"/>
      <c r="BC862" s="81"/>
      <c r="BD862" s="77"/>
      <c r="BE862" s="81"/>
      <c r="BF862" s="77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77"/>
      <c r="BU862" s="77"/>
      <c r="BV862" s="77"/>
      <c r="BW862" s="77"/>
      <c r="BX862" s="77"/>
      <c r="BY862" s="77"/>
      <c r="BZ862" s="77"/>
      <c r="CA862" s="77"/>
      <c r="CB862" s="77"/>
      <c r="CC862" s="77"/>
      <c r="CD862" s="77"/>
      <c r="CE862" s="77"/>
      <c r="CF862" s="77"/>
      <c r="CG862" s="77"/>
      <c r="CH862" s="77"/>
      <c r="CI862" s="77"/>
      <c r="CJ862" s="77"/>
      <c r="CK862" s="77"/>
      <c r="CL862" s="77"/>
      <c r="CM862" s="77"/>
      <c r="CN862" s="77"/>
      <c r="CO862" s="77"/>
      <c r="CP862" s="77"/>
      <c r="CQ862" s="77"/>
      <c r="CR862" s="77"/>
      <c r="CS862" s="77"/>
      <c r="CT862" s="77"/>
      <c r="CU862" s="77"/>
      <c r="CV862" s="77"/>
      <c r="CW862" s="77"/>
    </row>
    <row r="863" spans="1:101" ht="16.5" x14ac:dyDescent="0.45">
      <c r="A863" s="76"/>
      <c r="B863" s="77"/>
      <c r="C863" s="77"/>
      <c r="D863" s="78"/>
      <c r="E863" s="80"/>
      <c r="F863" s="80"/>
      <c r="G863" s="81"/>
      <c r="H863" s="81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82"/>
      <c r="Z863" s="82"/>
      <c r="AA863" s="82"/>
      <c r="AB863" s="80"/>
      <c r="AC863" s="77"/>
      <c r="AD863" s="77"/>
      <c r="AE863" s="77"/>
      <c r="AF863" s="77"/>
      <c r="AG863" s="77"/>
      <c r="AH863" s="77"/>
      <c r="AI863" s="92"/>
      <c r="AJ863" s="77"/>
      <c r="AK863" s="77"/>
      <c r="AL863" s="77"/>
      <c r="AM863" s="77"/>
      <c r="AN863" s="77"/>
      <c r="AO863" s="77"/>
      <c r="AP863" s="76"/>
      <c r="AQ863" s="81"/>
      <c r="AR863" s="76"/>
      <c r="AS863" s="81"/>
      <c r="AT863" s="76"/>
      <c r="AU863" s="81"/>
      <c r="AV863" s="77"/>
      <c r="AW863" s="81"/>
      <c r="AX863" s="77"/>
      <c r="AY863" s="81"/>
      <c r="AZ863" s="77"/>
      <c r="BA863" s="81"/>
      <c r="BB863" s="77"/>
      <c r="BC863" s="81"/>
      <c r="BD863" s="77"/>
      <c r="BE863" s="81"/>
      <c r="BF863" s="77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77"/>
      <c r="BU863" s="77"/>
      <c r="BV863" s="77"/>
      <c r="BW863" s="77"/>
      <c r="BX863" s="77"/>
      <c r="BY863" s="77"/>
      <c r="BZ863" s="77"/>
      <c r="CA863" s="77"/>
      <c r="CB863" s="77"/>
      <c r="CC863" s="77"/>
      <c r="CD863" s="77"/>
      <c r="CE863" s="77"/>
      <c r="CF863" s="77"/>
      <c r="CG863" s="77"/>
      <c r="CH863" s="77"/>
      <c r="CI863" s="77"/>
      <c r="CJ863" s="77"/>
      <c r="CK863" s="77"/>
      <c r="CL863" s="77"/>
      <c r="CM863" s="77"/>
      <c r="CN863" s="77"/>
      <c r="CO863" s="77"/>
      <c r="CP863" s="77"/>
      <c r="CQ863" s="77"/>
      <c r="CR863" s="77"/>
      <c r="CS863" s="77"/>
      <c r="CT863" s="77"/>
      <c r="CU863" s="77"/>
      <c r="CV863" s="77"/>
      <c r="CW863" s="77"/>
    </row>
    <row r="864" spans="1:101" ht="16.5" x14ac:dyDescent="0.45">
      <c r="A864" s="76"/>
      <c r="B864" s="77"/>
      <c r="C864" s="77"/>
      <c r="D864" s="78"/>
      <c r="E864" s="80"/>
      <c r="F864" s="80"/>
      <c r="G864" s="81"/>
      <c r="H864" s="81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82"/>
      <c r="Z864" s="82"/>
      <c r="AA864" s="82"/>
      <c r="AB864" s="80"/>
      <c r="AC864" s="77"/>
      <c r="AD864" s="77"/>
      <c r="AE864" s="77"/>
      <c r="AF864" s="77"/>
      <c r="AG864" s="77"/>
      <c r="AH864" s="77"/>
      <c r="AI864" s="92"/>
      <c r="AJ864" s="77"/>
      <c r="AK864" s="77"/>
      <c r="AL864" s="77"/>
      <c r="AM864" s="77"/>
      <c r="AN864" s="77"/>
      <c r="AO864" s="77"/>
      <c r="AP864" s="76"/>
      <c r="AQ864" s="81"/>
      <c r="AR864" s="76"/>
      <c r="AS864" s="81"/>
      <c r="AT864" s="76"/>
      <c r="AU864" s="81"/>
      <c r="AV864" s="77"/>
      <c r="AW864" s="81"/>
      <c r="AX864" s="77"/>
      <c r="AY864" s="81"/>
      <c r="AZ864" s="77"/>
      <c r="BA864" s="81"/>
      <c r="BB864" s="77"/>
      <c r="BC864" s="81"/>
      <c r="BD864" s="77"/>
      <c r="BE864" s="81"/>
      <c r="BF864" s="77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77"/>
      <c r="BU864" s="77"/>
      <c r="BV864" s="77"/>
      <c r="BW864" s="77"/>
      <c r="BX864" s="77"/>
      <c r="BY864" s="77"/>
      <c r="BZ864" s="77"/>
      <c r="CA864" s="77"/>
      <c r="CB864" s="77"/>
      <c r="CC864" s="77"/>
      <c r="CD864" s="77"/>
      <c r="CE864" s="77"/>
      <c r="CF864" s="77"/>
      <c r="CG864" s="77"/>
      <c r="CH864" s="77"/>
      <c r="CI864" s="77"/>
      <c r="CJ864" s="77"/>
      <c r="CK864" s="77"/>
      <c r="CL864" s="77"/>
      <c r="CM864" s="77"/>
      <c r="CN864" s="77"/>
      <c r="CO864" s="77"/>
      <c r="CP864" s="77"/>
      <c r="CQ864" s="77"/>
      <c r="CR864" s="77"/>
      <c r="CS864" s="77"/>
      <c r="CT864" s="77"/>
      <c r="CU864" s="77"/>
      <c r="CV864" s="77"/>
      <c r="CW864" s="77"/>
    </row>
    <row r="865" spans="1:101" ht="16.5" x14ac:dyDescent="0.45">
      <c r="A865" s="76"/>
      <c r="B865" s="77"/>
      <c r="C865" s="77"/>
      <c r="D865" s="78"/>
      <c r="E865" s="80"/>
      <c r="F865" s="80"/>
      <c r="G865" s="81"/>
      <c r="H865" s="81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82"/>
      <c r="Z865" s="82"/>
      <c r="AA865" s="82"/>
      <c r="AB865" s="80"/>
      <c r="AC865" s="77"/>
      <c r="AD865" s="77"/>
      <c r="AE865" s="77"/>
      <c r="AF865" s="77"/>
      <c r="AG865" s="77"/>
      <c r="AH865" s="77"/>
      <c r="AI865" s="92"/>
      <c r="AJ865" s="77"/>
      <c r="AK865" s="77"/>
      <c r="AL865" s="77"/>
      <c r="AM865" s="77"/>
      <c r="AN865" s="77"/>
      <c r="AO865" s="77"/>
      <c r="AP865" s="76"/>
      <c r="AQ865" s="81"/>
      <c r="AR865" s="76"/>
      <c r="AS865" s="81"/>
      <c r="AT865" s="76"/>
      <c r="AU865" s="81"/>
      <c r="AV865" s="77"/>
      <c r="AW865" s="81"/>
      <c r="AX865" s="77"/>
      <c r="AY865" s="81"/>
      <c r="AZ865" s="77"/>
      <c r="BA865" s="81"/>
      <c r="BB865" s="77"/>
      <c r="BC865" s="81"/>
      <c r="BD865" s="77"/>
      <c r="BE865" s="81"/>
      <c r="BF865" s="77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77"/>
      <c r="BU865" s="77"/>
      <c r="BV865" s="77"/>
      <c r="BW865" s="77"/>
      <c r="BX865" s="77"/>
      <c r="BY865" s="77"/>
      <c r="BZ865" s="77"/>
      <c r="CA865" s="77"/>
      <c r="CB865" s="77"/>
      <c r="CC865" s="77"/>
      <c r="CD865" s="77"/>
      <c r="CE865" s="77"/>
      <c r="CF865" s="77"/>
      <c r="CG865" s="77"/>
      <c r="CH865" s="77"/>
      <c r="CI865" s="77"/>
      <c r="CJ865" s="77"/>
      <c r="CK865" s="77"/>
      <c r="CL865" s="77"/>
      <c r="CM865" s="77"/>
      <c r="CN865" s="77"/>
      <c r="CO865" s="77"/>
      <c r="CP865" s="77"/>
      <c r="CQ865" s="77"/>
      <c r="CR865" s="77"/>
      <c r="CS865" s="77"/>
      <c r="CT865" s="77"/>
      <c r="CU865" s="77"/>
      <c r="CV865" s="77"/>
      <c r="CW865" s="77"/>
    </row>
    <row r="866" spans="1:101" ht="16.5" x14ac:dyDescent="0.45">
      <c r="A866" s="76"/>
      <c r="B866" s="77"/>
      <c r="C866" s="77"/>
      <c r="D866" s="78"/>
      <c r="E866" s="80"/>
      <c r="F866" s="80"/>
      <c r="G866" s="81"/>
      <c r="H866" s="81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82"/>
      <c r="Z866" s="82"/>
      <c r="AA866" s="82"/>
      <c r="AB866" s="80"/>
      <c r="AC866" s="77"/>
      <c r="AD866" s="77"/>
      <c r="AE866" s="77"/>
      <c r="AF866" s="77"/>
      <c r="AG866" s="77"/>
      <c r="AH866" s="77"/>
      <c r="AI866" s="92"/>
      <c r="AJ866" s="77"/>
      <c r="AK866" s="77"/>
      <c r="AL866" s="77"/>
      <c r="AM866" s="77"/>
      <c r="AN866" s="77"/>
      <c r="AO866" s="77"/>
      <c r="AP866" s="76"/>
      <c r="AQ866" s="81"/>
      <c r="AR866" s="76"/>
      <c r="AS866" s="81"/>
      <c r="AT866" s="76"/>
      <c r="AU866" s="81"/>
      <c r="AV866" s="77"/>
      <c r="AW866" s="81"/>
      <c r="AX866" s="77"/>
      <c r="AY866" s="81"/>
      <c r="AZ866" s="77"/>
      <c r="BA866" s="81"/>
      <c r="BB866" s="77"/>
      <c r="BC866" s="81"/>
      <c r="BD866" s="77"/>
      <c r="BE866" s="81"/>
      <c r="BF866" s="77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77"/>
      <c r="BU866" s="77"/>
      <c r="BV866" s="77"/>
      <c r="BW866" s="77"/>
      <c r="BX866" s="77"/>
      <c r="BY866" s="77"/>
      <c r="BZ866" s="77"/>
      <c r="CA866" s="77"/>
      <c r="CB866" s="77"/>
      <c r="CC866" s="77"/>
      <c r="CD866" s="77"/>
      <c r="CE866" s="77"/>
      <c r="CF866" s="77"/>
      <c r="CG866" s="77"/>
      <c r="CH866" s="77"/>
      <c r="CI866" s="77"/>
      <c r="CJ866" s="77"/>
      <c r="CK866" s="77"/>
      <c r="CL866" s="77"/>
      <c r="CM866" s="77"/>
      <c r="CN866" s="77"/>
      <c r="CO866" s="77"/>
      <c r="CP866" s="77"/>
      <c r="CQ866" s="77"/>
      <c r="CR866" s="77"/>
      <c r="CS866" s="77"/>
      <c r="CT866" s="77"/>
      <c r="CU866" s="77"/>
      <c r="CV866" s="77"/>
      <c r="CW866" s="77"/>
    </row>
    <row r="867" spans="1:101" ht="16.5" x14ac:dyDescent="0.45">
      <c r="A867" s="76"/>
      <c r="B867" s="77"/>
      <c r="C867" s="77"/>
      <c r="D867" s="78"/>
      <c r="E867" s="80"/>
      <c r="F867" s="80"/>
      <c r="G867" s="81"/>
      <c r="H867" s="81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82"/>
      <c r="Z867" s="82"/>
      <c r="AA867" s="82"/>
      <c r="AB867" s="80"/>
      <c r="AC867" s="77"/>
      <c r="AD867" s="77"/>
      <c r="AE867" s="77"/>
      <c r="AF867" s="77"/>
      <c r="AG867" s="77"/>
      <c r="AH867" s="77"/>
      <c r="AI867" s="92"/>
      <c r="AJ867" s="77"/>
      <c r="AK867" s="77"/>
      <c r="AL867" s="77"/>
      <c r="AM867" s="77"/>
      <c r="AN867" s="77"/>
      <c r="AO867" s="77"/>
      <c r="AP867" s="76"/>
      <c r="AQ867" s="81"/>
      <c r="AR867" s="76"/>
      <c r="AS867" s="81"/>
      <c r="AT867" s="76"/>
      <c r="AU867" s="81"/>
      <c r="AV867" s="77"/>
      <c r="AW867" s="81"/>
      <c r="AX867" s="77"/>
      <c r="AY867" s="81"/>
      <c r="AZ867" s="77"/>
      <c r="BA867" s="81"/>
      <c r="BB867" s="77"/>
      <c r="BC867" s="81"/>
      <c r="BD867" s="77"/>
      <c r="BE867" s="81"/>
      <c r="BF867" s="77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77"/>
      <c r="BU867" s="77"/>
      <c r="BV867" s="77"/>
      <c r="BW867" s="77"/>
      <c r="BX867" s="77"/>
      <c r="BY867" s="77"/>
      <c r="BZ867" s="77"/>
      <c r="CA867" s="77"/>
      <c r="CB867" s="77"/>
      <c r="CC867" s="77"/>
      <c r="CD867" s="77"/>
      <c r="CE867" s="77"/>
      <c r="CF867" s="77"/>
      <c r="CG867" s="77"/>
      <c r="CH867" s="77"/>
      <c r="CI867" s="77"/>
      <c r="CJ867" s="77"/>
      <c r="CK867" s="77"/>
      <c r="CL867" s="77"/>
      <c r="CM867" s="77"/>
      <c r="CN867" s="77"/>
      <c r="CO867" s="77"/>
      <c r="CP867" s="77"/>
      <c r="CQ867" s="77"/>
      <c r="CR867" s="77"/>
      <c r="CS867" s="77"/>
      <c r="CT867" s="77"/>
      <c r="CU867" s="77"/>
      <c r="CV867" s="77"/>
      <c r="CW867" s="77"/>
    </row>
    <row r="868" spans="1:101" ht="16.5" x14ac:dyDescent="0.45">
      <c r="A868" s="76"/>
      <c r="B868" s="77"/>
      <c r="C868" s="77"/>
      <c r="D868" s="78"/>
      <c r="E868" s="80"/>
      <c r="F868" s="80"/>
      <c r="G868" s="81"/>
      <c r="H868" s="81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82"/>
      <c r="Z868" s="82"/>
      <c r="AA868" s="82"/>
      <c r="AB868" s="80"/>
      <c r="AC868" s="77"/>
      <c r="AD868" s="77"/>
      <c r="AE868" s="77"/>
      <c r="AF868" s="77"/>
      <c r="AG868" s="77"/>
      <c r="AH868" s="77"/>
      <c r="AI868" s="92"/>
      <c r="AJ868" s="77"/>
      <c r="AK868" s="77"/>
      <c r="AL868" s="77"/>
      <c r="AM868" s="77"/>
      <c r="AN868" s="77"/>
      <c r="AO868" s="77"/>
      <c r="AP868" s="76"/>
      <c r="AQ868" s="81"/>
      <c r="AR868" s="76"/>
      <c r="AS868" s="81"/>
      <c r="AT868" s="76"/>
      <c r="AU868" s="81"/>
      <c r="AV868" s="77"/>
      <c r="AW868" s="81"/>
      <c r="AX868" s="77"/>
      <c r="AY868" s="81"/>
      <c r="AZ868" s="77"/>
      <c r="BA868" s="81"/>
      <c r="BB868" s="77"/>
      <c r="BC868" s="81"/>
      <c r="BD868" s="77"/>
      <c r="BE868" s="81"/>
      <c r="BF868" s="77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77"/>
      <c r="BU868" s="77"/>
      <c r="BV868" s="77"/>
      <c r="BW868" s="77"/>
      <c r="BX868" s="77"/>
      <c r="BY868" s="77"/>
      <c r="BZ868" s="77"/>
      <c r="CA868" s="77"/>
      <c r="CB868" s="77"/>
      <c r="CC868" s="77"/>
      <c r="CD868" s="77"/>
      <c r="CE868" s="77"/>
      <c r="CF868" s="77"/>
      <c r="CG868" s="77"/>
      <c r="CH868" s="77"/>
      <c r="CI868" s="77"/>
      <c r="CJ868" s="77"/>
      <c r="CK868" s="77"/>
      <c r="CL868" s="77"/>
      <c r="CM868" s="77"/>
      <c r="CN868" s="77"/>
      <c r="CO868" s="77"/>
      <c r="CP868" s="77"/>
      <c r="CQ868" s="77"/>
      <c r="CR868" s="77"/>
      <c r="CS868" s="77"/>
      <c r="CT868" s="77"/>
      <c r="CU868" s="77"/>
      <c r="CV868" s="77"/>
      <c r="CW868" s="77"/>
    </row>
    <row r="869" spans="1:101" ht="16.5" x14ac:dyDescent="0.45">
      <c r="A869" s="76"/>
      <c r="B869" s="77"/>
      <c r="C869" s="77"/>
      <c r="D869" s="78"/>
      <c r="E869" s="80"/>
      <c r="F869" s="80"/>
      <c r="G869" s="81"/>
      <c r="H869" s="81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82"/>
      <c r="Z869" s="82"/>
      <c r="AA869" s="82"/>
      <c r="AB869" s="80"/>
      <c r="AC869" s="77"/>
      <c r="AD869" s="77"/>
      <c r="AE869" s="77"/>
      <c r="AF869" s="77"/>
      <c r="AG869" s="77"/>
      <c r="AH869" s="77"/>
      <c r="AI869" s="92"/>
      <c r="AJ869" s="77"/>
      <c r="AK869" s="77"/>
      <c r="AL869" s="77"/>
      <c r="AM869" s="77"/>
      <c r="AN869" s="77"/>
      <c r="AO869" s="77"/>
      <c r="AP869" s="76"/>
      <c r="AQ869" s="81"/>
      <c r="AR869" s="76"/>
      <c r="AS869" s="81"/>
      <c r="AT869" s="76"/>
      <c r="AU869" s="81"/>
      <c r="AV869" s="77"/>
      <c r="AW869" s="81"/>
      <c r="AX869" s="77"/>
      <c r="AY869" s="81"/>
      <c r="AZ869" s="77"/>
      <c r="BA869" s="81"/>
      <c r="BB869" s="77"/>
      <c r="BC869" s="81"/>
      <c r="BD869" s="77"/>
      <c r="BE869" s="81"/>
      <c r="BF869" s="77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77"/>
      <c r="BU869" s="77"/>
      <c r="BV869" s="77"/>
      <c r="BW869" s="77"/>
      <c r="BX869" s="77"/>
      <c r="BY869" s="77"/>
      <c r="BZ869" s="77"/>
      <c r="CA869" s="77"/>
      <c r="CB869" s="77"/>
      <c r="CC869" s="77"/>
      <c r="CD869" s="77"/>
      <c r="CE869" s="77"/>
      <c r="CF869" s="77"/>
      <c r="CG869" s="77"/>
      <c r="CH869" s="77"/>
      <c r="CI869" s="77"/>
      <c r="CJ869" s="77"/>
      <c r="CK869" s="77"/>
      <c r="CL869" s="77"/>
      <c r="CM869" s="77"/>
      <c r="CN869" s="77"/>
      <c r="CO869" s="77"/>
      <c r="CP869" s="77"/>
      <c r="CQ869" s="77"/>
      <c r="CR869" s="77"/>
      <c r="CS869" s="77"/>
      <c r="CT869" s="77"/>
      <c r="CU869" s="77"/>
      <c r="CV869" s="77"/>
      <c r="CW869" s="77"/>
    </row>
    <row r="870" spans="1:101" ht="16.5" x14ac:dyDescent="0.45">
      <c r="A870" s="76"/>
      <c r="B870" s="77"/>
      <c r="C870" s="77"/>
      <c r="D870" s="78"/>
      <c r="E870" s="80"/>
      <c r="F870" s="80"/>
      <c r="G870" s="81"/>
      <c r="H870" s="81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82"/>
      <c r="Z870" s="82"/>
      <c r="AA870" s="82"/>
      <c r="AB870" s="80"/>
      <c r="AC870" s="77"/>
      <c r="AD870" s="77"/>
      <c r="AE870" s="77"/>
      <c r="AF870" s="77"/>
      <c r="AG870" s="77"/>
      <c r="AH870" s="77"/>
      <c r="AI870" s="92"/>
      <c r="AJ870" s="77"/>
      <c r="AK870" s="77"/>
      <c r="AL870" s="77"/>
      <c r="AM870" s="77"/>
      <c r="AN870" s="77"/>
      <c r="AO870" s="77"/>
      <c r="AP870" s="76"/>
      <c r="AQ870" s="81"/>
      <c r="AR870" s="76"/>
      <c r="AS870" s="81"/>
      <c r="AT870" s="76"/>
      <c r="AU870" s="81"/>
      <c r="AV870" s="77"/>
      <c r="AW870" s="81"/>
      <c r="AX870" s="77"/>
      <c r="AY870" s="81"/>
      <c r="AZ870" s="77"/>
      <c r="BA870" s="81"/>
      <c r="BB870" s="77"/>
      <c r="BC870" s="81"/>
      <c r="BD870" s="77"/>
      <c r="BE870" s="81"/>
      <c r="BF870" s="77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77"/>
      <c r="BU870" s="77"/>
      <c r="BV870" s="77"/>
      <c r="BW870" s="77"/>
      <c r="BX870" s="77"/>
      <c r="BY870" s="77"/>
      <c r="BZ870" s="77"/>
      <c r="CA870" s="77"/>
      <c r="CB870" s="77"/>
      <c r="CC870" s="77"/>
      <c r="CD870" s="77"/>
      <c r="CE870" s="77"/>
      <c r="CF870" s="77"/>
      <c r="CG870" s="77"/>
      <c r="CH870" s="77"/>
      <c r="CI870" s="77"/>
      <c r="CJ870" s="77"/>
      <c r="CK870" s="77"/>
      <c r="CL870" s="77"/>
      <c r="CM870" s="77"/>
      <c r="CN870" s="77"/>
      <c r="CO870" s="77"/>
      <c r="CP870" s="77"/>
      <c r="CQ870" s="77"/>
      <c r="CR870" s="77"/>
      <c r="CS870" s="77"/>
      <c r="CT870" s="77"/>
      <c r="CU870" s="77"/>
      <c r="CV870" s="77"/>
      <c r="CW870" s="77"/>
    </row>
    <row r="871" spans="1:101" ht="16.5" x14ac:dyDescent="0.45">
      <c r="A871" s="76"/>
      <c r="B871" s="77"/>
      <c r="C871" s="77"/>
      <c r="D871" s="78"/>
      <c r="E871" s="80"/>
      <c r="F871" s="80"/>
      <c r="G871" s="81"/>
      <c r="H871" s="81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82"/>
      <c r="Z871" s="82"/>
      <c r="AA871" s="82"/>
      <c r="AB871" s="80"/>
      <c r="AC871" s="77"/>
      <c r="AD871" s="77"/>
      <c r="AE871" s="77"/>
      <c r="AF871" s="77"/>
      <c r="AG871" s="77"/>
      <c r="AH871" s="77"/>
      <c r="AI871" s="92"/>
      <c r="AJ871" s="77"/>
      <c r="AK871" s="77"/>
      <c r="AL871" s="77"/>
      <c r="AM871" s="77"/>
      <c r="AN871" s="77"/>
      <c r="AO871" s="77"/>
      <c r="AP871" s="76"/>
      <c r="AQ871" s="81"/>
      <c r="AR871" s="76"/>
      <c r="AS871" s="81"/>
      <c r="AT871" s="76"/>
      <c r="AU871" s="81"/>
      <c r="AV871" s="77"/>
      <c r="AW871" s="81"/>
      <c r="AX871" s="77"/>
      <c r="AY871" s="81"/>
      <c r="AZ871" s="77"/>
      <c r="BA871" s="81"/>
      <c r="BB871" s="77"/>
      <c r="BC871" s="81"/>
      <c r="BD871" s="77"/>
      <c r="BE871" s="81"/>
      <c r="BF871" s="77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77"/>
      <c r="BU871" s="77"/>
      <c r="BV871" s="77"/>
      <c r="BW871" s="77"/>
      <c r="BX871" s="77"/>
      <c r="BY871" s="77"/>
      <c r="BZ871" s="77"/>
      <c r="CA871" s="77"/>
      <c r="CB871" s="77"/>
      <c r="CC871" s="77"/>
      <c r="CD871" s="77"/>
      <c r="CE871" s="77"/>
      <c r="CF871" s="77"/>
      <c r="CG871" s="77"/>
      <c r="CH871" s="77"/>
      <c r="CI871" s="77"/>
      <c r="CJ871" s="77"/>
      <c r="CK871" s="77"/>
      <c r="CL871" s="77"/>
      <c r="CM871" s="77"/>
      <c r="CN871" s="77"/>
      <c r="CO871" s="77"/>
      <c r="CP871" s="77"/>
      <c r="CQ871" s="77"/>
      <c r="CR871" s="77"/>
      <c r="CS871" s="77"/>
      <c r="CT871" s="77"/>
      <c r="CU871" s="77"/>
      <c r="CV871" s="77"/>
      <c r="CW871" s="77"/>
    </row>
    <row r="872" spans="1:101" ht="16.5" x14ac:dyDescent="0.45">
      <c r="A872" s="76"/>
      <c r="B872" s="77"/>
      <c r="C872" s="77"/>
      <c r="D872" s="78"/>
      <c r="E872" s="80"/>
      <c r="F872" s="80"/>
      <c r="G872" s="81"/>
      <c r="H872" s="81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82"/>
      <c r="Z872" s="82"/>
      <c r="AA872" s="82"/>
      <c r="AB872" s="80"/>
      <c r="AC872" s="77"/>
      <c r="AD872" s="77"/>
      <c r="AE872" s="77"/>
      <c r="AF872" s="77"/>
      <c r="AG872" s="77"/>
      <c r="AH872" s="77"/>
      <c r="AI872" s="92"/>
      <c r="AJ872" s="77"/>
      <c r="AK872" s="77"/>
      <c r="AL872" s="77"/>
      <c r="AM872" s="77"/>
      <c r="AN872" s="77"/>
      <c r="AO872" s="77"/>
      <c r="AP872" s="76"/>
      <c r="AQ872" s="81"/>
      <c r="AR872" s="76"/>
      <c r="AS872" s="81"/>
      <c r="AT872" s="76"/>
      <c r="AU872" s="81"/>
      <c r="AV872" s="77"/>
      <c r="AW872" s="81"/>
      <c r="AX872" s="77"/>
      <c r="AY872" s="81"/>
      <c r="AZ872" s="77"/>
      <c r="BA872" s="81"/>
      <c r="BB872" s="77"/>
      <c r="BC872" s="81"/>
      <c r="BD872" s="77"/>
      <c r="BE872" s="81"/>
      <c r="BF872" s="77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77"/>
      <c r="BU872" s="77"/>
      <c r="BV872" s="77"/>
      <c r="BW872" s="77"/>
      <c r="BX872" s="77"/>
      <c r="BY872" s="77"/>
      <c r="BZ872" s="77"/>
      <c r="CA872" s="77"/>
      <c r="CB872" s="77"/>
      <c r="CC872" s="77"/>
      <c r="CD872" s="77"/>
      <c r="CE872" s="77"/>
      <c r="CF872" s="77"/>
      <c r="CG872" s="77"/>
      <c r="CH872" s="77"/>
      <c r="CI872" s="77"/>
      <c r="CJ872" s="77"/>
      <c r="CK872" s="77"/>
      <c r="CL872" s="77"/>
      <c r="CM872" s="77"/>
      <c r="CN872" s="77"/>
      <c r="CO872" s="77"/>
      <c r="CP872" s="77"/>
      <c r="CQ872" s="77"/>
      <c r="CR872" s="77"/>
      <c r="CS872" s="77"/>
      <c r="CT872" s="77"/>
      <c r="CU872" s="77"/>
      <c r="CV872" s="77"/>
      <c r="CW872" s="77"/>
    </row>
    <row r="873" spans="1:101" ht="16.5" x14ac:dyDescent="0.45">
      <c r="A873" s="76"/>
      <c r="B873" s="77"/>
      <c r="C873" s="77"/>
      <c r="D873" s="78"/>
      <c r="E873" s="80"/>
      <c r="F873" s="80"/>
      <c r="G873" s="81"/>
      <c r="H873" s="81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82"/>
      <c r="Z873" s="82"/>
      <c r="AA873" s="82"/>
      <c r="AB873" s="80"/>
      <c r="AC873" s="77"/>
      <c r="AD873" s="77"/>
      <c r="AE873" s="77"/>
      <c r="AF873" s="77"/>
      <c r="AG873" s="77"/>
      <c r="AH873" s="77"/>
      <c r="AI873" s="92"/>
      <c r="AJ873" s="77"/>
      <c r="AK873" s="77"/>
      <c r="AL873" s="77"/>
      <c r="AM873" s="77"/>
      <c r="AN873" s="77"/>
      <c r="AO873" s="77"/>
      <c r="AP873" s="76"/>
      <c r="AQ873" s="81"/>
      <c r="AR873" s="76"/>
      <c r="AS873" s="81"/>
      <c r="AT873" s="76"/>
      <c r="AU873" s="81"/>
      <c r="AV873" s="77"/>
      <c r="AW873" s="81"/>
      <c r="AX873" s="77"/>
      <c r="AY873" s="81"/>
      <c r="AZ873" s="77"/>
      <c r="BA873" s="81"/>
      <c r="BB873" s="77"/>
      <c r="BC873" s="81"/>
      <c r="BD873" s="77"/>
      <c r="BE873" s="81"/>
      <c r="BF873" s="77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77"/>
      <c r="BU873" s="77"/>
      <c r="BV873" s="77"/>
      <c r="BW873" s="77"/>
      <c r="BX873" s="77"/>
      <c r="BY873" s="77"/>
      <c r="BZ873" s="77"/>
      <c r="CA873" s="77"/>
      <c r="CB873" s="77"/>
      <c r="CC873" s="77"/>
      <c r="CD873" s="77"/>
      <c r="CE873" s="77"/>
      <c r="CF873" s="77"/>
      <c r="CG873" s="77"/>
      <c r="CH873" s="77"/>
      <c r="CI873" s="77"/>
      <c r="CJ873" s="77"/>
      <c r="CK873" s="77"/>
      <c r="CL873" s="77"/>
      <c r="CM873" s="77"/>
      <c r="CN873" s="77"/>
      <c r="CO873" s="77"/>
      <c r="CP873" s="77"/>
      <c r="CQ873" s="77"/>
      <c r="CR873" s="77"/>
      <c r="CS873" s="77"/>
      <c r="CT873" s="77"/>
      <c r="CU873" s="77"/>
      <c r="CV873" s="77"/>
      <c r="CW873" s="77"/>
    </row>
    <row r="874" spans="1:101" ht="16.5" x14ac:dyDescent="0.45">
      <c r="A874" s="76"/>
      <c r="B874" s="77"/>
      <c r="C874" s="77"/>
      <c r="D874" s="78"/>
      <c r="E874" s="80"/>
      <c r="F874" s="80"/>
      <c r="G874" s="81"/>
      <c r="H874" s="81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82"/>
      <c r="Z874" s="82"/>
      <c r="AA874" s="82"/>
      <c r="AB874" s="80"/>
      <c r="AC874" s="77"/>
      <c r="AD874" s="77"/>
      <c r="AE874" s="77"/>
      <c r="AF874" s="77"/>
      <c r="AG874" s="77"/>
      <c r="AH874" s="77"/>
      <c r="AI874" s="92"/>
      <c r="AJ874" s="77"/>
      <c r="AK874" s="77"/>
      <c r="AL874" s="77"/>
      <c r="AM874" s="77"/>
      <c r="AN874" s="77"/>
      <c r="AO874" s="77"/>
      <c r="AP874" s="76"/>
      <c r="AQ874" s="81"/>
      <c r="AR874" s="76"/>
      <c r="AS874" s="81"/>
      <c r="AT874" s="76"/>
      <c r="AU874" s="81"/>
      <c r="AV874" s="77"/>
      <c r="AW874" s="81"/>
      <c r="AX874" s="77"/>
      <c r="AY874" s="81"/>
      <c r="AZ874" s="77"/>
      <c r="BA874" s="81"/>
      <c r="BB874" s="77"/>
      <c r="BC874" s="81"/>
      <c r="BD874" s="77"/>
      <c r="BE874" s="81"/>
      <c r="BF874" s="77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77"/>
      <c r="BU874" s="77"/>
      <c r="BV874" s="77"/>
      <c r="BW874" s="77"/>
      <c r="BX874" s="77"/>
      <c r="BY874" s="77"/>
      <c r="BZ874" s="77"/>
      <c r="CA874" s="77"/>
      <c r="CB874" s="77"/>
      <c r="CC874" s="77"/>
      <c r="CD874" s="77"/>
      <c r="CE874" s="77"/>
      <c r="CF874" s="77"/>
      <c r="CG874" s="77"/>
      <c r="CH874" s="77"/>
      <c r="CI874" s="77"/>
      <c r="CJ874" s="77"/>
      <c r="CK874" s="77"/>
      <c r="CL874" s="77"/>
      <c r="CM874" s="77"/>
      <c r="CN874" s="77"/>
      <c r="CO874" s="77"/>
      <c r="CP874" s="77"/>
      <c r="CQ874" s="77"/>
      <c r="CR874" s="77"/>
      <c r="CS874" s="77"/>
      <c r="CT874" s="77"/>
      <c r="CU874" s="77"/>
      <c r="CV874" s="77"/>
      <c r="CW874" s="77"/>
    </row>
    <row r="875" spans="1:101" ht="16.5" x14ac:dyDescent="0.45">
      <c r="A875" s="76"/>
      <c r="B875" s="77"/>
      <c r="C875" s="77"/>
      <c r="D875" s="78"/>
      <c r="E875" s="80"/>
      <c r="F875" s="80"/>
      <c r="G875" s="81"/>
      <c r="H875" s="81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82"/>
      <c r="Z875" s="82"/>
      <c r="AA875" s="82"/>
      <c r="AB875" s="80"/>
      <c r="AC875" s="77"/>
      <c r="AD875" s="77"/>
      <c r="AE875" s="77"/>
      <c r="AF875" s="77"/>
      <c r="AG875" s="77"/>
      <c r="AH875" s="77"/>
      <c r="AI875" s="92"/>
      <c r="AJ875" s="77"/>
      <c r="AK875" s="77"/>
      <c r="AL875" s="77"/>
      <c r="AM875" s="77"/>
      <c r="AN875" s="77"/>
      <c r="AO875" s="77"/>
      <c r="AP875" s="76"/>
      <c r="AQ875" s="81"/>
      <c r="AR875" s="76"/>
      <c r="AS875" s="81"/>
      <c r="AT875" s="76"/>
      <c r="AU875" s="81"/>
      <c r="AV875" s="77"/>
      <c r="AW875" s="81"/>
      <c r="AX875" s="77"/>
      <c r="AY875" s="81"/>
      <c r="AZ875" s="77"/>
      <c r="BA875" s="81"/>
      <c r="BB875" s="77"/>
      <c r="BC875" s="81"/>
      <c r="BD875" s="77"/>
      <c r="BE875" s="81"/>
      <c r="BF875" s="77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77"/>
      <c r="BU875" s="77"/>
      <c r="BV875" s="77"/>
      <c r="BW875" s="77"/>
      <c r="BX875" s="77"/>
      <c r="BY875" s="77"/>
      <c r="BZ875" s="77"/>
      <c r="CA875" s="77"/>
      <c r="CB875" s="77"/>
      <c r="CC875" s="77"/>
      <c r="CD875" s="77"/>
      <c r="CE875" s="77"/>
      <c r="CF875" s="77"/>
      <c r="CG875" s="77"/>
      <c r="CH875" s="77"/>
      <c r="CI875" s="77"/>
      <c r="CJ875" s="77"/>
      <c r="CK875" s="77"/>
      <c r="CL875" s="77"/>
      <c r="CM875" s="77"/>
      <c r="CN875" s="77"/>
      <c r="CO875" s="77"/>
      <c r="CP875" s="77"/>
      <c r="CQ875" s="77"/>
      <c r="CR875" s="77"/>
      <c r="CS875" s="77"/>
      <c r="CT875" s="77"/>
      <c r="CU875" s="77"/>
      <c r="CV875" s="77"/>
      <c r="CW875" s="77"/>
    </row>
    <row r="876" spans="1:101" ht="16.5" x14ac:dyDescent="0.45">
      <c r="A876" s="76"/>
      <c r="B876" s="77"/>
      <c r="C876" s="77"/>
      <c r="D876" s="78"/>
      <c r="E876" s="80"/>
      <c r="F876" s="80"/>
      <c r="G876" s="81"/>
      <c r="H876" s="81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82"/>
      <c r="Z876" s="82"/>
      <c r="AA876" s="82"/>
      <c r="AB876" s="80"/>
      <c r="AC876" s="77"/>
      <c r="AD876" s="77"/>
      <c r="AE876" s="77"/>
      <c r="AF876" s="77"/>
      <c r="AG876" s="77"/>
      <c r="AH876" s="77"/>
      <c r="AI876" s="92"/>
      <c r="AJ876" s="77"/>
      <c r="AK876" s="77"/>
      <c r="AL876" s="77"/>
      <c r="AM876" s="77"/>
      <c r="AN876" s="77"/>
      <c r="AO876" s="77"/>
      <c r="AP876" s="76"/>
      <c r="AQ876" s="81"/>
      <c r="AR876" s="76"/>
      <c r="AS876" s="81"/>
      <c r="AT876" s="76"/>
      <c r="AU876" s="81"/>
      <c r="AV876" s="77"/>
      <c r="AW876" s="81"/>
      <c r="AX876" s="77"/>
      <c r="AY876" s="81"/>
      <c r="AZ876" s="77"/>
      <c r="BA876" s="81"/>
      <c r="BB876" s="77"/>
      <c r="BC876" s="81"/>
      <c r="BD876" s="77"/>
      <c r="BE876" s="81"/>
      <c r="BF876" s="77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77"/>
      <c r="BU876" s="77"/>
      <c r="BV876" s="77"/>
      <c r="BW876" s="77"/>
      <c r="BX876" s="77"/>
      <c r="BY876" s="77"/>
      <c r="BZ876" s="77"/>
      <c r="CA876" s="77"/>
      <c r="CB876" s="77"/>
      <c r="CC876" s="77"/>
      <c r="CD876" s="77"/>
      <c r="CE876" s="77"/>
      <c r="CF876" s="77"/>
      <c r="CG876" s="77"/>
      <c r="CH876" s="77"/>
      <c r="CI876" s="77"/>
      <c r="CJ876" s="77"/>
      <c r="CK876" s="77"/>
      <c r="CL876" s="77"/>
      <c r="CM876" s="77"/>
      <c r="CN876" s="77"/>
      <c r="CO876" s="77"/>
      <c r="CP876" s="77"/>
      <c r="CQ876" s="77"/>
      <c r="CR876" s="77"/>
      <c r="CS876" s="77"/>
      <c r="CT876" s="77"/>
      <c r="CU876" s="77"/>
      <c r="CV876" s="77"/>
      <c r="CW876" s="77"/>
    </row>
    <row r="877" spans="1:101" ht="16.5" x14ac:dyDescent="0.45">
      <c r="A877" s="76"/>
      <c r="B877" s="77"/>
      <c r="C877" s="77"/>
      <c r="D877" s="78"/>
      <c r="E877" s="80"/>
      <c r="F877" s="80"/>
      <c r="G877" s="81"/>
      <c r="H877" s="81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82"/>
      <c r="Z877" s="82"/>
      <c r="AA877" s="82"/>
      <c r="AB877" s="80"/>
      <c r="AC877" s="77"/>
      <c r="AD877" s="77"/>
      <c r="AE877" s="77"/>
      <c r="AF877" s="77"/>
      <c r="AG877" s="77"/>
      <c r="AH877" s="77"/>
      <c r="AI877" s="92"/>
      <c r="AJ877" s="77"/>
      <c r="AK877" s="77"/>
      <c r="AL877" s="77"/>
      <c r="AM877" s="77"/>
      <c r="AN877" s="77"/>
      <c r="AO877" s="77"/>
      <c r="AP877" s="76"/>
      <c r="AQ877" s="81"/>
      <c r="AR877" s="76"/>
      <c r="AS877" s="81"/>
      <c r="AT877" s="76"/>
      <c r="AU877" s="81"/>
      <c r="AV877" s="77"/>
      <c r="AW877" s="81"/>
      <c r="AX877" s="77"/>
      <c r="AY877" s="81"/>
      <c r="AZ877" s="77"/>
      <c r="BA877" s="81"/>
      <c r="BB877" s="77"/>
      <c r="BC877" s="81"/>
      <c r="BD877" s="77"/>
      <c r="BE877" s="81"/>
      <c r="BF877" s="77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77"/>
      <c r="BU877" s="77"/>
      <c r="BV877" s="77"/>
      <c r="BW877" s="77"/>
      <c r="BX877" s="77"/>
      <c r="BY877" s="77"/>
      <c r="BZ877" s="77"/>
      <c r="CA877" s="77"/>
      <c r="CB877" s="77"/>
      <c r="CC877" s="77"/>
      <c r="CD877" s="77"/>
      <c r="CE877" s="77"/>
      <c r="CF877" s="77"/>
      <c r="CG877" s="77"/>
      <c r="CH877" s="77"/>
      <c r="CI877" s="77"/>
      <c r="CJ877" s="77"/>
      <c r="CK877" s="77"/>
      <c r="CL877" s="77"/>
      <c r="CM877" s="77"/>
      <c r="CN877" s="77"/>
      <c r="CO877" s="77"/>
      <c r="CP877" s="77"/>
      <c r="CQ877" s="77"/>
      <c r="CR877" s="77"/>
      <c r="CS877" s="77"/>
      <c r="CT877" s="77"/>
      <c r="CU877" s="77"/>
      <c r="CV877" s="77"/>
      <c r="CW877" s="77"/>
    </row>
    <row r="878" spans="1:101" ht="16.5" x14ac:dyDescent="0.45">
      <c r="A878" s="76"/>
      <c r="B878" s="77"/>
      <c r="C878" s="77"/>
      <c r="D878" s="78"/>
      <c r="E878" s="80"/>
      <c r="F878" s="80"/>
      <c r="G878" s="81"/>
      <c r="H878" s="81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82"/>
      <c r="Z878" s="82"/>
      <c r="AA878" s="82"/>
      <c r="AB878" s="80"/>
      <c r="AC878" s="77"/>
      <c r="AD878" s="77"/>
      <c r="AE878" s="77"/>
      <c r="AF878" s="77"/>
      <c r="AG878" s="77"/>
      <c r="AH878" s="77"/>
      <c r="AI878" s="92"/>
      <c r="AJ878" s="77"/>
      <c r="AK878" s="77"/>
      <c r="AL878" s="77"/>
      <c r="AM878" s="77"/>
      <c r="AN878" s="77"/>
      <c r="AO878" s="77"/>
      <c r="AP878" s="76"/>
      <c r="AQ878" s="81"/>
      <c r="AR878" s="76"/>
      <c r="AS878" s="81"/>
      <c r="AT878" s="76"/>
      <c r="AU878" s="81"/>
      <c r="AV878" s="77"/>
      <c r="AW878" s="81"/>
      <c r="AX878" s="77"/>
      <c r="AY878" s="81"/>
      <c r="AZ878" s="77"/>
      <c r="BA878" s="81"/>
      <c r="BB878" s="77"/>
      <c r="BC878" s="81"/>
      <c r="BD878" s="77"/>
      <c r="BE878" s="81"/>
      <c r="BF878" s="77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77"/>
      <c r="BU878" s="77"/>
      <c r="BV878" s="77"/>
      <c r="BW878" s="77"/>
      <c r="BX878" s="77"/>
      <c r="BY878" s="77"/>
      <c r="BZ878" s="77"/>
      <c r="CA878" s="77"/>
      <c r="CB878" s="77"/>
      <c r="CC878" s="77"/>
      <c r="CD878" s="77"/>
      <c r="CE878" s="77"/>
      <c r="CF878" s="77"/>
      <c r="CG878" s="77"/>
      <c r="CH878" s="77"/>
      <c r="CI878" s="77"/>
      <c r="CJ878" s="77"/>
      <c r="CK878" s="77"/>
      <c r="CL878" s="77"/>
      <c r="CM878" s="77"/>
      <c r="CN878" s="77"/>
      <c r="CO878" s="77"/>
      <c r="CP878" s="77"/>
      <c r="CQ878" s="77"/>
      <c r="CR878" s="77"/>
      <c r="CS878" s="77"/>
      <c r="CT878" s="77"/>
      <c r="CU878" s="77"/>
      <c r="CV878" s="77"/>
      <c r="CW878" s="77"/>
    </row>
    <row r="879" spans="1:101" ht="16.5" x14ac:dyDescent="0.45">
      <c r="A879" s="76"/>
      <c r="B879" s="77"/>
      <c r="C879" s="77"/>
      <c r="D879" s="78"/>
      <c r="E879" s="80"/>
      <c r="F879" s="80"/>
      <c r="G879" s="81"/>
      <c r="H879" s="81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82"/>
      <c r="Z879" s="82"/>
      <c r="AA879" s="82"/>
      <c r="AB879" s="80"/>
      <c r="AC879" s="77"/>
      <c r="AD879" s="77"/>
      <c r="AE879" s="77"/>
      <c r="AF879" s="77"/>
      <c r="AG879" s="77"/>
      <c r="AH879" s="77"/>
      <c r="AI879" s="92"/>
      <c r="AJ879" s="77"/>
      <c r="AK879" s="77"/>
      <c r="AL879" s="77"/>
      <c r="AM879" s="77"/>
      <c r="AN879" s="77"/>
      <c r="AO879" s="77"/>
      <c r="AP879" s="76"/>
      <c r="AQ879" s="81"/>
      <c r="AR879" s="76"/>
      <c r="AS879" s="81"/>
      <c r="AT879" s="76"/>
      <c r="AU879" s="81"/>
      <c r="AV879" s="77"/>
      <c r="AW879" s="81"/>
      <c r="AX879" s="77"/>
      <c r="AY879" s="81"/>
      <c r="AZ879" s="77"/>
      <c r="BA879" s="81"/>
      <c r="BB879" s="77"/>
      <c r="BC879" s="81"/>
      <c r="BD879" s="77"/>
      <c r="BE879" s="81"/>
      <c r="BF879" s="77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77"/>
      <c r="BU879" s="77"/>
      <c r="BV879" s="77"/>
      <c r="BW879" s="77"/>
      <c r="BX879" s="77"/>
      <c r="BY879" s="77"/>
      <c r="BZ879" s="77"/>
      <c r="CA879" s="77"/>
      <c r="CB879" s="77"/>
      <c r="CC879" s="77"/>
      <c r="CD879" s="77"/>
      <c r="CE879" s="77"/>
      <c r="CF879" s="77"/>
      <c r="CG879" s="77"/>
      <c r="CH879" s="77"/>
      <c r="CI879" s="77"/>
      <c r="CJ879" s="77"/>
      <c r="CK879" s="77"/>
      <c r="CL879" s="77"/>
      <c r="CM879" s="77"/>
      <c r="CN879" s="77"/>
      <c r="CO879" s="77"/>
      <c r="CP879" s="77"/>
      <c r="CQ879" s="77"/>
      <c r="CR879" s="77"/>
      <c r="CS879" s="77"/>
      <c r="CT879" s="77"/>
      <c r="CU879" s="77"/>
      <c r="CV879" s="77"/>
      <c r="CW879" s="77"/>
    </row>
    <row r="880" spans="1:101" ht="16.5" x14ac:dyDescent="0.45">
      <c r="A880" s="76"/>
      <c r="B880" s="77"/>
      <c r="C880" s="77"/>
      <c r="D880" s="78"/>
      <c r="E880" s="80"/>
      <c r="F880" s="80"/>
      <c r="G880" s="81"/>
      <c r="H880" s="81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82"/>
      <c r="Z880" s="82"/>
      <c r="AA880" s="82"/>
      <c r="AB880" s="80"/>
      <c r="AC880" s="77"/>
      <c r="AD880" s="77"/>
      <c r="AE880" s="77"/>
      <c r="AF880" s="77"/>
      <c r="AG880" s="77"/>
      <c r="AH880" s="77"/>
      <c r="AI880" s="92"/>
      <c r="AJ880" s="77"/>
      <c r="AK880" s="77"/>
      <c r="AL880" s="77"/>
      <c r="AM880" s="77"/>
      <c r="AN880" s="77"/>
      <c r="AO880" s="77"/>
      <c r="AP880" s="76"/>
      <c r="AQ880" s="81"/>
      <c r="AR880" s="76"/>
      <c r="AS880" s="81"/>
      <c r="AT880" s="76"/>
      <c r="AU880" s="81"/>
      <c r="AV880" s="77"/>
      <c r="AW880" s="81"/>
      <c r="AX880" s="77"/>
      <c r="AY880" s="81"/>
      <c r="AZ880" s="77"/>
      <c r="BA880" s="81"/>
      <c r="BB880" s="77"/>
      <c r="BC880" s="81"/>
      <c r="BD880" s="77"/>
      <c r="BE880" s="81"/>
      <c r="BF880" s="77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77"/>
      <c r="BU880" s="77"/>
      <c r="BV880" s="77"/>
      <c r="BW880" s="77"/>
      <c r="BX880" s="77"/>
      <c r="BY880" s="77"/>
      <c r="BZ880" s="77"/>
      <c r="CA880" s="77"/>
      <c r="CB880" s="77"/>
      <c r="CC880" s="77"/>
      <c r="CD880" s="77"/>
      <c r="CE880" s="77"/>
      <c r="CF880" s="77"/>
      <c r="CG880" s="77"/>
      <c r="CH880" s="77"/>
      <c r="CI880" s="77"/>
      <c r="CJ880" s="77"/>
      <c r="CK880" s="77"/>
      <c r="CL880" s="77"/>
      <c r="CM880" s="77"/>
      <c r="CN880" s="77"/>
      <c r="CO880" s="77"/>
      <c r="CP880" s="77"/>
      <c r="CQ880" s="77"/>
      <c r="CR880" s="77"/>
      <c r="CS880" s="77"/>
      <c r="CT880" s="77"/>
      <c r="CU880" s="77"/>
      <c r="CV880" s="77"/>
      <c r="CW880" s="77"/>
    </row>
    <row r="881" spans="1:101" ht="16.5" x14ac:dyDescent="0.45">
      <c r="A881" s="76"/>
      <c r="B881" s="77"/>
      <c r="C881" s="77"/>
      <c r="D881" s="78"/>
      <c r="E881" s="80"/>
      <c r="F881" s="80"/>
      <c r="G881" s="81"/>
      <c r="H881" s="81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82"/>
      <c r="Z881" s="82"/>
      <c r="AA881" s="82"/>
      <c r="AB881" s="80"/>
      <c r="AC881" s="77"/>
      <c r="AD881" s="77"/>
      <c r="AE881" s="77"/>
      <c r="AF881" s="77"/>
      <c r="AG881" s="77"/>
      <c r="AH881" s="77"/>
      <c r="AI881" s="92"/>
      <c r="AJ881" s="77"/>
      <c r="AK881" s="77"/>
      <c r="AL881" s="77"/>
      <c r="AM881" s="77"/>
      <c r="AN881" s="77"/>
      <c r="AO881" s="77"/>
      <c r="AP881" s="76"/>
      <c r="AQ881" s="81"/>
      <c r="AR881" s="76"/>
      <c r="AS881" s="81"/>
      <c r="AT881" s="76"/>
      <c r="AU881" s="81"/>
      <c r="AV881" s="77"/>
      <c r="AW881" s="81"/>
      <c r="AX881" s="77"/>
      <c r="AY881" s="81"/>
      <c r="AZ881" s="77"/>
      <c r="BA881" s="81"/>
      <c r="BB881" s="77"/>
      <c r="BC881" s="81"/>
      <c r="BD881" s="77"/>
      <c r="BE881" s="81"/>
      <c r="BF881" s="77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77"/>
      <c r="BU881" s="77"/>
      <c r="BV881" s="77"/>
      <c r="BW881" s="77"/>
      <c r="BX881" s="77"/>
      <c r="BY881" s="77"/>
      <c r="BZ881" s="77"/>
      <c r="CA881" s="77"/>
      <c r="CB881" s="77"/>
      <c r="CC881" s="77"/>
      <c r="CD881" s="77"/>
      <c r="CE881" s="77"/>
      <c r="CF881" s="77"/>
      <c r="CG881" s="77"/>
      <c r="CH881" s="77"/>
      <c r="CI881" s="77"/>
      <c r="CJ881" s="77"/>
      <c r="CK881" s="77"/>
      <c r="CL881" s="77"/>
      <c r="CM881" s="77"/>
      <c r="CN881" s="77"/>
      <c r="CO881" s="77"/>
      <c r="CP881" s="77"/>
      <c r="CQ881" s="77"/>
      <c r="CR881" s="77"/>
      <c r="CS881" s="77"/>
      <c r="CT881" s="77"/>
      <c r="CU881" s="77"/>
      <c r="CV881" s="77"/>
      <c r="CW881" s="77"/>
    </row>
    <row r="882" spans="1:101" ht="16.5" x14ac:dyDescent="0.45">
      <c r="A882" s="76"/>
      <c r="B882" s="77"/>
      <c r="C882" s="77"/>
      <c r="D882" s="78"/>
      <c r="E882" s="80"/>
      <c r="F882" s="80"/>
      <c r="G882" s="81"/>
      <c r="H882" s="81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82"/>
      <c r="Z882" s="82"/>
      <c r="AA882" s="82"/>
      <c r="AB882" s="80"/>
      <c r="AC882" s="77"/>
      <c r="AD882" s="77"/>
      <c r="AE882" s="77"/>
      <c r="AF882" s="77"/>
      <c r="AG882" s="77"/>
      <c r="AH882" s="77"/>
      <c r="AI882" s="92"/>
      <c r="AJ882" s="77"/>
      <c r="AK882" s="77"/>
      <c r="AL882" s="77"/>
      <c r="AM882" s="77"/>
      <c r="AN882" s="77"/>
      <c r="AO882" s="77"/>
      <c r="AP882" s="76"/>
      <c r="AQ882" s="81"/>
      <c r="AR882" s="76"/>
      <c r="AS882" s="81"/>
      <c r="AT882" s="76"/>
      <c r="AU882" s="81"/>
      <c r="AV882" s="77"/>
      <c r="AW882" s="81"/>
      <c r="AX882" s="77"/>
      <c r="AY882" s="81"/>
      <c r="AZ882" s="77"/>
      <c r="BA882" s="81"/>
      <c r="BB882" s="77"/>
      <c r="BC882" s="81"/>
      <c r="BD882" s="77"/>
      <c r="BE882" s="81"/>
      <c r="BF882" s="77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77"/>
      <c r="BU882" s="77"/>
      <c r="BV882" s="77"/>
      <c r="BW882" s="77"/>
      <c r="BX882" s="77"/>
      <c r="BY882" s="77"/>
      <c r="BZ882" s="77"/>
      <c r="CA882" s="77"/>
      <c r="CB882" s="77"/>
      <c r="CC882" s="77"/>
      <c r="CD882" s="77"/>
      <c r="CE882" s="77"/>
      <c r="CF882" s="77"/>
      <c r="CG882" s="77"/>
      <c r="CH882" s="77"/>
      <c r="CI882" s="77"/>
      <c r="CJ882" s="77"/>
      <c r="CK882" s="77"/>
      <c r="CL882" s="77"/>
      <c r="CM882" s="77"/>
      <c r="CN882" s="77"/>
      <c r="CO882" s="77"/>
      <c r="CP882" s="77"/>
      <c r="CQ882" s="77"/>
      <c r="CR882" s="77"/>
      <c r="CS882" s="77"/>
      <c r="CT882" s="77"/>
      <c r="CU882" s="77"/>
      <c r="CV882" s="77"/>
      <c r="CW882" s="77"/>
    </row>
    <row r="883" spans="1:101" ht="16.5" x14ac:dyDescent="0.45">
      <c r="A883" s="76"/>
      <c r="B883" s="77"/>
      <c r="C883" s="77"/>
      <c r="D883" s="78"/>
      <c r="E883" s="80"/>
      <c r="F883" s="80"/>
      <c r="G883" s="81"/>
      <c r="H883" s="81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82"/>
      <c r="Z883" s="82"/>
      <c r="AA883" s="82"/>
      <c r="AB883" s="80"/>
      <c r="AC883" s="77"/>
      <c r="AD883" s="77"/>
      <c r="AE883" s="77"/>
      <c r="AF883" s="77"/>
      <c r="AG883" s="77"/>
      <c r="AH883" s="77"/>
      <c r="AI883" s="92"/>
      <c r="AJ883" s="77"/>
      <c r="AK883" s="77"/>
      <c r="AL883" s="77"/>
      <c r="AM883" s="77"/>
      <c r="AN883" s="77"/>
      <c r="AO883" s="77"/>
      <c r="AP883" s="76"/>
      <c r="AQ883" s="81"/>
      <c r="AR883" s="76"/>
      <c r="AS883" s="81"/>
      <c r="AT883" s="76"/>
      <c r="AU883" s="81"/>
      <c r="AV883" s="77"/>
      <c r="AW883" s="81"/>
      <c r="AX883" s="77"/>
      <c r="AY883" s="81"/>
      <c r="AZ883" s="77"/>
      <c r="BA883" s="81"/>
      <c r="BB883" s="77"/>
      <c r="BC883" s="81"/>
      <c r="BD883" s="77"/>
      <c r="BE883" s="81"/>
      <c r="BF883" s="77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77"/>
      <c r="BU883" s="77"/>
      <c r="BV883" s="77"/>
      <c r="BW883" s="77"/>
      <c r="BX883" s="77"/>
      <c r="BY883" s="77"/>
      <c r="BZ883" s="77"/>
      <c r="CA883" s="77"/>
      <c r="CB883" s="77"/>
      <c r="CC883" s="77"/>
      <c r="CD883" s="77"/>
      <c r="CE883" s="77"/>
      <c r="CF883" s="77"/>
      <c r="CG883" s="77"/>
      <c r="CH883" s="77"/>
      <c r="CI883" s="77"/>
      <c r="CJ883" s="77"/>
      <c r="CK883" s="77"/>
      <c r="CL883" s="77"/>
      <c r="CM883" s="77"/>
      <c r="CN883" s="77"/>
      <c r="CO883" s="77"/>
      <c r="CP883" s="77"/>
      <c r="CQ883" s="77"/>
      <c r="CR883" s="77"/>
      <c r="CS883" s="77"/>
      <c r="CT883" s="77"/>
      <c r="CU883" s="77"/>
      <c r="CV883" s="77"/>
      <c r="CW883" s="77"/>
    </row>
    <row r="884" spans="1:101" ht="16.5" x14ac:dyDescent="0.45">
      <c r="A884" s="76"/>
      <c r="B884" s="77"/>
      <c r="C884" s="77"/>
      <c r="D884" s="78"/>
      <c r="E884" s="80"/>
      <c r="F884" s="80"/>
      <c r="G884" s="81"/>
      <c r="H884" s="81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82"/>
      <c r="Z884" s="82"/>
      <c r="AA884" s="82"/>
      <c r="AB884" s="80"/>
      <c r="AC884" s="77"/>
      <c r="AD884" s="77"/>
      <c r="AE884" s="77"/>
      <c r="AF884" s="77"/>
      <c r="AG884" s="77"/>
      <c r="AH884" s="77"/>
      <c r="AI884" s="92"/>
      <c r="AJ884" s="77"/>
      <c r="AK884" s="77"/>
      <c r="AL884" s="77"/>
      <c r="AM884" s="77"/>
      <c r="AN884" s="77"/>
      <c r="AO884" s="77"/>
      <c r="AP884" s="76"/>
      <c r="AQ884" s="81"/>
      <c r="AR884" s="76"/>
      <c r="AS884" s="81"/>
      <c r="AT884" s="76"/>
      <c r="AU884" s="81"/>
      <c r="AV884" s="77"/>
      <c r="AW884" s="81"/>
      <c r="AX884" s="77"/>
      <c r="AY884" s="81"/>
      <c r="AZ884" s="77"/>
      <c r="BA884" s="81"/>
      <c r="BB884" s="77"/>
      <c r="BC884" s="81"/>
      <c r="BD884" s="77"/>
      <c r="BE884" s="81"/>
      <c r="BF884" s="77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77"/>
      <c r="BU884" s="77"/>
      <c r="BV884" s="77"/>
      <c r="BW884" s="77"/>
      <c r="BX884" s="77"/>
      <c r="BY884" s="77"/>
      <c r="BZ884" s="77"/>
      <c r="CA884" s="77"/>
      <c r="CB884" s="77"/>
      <c r="CC884" s="77"/>
      <c r="CD884" s="77"/>
      <c r="CE884" s="77"/>
      <c r="CF884" s="77"/>
      <c r="CG884" s="77"/>
      <c r="CH884" s="77"/>
      <c r="CI884" s="77"/>
      <c r="CJ884" s="77"/>
      <c r="CK884" s="77"/>
      <c r="CL884" s="77"/>
      <c r="CM884" s="77"/>
      <c r="CN884" s="77"/>
      <c r="CO884" s="77"/>
      <c r="CP884" s="77"/>
      <c r="CQ884" s="77"/>
      <c r="CR884" s="77"/>
      <c r="CS884" s="77"/>
      <c r="CT884" s="77"/>
      <c r="CU884" s="77"/>
      <c r="CV884" s="77"/>
      <c r="CW884" s="77"/>
    </row>
    <row r="885" spans="1:101" ht="16.5" x14ac:dyDescent="0.45">
      <c r="A885" s="76"/>
      <c r="B885" s="77"/>
      <c r="C885" s="77"/>
      <c r="D885" s="78"/>
      <c r="E885" s="80"/>
      <c r="F885" s="80"/>
      <c r="G885" s="81"/>
      <c r="H885" s="81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82"/>
      <c r="Z885" s="82"/>
      <c r="AA885" s="82"/>
      <c r="AB885" s="80"/>
      <c r="AC885" s="77"/>
      <c r="AD885" s="77"/>
      <c r="AE885" s="77"/>
      <c r="AF885" s="77"/>
      <c r="AG885" s="77"/>
      <c r="AH885" s="77"/>
      <c r="AI885" s="92"/>
      <c r="AJ885" s="77"/>
      <c r="AK885" s="77"/>
      <c r="AL885" s="77"/>
      <c r="AM885" s="77"/>
      <c r="AN885" s="77"/>
      <c r="AO885" s="77"/>
      <c r="AP885" s="76"/>
      <c r="AQ885" s="81"/>
      <c r="AR885" s="76"/>
      <c r="AS885" s="81"/>
      <c r="AT885" s="76"/>
      <c r="AU885" s="81"/>
      <c r="AV885" s="77"/>
      <c r="AW885" s="81"/>
      <c r="AX885" s="77"/>
      <c r="AY885" s="81"/>
      <c r="AZ885" s="77"/>
      <c r="BA885" s="81"/>
      <c r="BB885" s="77"/>
      <c r="BC885" s="81"/>
      <c r="BD885" s="77"/>
      <c r="BE885" s="81"/>
      <c r="BF885" s="77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77"/>
      <c r="BU885" s="77"/>
      <c r="BV885" s="77"/>
      <c r="BW885" s="77"/>
      <c r="BX885" s="77"/>
      <c r="BY885" s="77"/>
      <c r="BZ885" s="77"/>
      <c r="CA885" s="77"/>
      <c r="CB885" s="77"/>
      <c r="CC885" s="77"/>
      <c r="CD885" s="77"/>
      <c r="CE885" s="77"/>
      <c r="CF885" s="77"/>
      <c r="CG885" s="77"/>
      <c r="CH885" s="77"/>
      <c r="CI885" s="77"/>
      <c r="CJ885" s="77"/>
      <c r="CK885" s="77"/>
      <c r="CL885" s="77"/>
      <c r="CM885" s="77"/>
      <c r="CN885" s="77"/>
      <c r="CO885" s="77"/>
      <c r="CP885" s="77"/>
      <c r="CQ885" s="77"/>
      <c r="CR885" s="77"/>
      <c r="CS885" s="77"/>
      <c r="CT885" s="77"/>
      <c r="CU885" s="77"/>
      <c r="CV885" s="77"/>
      <c r="CW885" s="77"/>
    </row>
    <row r="886" spans="1:101" ht="16.5" x14ac:dyDescent="0.45">
      <c r="A886" s="76"/>
      <c r="B886" s="77"/>
      <c r="C886" s="77"/>
      <c r="D886" s="78"/>
      <c r="E886" s="80"/>
      <c r="F886" s="80"/>
      <c r="G886" s="81"/>
      <c r="H886" s="81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82"/>
      <c r="Z886" s="82"/>
      <c r="AA886" s="82"/>
      <c r="AB886" s="80"/>
      <c r="AC886" s="77"/>
      <c r="AD886" s="77"/>
      <c r="AE886" s="77"/>
      <c r="AF886" s="77"/>
      <c r="AG886" s="77"/>
      <c r="AH886" s="77"/>
      <c r="AI886" s="92"/>
      <c r="AJ886" s="77"/>
      <c r="AK886" s="77"/>
      <c r="AL886" s="77"/>
      <c r="AM886" s="77"/>
      <c r="AN886" s="77"/>
      <c r="AO886" s="77"/>
      <c r="AP886" s="76"/>
      <c r="AQ886" s="81"/>
      <c r="AR886" s="76"/>
      <c r="AS886" s="81"/>
      <c r="AT886" s="76"/>
      <c r="AU886" s="81"/>
      <c r="AV886" s="77"/>
      <c r="AW886" s="81"/>
      <c r="AX886" s="77"/>
      <c r="AY886" s="81"/>
      <c r="AZ886" s="77"/>
      <c r="BA886" s="81"/>
      <c r="BB886" s="77"/>
      <c r="BC886" s="81"/>
      <c r="BD886" s="77"/>
      <c r="BE886" s="81"/>
      <c r="BF886" s="77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77"/>
      <c r="BU886" s="77"/>
      <c r="BV886" s="77"/>
      <c r="BW886" s="77"/>
      <c r="BX886" s="77"/>
      <c r="BY886" s="77"/>
      <c r="BZ886" s="77"/>
      <c r="CA886" s="77"/>
      <c r="CB886" s="77"/>
      <c r="CC886" s="77"/>
      <c r="CD886" s="77"/>
      <c r="CE886" s="77"/>
      <c r="CF886" s="77"/>
      <c r="CG886" s="77"/>
      <c r="CH886" s="77"/>
      <c r="CI886" s="77"/>
      <c r="CJ886" s="77"/>
      <c r="CK886" s="77"/>
      <c r="CL886" s="77"/>
      <c r="CM886" s="77"/>
      <c r="CN886" s="77"/>
      <c r="CO886" s="77"/>
      <c r="CP886" s="77"/>
      <c r="CQ886" s="77"/>
      <c r="CR886" s="77"/>
      <c r="CS886" s="77"/>
      <c r="CT886" s="77"/>
      <c r="CU886" s="77"/>
      <c r="CV886" s="77"/>
      <c r="CW886" s="77"/>
    </row>
    <row r="887" spans="1:101" ht="16.5" x14ac:dyDescent="0.45">
      <c r="A887" s="76"/>
      <c r="B887" s="77"/>
      <c r="C887" s="77"/>
      <c r="D887" s="78"/>
      <c r="E887" s="80"/>
      <c r="F887" s="80"/>
      <c r="G887" s="81"/>
      <c r="H887" s="81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82"/>
      <c r="Z887" s="82"/>
      <c r="AA887" s="82"/>
      <c r="AB887" s="80"/>
      <c r="AC887" s="77"/>
      <c r="AD887" s="77"/>
      <c r="AE887" s="77"/>
      <c r="AF887" s="77"/>
      <c r="AG887" s="77"/>
      <c r="AH887" s="77"/>
      <c r="AI887" s="92"/>
      <c r="AJ887" s="77"/>
      <c r="AK887" s="77"/>
      <c r="AL887" s="77"/>
      <c r="AM887" s="77"/>
      <c r="AN887" s="77"/>
      <c r="AO887" s="77"/>
      <c r="AP887" s="76"/>
      <c r="AQ887" s="81"/>
      <c r="AR887" s="76"/>
      <c r="AS887" s="81"/>
      <c r="AT887" s="76"/>
      <c r="AU887" s="81"/>
      <c r="AV887" s="77"/>
      <c r="AW887" s="81"/>
      <c r="AX887" s="77"/>
      <c r="AY887" s="81"/>
      <c r="AZ887" s="77"/>
      <c r="BA887" s="81"/>
      <c r="BB887" s="77"/>
      <c r="BC887" s="81"/>
      <c r="BD887" s="77"/>
      <c r="BE887" s="81"/>
      <c r="BF887" s="77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77"/>
      <c r="BU887" s="77"/>
      <c r="BV887" s="77"/>
      <c r="BW887" s="77"/>
      <c r="BX887" s="77"/>
      <c r="BY887" s="77"/>
      <c r="BZ887" s="77"/>
      <c r="CA887" s="77"/>
      <c r="CB887" s="77"/>
      <c r="CC887" s="77"/>
      <c r="CD887" s="77"/>
      <c r="CE887" s="77"/>
      <c r="CF887" s="77"/>
      <c r="CG887" s="77"/>
      <c r="CH887" s="77"/>
      <c r="CI887" s="77"/>
      <c r="CJ887" s="77"/>
      <c r="CK887" s="77"/>
      <c r="CL887" s="77"/>
      <c r="CM887" s="77"/>
      <c r="CN887" s="77"/>
      <c r="CO887" s="77"/>
      <c r="CP887" s="77"/>
      <c r="CQ887" s="77"/>
      <c r="CR887" s="77"/>
      <c r="CS887" s="77"/>
      <c r="CT887" s="77"/>
      <c r="CU887" s="77"/>
      <c r="CV887" s="77"/>
      <c r="CW887" s="77"/>
    </row>
    <row r="888" spans="1:101" ht="16.5" x14ac:dyDescent="0.45">
      <c r="A888" s="76"/>
      <c r="B888" s="77"/>
      <c r="C888" s="77"/>
      <c r="D888" s="78"/>
      <c r="E888" s="80"/>
      <c r="F888" s="80"/>
      <c r="G888" s="81"/>
      <c r="H888" s="81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82"/>
      <c r="Z888" s="82"/>
      <c r="AA888" s="82"/>
      <c r="AB888" s="80"/>
      <c r="AC888" s="77"/>
      <c r="AD888" s="77"/>
      <c r="AE888" s="77"/>
      <c r="AF888" s="77"/>
      <c r="AG888" s="77"/>
      <c r="AH888" s="77"/>
      <c r="AI888" s="92"/>
      <c r="AJ888" s="77"/>
      <c r="AK888" s="77"/>
      <c r="AL888" s="77"/>
      <c r="AM888" s="77"/>
      <c r="AN888" s="77"/>
      <c r="AO888" s="77"/>
      <c r="AP888" s="76"/>
      <c r="AQ888" s="81"/>
      <c r="AR888" s="76"/>
      <c r="AS888" s="81"/>
      <c r="AT888" s="76"/>
      <c r="AU888" s="81"/>
      <c r="AV888" s="77"/>
      <c r="AW888" s="81"/>
      <c r="AX888" s="77"/>
      <c r="AY888" s="81"/>
      <c r="AZ888" s="77"/>
      <c r="BA888" s="81"/>
      <c r="BB888" s="77"/>
      <c r="BC888" s="81"/>
      <c r="BD888" s="77"/>
      <c r="BE888" s="81"/>
      <c r="BF888" s="77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77"/>
      <c r="BU888" s="77"/>
      <c r="BV888" s="77"/>
      <c r="BW888" s="77"/>
      <c r="BX888" s="77"/>
      <c r="BY888" s="77"/>
      <c r="BZ888" s="77"/>
      <c r="CA888" s="77"/>
      <c r="CB888" s="77"/>
      <c r="CC888" s="77"/>
      <c r="CD888" s="77"/>
      <c r="CE888" s="77"/>
      <c r="CF888" s="77"/>
      <c r="CG888" s="77"/>
      <c r="CH888" s="77"/>
      <c r="CI888" s="77"/>
      <c r="CJ888" s="77"/>
      <c r="CK888" s="77"/>
      <c r="CL888" s="77"/>
      <c r="CM888" s="77"/>
      <c r="CN888" s="77"/>
      <c r="CO888" s="77"/>
      <c r="CP888" s="77"/>
      <c r="CQ888" s="77"/>
      <c r="CR888" s="77"/>
      <c r="CS888" s="77"/>
      <c r="CT888" s="77"/>
      <c r="CU888" s="77"/>
      <c r="CV888" s="77"/>
      <c r="CW888" s="77"/>
    </row>
    <row r="889" spans="1:101" ht="16.5" x14ac:dyDescent="0.45">
      <c r="A889" s="76"/>
      <c r="B889" s="77"/>
      <c r="C889" s="77"/>
      <c r="D889" s="78"/>
      <c r="E889" s="80"/>
      <c r="F889" s="80"/>
      <c r="G889" s="81"/>
      <c r="H889" s="81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82"/>
      <c r="Z889" s="82"/>
      <c r="AA889" s="82"/>
      <c r="AB889" s="80"/>
      <c r="AC889" s="77"/>
      <c r="AD889" s="77"/>
      <c r="AE889" s="77"/>
      <c r="AF889" s="77"/>
      <c r="AG889" s="77"/>
      <c r="AH889" s="77"/>
      <c r="AI889" s="92"/>
      <c r="AJ889" s="77"/>
      <c r="AK889" s="77"/>
      <c r="AL889" s="77"/>
      <c r="AM889" s="77"/>
      <c r="AN889" s="77"/>
      <c r="AO889" s="77"/>
      <c r="AP889" s="76"/>
      <c r="AQ889" s="81"/>
      <c r="AR889" s="76"/>
      <c r="AS889" s="81"/>
      <c r="AT889" s="76"/>
      <c r="AU889" s="81"/>
      <c r="AV889" s="77"/>
      <c r="AW889" s="81"/>
      <c r="AX889" s="77"/>
      <c r="AY889" s="81"/>
      <c r="AZ889" s="77"/>
      <c r="BA889" s="81"/>
      <c r="BB889" s="77"/>
      <c r="BC889" s="81"/>
      <c r="BD889" s="77"/>
      <c r="BE889" s="81"/>
      <c r="BF889" s="77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77"/>
      <c r="BU889" s="77"/>
      <c r="BV889" s="77"/>
      <c r="BW889" s="77"/>
      <c r="BX889" s="77"/>
      <c r="BY889" s="77"/>
      <c r="BZ889" s="77"/>
      <c r="CA889" s="77"/>
      <c r="CB889" s="77"/>
      <c r="CC889" s="77"/>
      <c r="CD889" s="77"/>
      <c r="CE889" s="77"/>
      <c r="CF889" s="77"/>
      <c r="CG889" s="77"/>
      <c r="CH889" s="77"/>
      <c r="CI889" s="77"/>
      <c r="CJ889" s="77"/>
      <c r="CK889" s="77"/>
      <c r="CL889" s="77"/>
      <c r="CM889" s="77"/>
      <c r="CN889" s="77"/>
      <c r="CO889" s="77"/>
      <c r="CP889" s="77"/>
      <c r="CQ889" s="77"/>
      <c r="CR889" s="77"/>
      <c r="CS889" s="77"/>
      <c r="CT889" s="77"/>
      <c r="CU889" s="77"/>
      <c r="CV889" s="77"/>
      <c r="CW889" s="77"/>
    </row>
    <row r="890" spans="1:101" ht="16.5" x14ac:dyDescent="0.45">
      <c r="A890" s="76"/>
      <c r="B890" s="77"/>
      <c r="C890" s="77"/>
      <c r="D890" s="78"/>
      <c r="E890" s="80"/>
      <c r="F890" s="80"/>
      <c r="G890" s="81"/>
      <c r="H890" s="81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82"/>
      <c r="Z890" s="82"/>
      <c r="AA890" s="82"/>
      <c r="AB890" s="80"/>
      <c r="AC890" s="77"/>
      <c r="AD890" s="77"/>
      <c r="AE890" s="77"/>
      <c r="AF890" s="77"/>
      <c r="AG890" s="77"/>
      <c r="AH890" s="77"/>
      <c r="AI890" s="92"/>
      <c r="AJ890" s="77"/>
      <c r="AK890" s="77"/>
      <c r="AL890" s="77"/>
      <c r="AM890" s="77"/>
      <c r="AN890" s="77"/>
      <c r="AO890" s="77"/>
      <c r="AP890" s="76"/>
      <c r="AQ890" s="81"/>
      <c r="AR890" s="76"/>
      <c r="AS890" s="81"/>
      <c r="AT890" s="76"/>
      <c r="AU890" s="81"/>
      <c r="AV890" s="77"/>
      <c r="AW890" s="81"/>
      <c r="AX890" s="77"/>
      <c r="AY890" s="81"/>
      <c r="AZ890" s="77"/>
      <c r="BA890" s="81"/>
      <c r="BB890" s="77"/>
      <c r="BC890" s="81"/>
      <c r="BD890" s="77"/>
      <c r="BE890" s="81"/>
      <c r="BF890" s="77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77"/>
      <c r="BU890" s="77"/>
      <c r="BV890" s="77"/>
      <c r="BW890" s="77"/>
      <c r="BX890" s="77"/>
      <c r="BY890" s="77"/>
      <c r="BZ890" s="77"/>
      <c r="CA890" s="77"/>
      <c r="CB890" s="77"/>
      <c r="CC890" s="77"/>
      <c r="CD890" s="77"/>
      <c r="CE890" s="77"/>
      <c r="CF890" s="77"/>
      <c r="CG890" s="77"/>
      <c r="CH890" s="77"/>
      <c r="CI890" s="77"/>
      <c r="CJ890" s="77"/>
      <c r="CK890" s="77"/>
      <c r="CL890" s="77"/>
      <c r="CM890" s="77"/>
      <c r="CN890" s="77"/>
      <c r="CO890" s="77"/>
      <c r="CP890" s="77"/>
      <c r="CQ890" s="77"/>
      <c r="CR890" s="77"/>
      <c r="CS890" s="77"/>
      <c r="CT890" s="77"/>
      <c r="CU890" s="77"/>
      <c r="CV890" s="77"/>
      <c r="CW890" s="77"/>
    </row>
    <row r="891" spans="1:101" ht="16.5" x14ac:dyDescent="0.45">
      <c r="A891" s="76"/>
      <c r="B891" s="77"/>
      <c r="C891" s="77"/>
      <c r="D891" s="78"/>
      <c r="E891" s="80"/>
      <c r="F891" s="80"/>
      <c r="G891" s="81"/>
      <c r="H891" s="81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82"/>
      <c r="Z891" s="82"/>
      <c r="AA891" s="82"/>
      <c r="AB891" s="80"/>
      <c r="AC891" s="77"/>
      <c r="AD891" s="77"/>
      <c r="AE891" s="77"/>
      <c r="AF891" s="77"/>
      <c r="AG891" s="77"/>
      <c r="AH891" s="77"/>
      <c r="AI891" s="92"/>
      <c r="AJ891" s="77"/>
      <c r="AK891" s="77"/>
      <c r="AL891" s="77"/>
      <c r="AM891" s="77"/>
      <c r="AN891" s="77"/>
      <c r="AO891" s="77"/>
      <c r="AP891" s="76"/>
      <c r="AQ891" s="81"/>
      <c r="AR891" s="76"/>
      <c r="AS891" s="81"/>
      <c r="AT891" s="76"/>
      <c r="AU891" s="81"/>
      <c r="AV891" s="77"/>
      <c r="AW891" s="81"/>
      <c r="AX891" s="77"/>
      <c r="AY891" s="81"/>
      <c r="AZ891" s="77"/>
      <c r="BA891" s="81"/>
      <c r="BB891" s="77"/>
      <c r="BC891" s="81"/>
      <c r="BD891" s="77"/>
      <c r="BE891" s="81"/>
      <c r="BF891" s="77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77"/>
      <c r="BU891" s="77"/>
      <c r="BV891" s="77"/>
      <c r="BW891" s="77"/>
      <c r="BX891" s="77"/>
      <c r="BY891" s="77"/>
      <c r="BZ891" s="77"/>
      <c r="CA891" s="77"/>
      <c r="CB891" s="77"/>
      <c r="CC891" s="77"/>
      <c r="CD891" s="77"/>
      <c r="CE891" s="77"/>
      <c r="CF891" s="77"/>
      <c r="CG891" s="77"/>
      <c r="CH891" s="77"/>
      <c r="CI891" s="77"/>
      <c r="CJ891" s="77"/>
      <c r="CK891" s="77"/>
      <c r="CL891" s="77"/>
      <c r="CM891" s="77"/>
      <c r="CN891" s="77"/>
      <c r="CO891" s="77"/>
      <c r="CP891" s="77"/>
      <c r="CQ891" s="77"/>
      <c r="CR891" s="77"/>
      <c r="CS891" s="77"/>
      <c r="CT891" s="77"/>
      <c r="CU891" s="77"/>
      <c r="CV891" s="77"/>
      <c r="CW891" s="77"/>
    </row>
    <row r="892" spans="1:101" ht="16.5" x14ac:dyDescent="0.45">
      <c r="A892" s="76"/>
      <c r="B892" s="77"/>
      <c r="C892" s="77"/>
      <c r="D892" s="78"/>
      <c r="E892" s="80"/>
      <c r="F892" s="80"/>
      <c r="G892" s="81"/>
      <c r="H892" s="81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82"/>
      <c r="Z892" s="82"/>
      <c r="AA892" s="82"/>
      <c r="AB892" s="80"/>
      <c r="AC892" s="77"/>
      <c r="AD892" s="77"/>
      <c r="AE892" s="77"/>
      <c r="AF892" s="77"/>
      <c r="AG892" s="77"/>
      <c r="AH892" s="77"/>
      <c r="AI892" s="92"/>
      <c r="AJ892" s="77"/>
      <c r="AK892" s="77"/>
      <c r="AL892" s="77"/>
      <c r="AM892" s="77"/>
      <c r="AN892" s="77"/>
      <c r="AO892" s="77"/>
      <c r="AP892" s="76"/>
      <c r="AQ892" s="81"/>
      <c r="AR892" s="76"/>
      <c r="AS892" s="81"/>
      <c r="AT892" s="76"/>
      <c r="AU892" s="81"/>
      <c r="AV892" s="77"/>
      <c r="AW892" s="81"/>
      <c r="AX892" s="77"/>
      <c r="AY892" s="81"/>
      <c r="AZ892" s="77"/>
      <c r="BA892" s="81"/>
      <c r="BB892" s="77"/>
      <c r="BC892" s="81"/>
      <c r="BD892" s="77"/>
      <c r="BE892" s="81"/>
      <c r="BF892" s="77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77"/>
      <c r="BU892" s="77"/>
      <c r="BV892" s="77"/>
      <c r="BW892" s="77"/>
      <c r="BX892" s="77"/>
      <c r="BY892" s="77"/>
      <c r="BZ892" s="77"/>
      <c r="CA892" s="77"/>
      <c r="CB892" s="77"/>
      <c r="CC892" s="77"/>
      <c r="CD892" s="77"/>
      <c r="CE892" s="77"/>
      <c r="CF892" s="77"/>
      <c r="CG892" s="77"/>
      <c r="CH892" s="77"/>
      <c r="CI892" s="77"/>
      <c r="CJ892" s="77"/>
      <c r="CK892" s="77"/>
      <c r="CL892" s="77"/>
      <c r="CM892" s="77"/>
      <c r="CN892" s="77"/>
      <c r="CO892" s="77"/>
      <c r="CP892" s="77"/>
      <c r="CQ892" s="77"/>
      <c r="CR892" s="77"/>
      <c r="CS892" s="77"/>
      <c r="CT892" s="77"/>
      <c r="CU892" s="77"/>
      <c r="CV892" s="77"/>
      <c r="CW892" s="77"/>
    </row>
    <row r="893" spans="1:101" ht="16.5" x14ac:dyDescent="0.45">
      <c r="A893" s="76"/>
      <c r="B893" s="77"/>
      <c r="C893" s="77"/>
      <c r="D893" s="78"/>
      <c r="E893" s="80"/>
      <c r="F893" s="80"/>
      <c r="G893" s="81"/>
      <c r="H893" s="81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82"/>
      <c r="Z893" s="82"/>
      <c r="AA893" s="82"/>
      <c r="AB893" s="80"/>
      <c r="AC893" s="77"/>
      <c r="AD893" s="77"/>
      <c r="AE893" s="77"/>
      <c r="AF893" s="77"/>
      <c r="AG893" s="77"/>
      <c r="AH893" s="77"/>
      <c r="AI893" s="92"/>
      <c r="AJ893" s="77"/>
      <c r="AK893" s="77"/>
      <c r="AL893" s="77"/>
      <c r="AM893" s="77"/>
      <c r="AN893" s="77"/>
      <c r="AO893" s="77"/>
      <c r="AP893" s="76"/>
      <c r="AQ893" s="81"/>
      <c r="AR893" s="76"/>
      <c r="AS893" s="81"/>
      <c r="AT893" s="76"/>
      <c r="AU893" s="81"/>
      <c r="AV893" s="77"/>
      <c r="AW893" s="81"/>
      <c r="AX893" s="77"/>
      <c r="AY893" s="81"/>
      <c r="AZ893" s="77"/>
      <c r="BA893" s="81"/>
      <c r="BB893" s="77"/>
      <c r="BC893" s="81"/>
      <c r="BD893" s="77"/>
      <c r="BE893" s="81"/>
      <c r="BF893" s="77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77"/>
      <c r="BU893" s="77"/>
      <c r="BV893" s="77"/>
      <c r="BW893" s="77"/>
      <c r="BX893" s="77"/>
      <c r="BY893" s="77"/>
      <c r="BZ893" s="77"/>
      <c r="CA893" s="77"/>
      <c r="CB893" s="77"/>
      <c r="CC893" s="77"/>
      <c r="CD893" s="77"/>
      <c r="CE893" s="77"/>
      <c r="CF893" s="77"/>
      <c r="CG893" s="77"/>
      <c r="CH893" s="77"/>
      <c r="CI893" s="77"/>
      <c r="CJ893" s="77"/>
      <c r="CK893" s="77"/>
      <c r="CL893" s="77"/>
      <c r="CM893" s="77"/>
      <c r="CN893" s="77"/>
      <c r="CO893" s="77"/>
      <c r="CP893" s="77"/>
      <c r="CQ893" s="77"/>
      <c r="CR893" s="77"/>
      <c r="CS893" s="77"/>
      <c r="CT893" s="77"/>
      <c r="CU893" s="77"/>
      <c r="CV893" s="77"/>
      <c r="CW893" s="77"/>
    </row>
    <row r="894" spans="1:101" ht="16.5" x14ac:dyDescent="0.45">
      <c r="A894" s="76"/>
      <c r="B894" s="77"/>
      <c r="C894" s="77"/>
      <c r="D894" s="78"/>
      <c r="E894" s="80"/>
      <c r="F894" s="80"/>
      <c r="G894" s="81"/>
      <c r="H894" s="81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82"/>
      <c r="Z894" s="82"/>
      <c r="AA894" s="82"/>
      <c r="AB894" s="80"/>
      <c r="AC894" s="77"/>
      <c r="AD894" s="77"/>
      <c r="AE894" s="77"/>
      <c r="AF894" s="77"/>
      <c r="AG894" s="77"/>
      <c r="AH894" s="77"/>
      <c r="AI894" s="92"/>
      <c r="AJ894" s="77"/>
      <c r="AK894" s="77"/>
      <c r="AL894" s="77"/>
      <c r="AM894" s="77"/>
      <c r="AN894" s="77"/>
      <c r="AO894" s="77"/>
      <c r="AP894" s="76"/>
      <c r="AQ894" s="81"/>
      <c r="AR894" s="76"/>
      <c r="AS894" s="81"/>
      <c r="AT894" s="76"/>
      <c r="AU894" s="81"/>
      <c r="AV894" s="77"/>
      <c r="AW894" s="81"/>
      <c r="AX894" s="77"/>
      <c r="AY894" s="81"/>
      <c r="AZ894" s="77"/>
      <c r="BA894" s="81"/>
      <c r="BB894" s="77"/>
      <c r="BC894" s="81"/>
      <c r="BD894" s="77"/>
      <c r="BE894" s="81"/>
      <c r="BF894" s="77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77"/>
      <c r="BU894" s="77"/>
      <c r="BV894" s="77"/>
      <c r="BW894" s="77"/>
      <c r="BX894" s="77"/>
      <c r="BY894" s="77"/>
      <c r="BZ894" s="77"/>
      <c r="CA894" s="77"/>
      <c r="CB894" s="77"/>
      <c r="CC894" s="77"/>
      <c r="CD894" s="77"/>
      <c r="CE894" s="77"/>
      <c r="CF894" s="77"/>
      <c r="CG894" s="77"/>
      <c r="CH894" s="77"/>
      <c r="CI894" s="77"/>
      <c r="CJ894" s="77"/>
      <c r="CK894" s="77"/>
      <c r="CL894" s="77"/>
      <c r="CM894" s="77"/>
      <c r="CN894" s="77"/>
      <c r="CO894" s="77"/>
      <c r="CP894" s="77"/>
      <c r="CQ894" s="77"/>
      <c r="CR894" s="77"/>
      <c r="CS894" s="77"/>
      <c r="CT894" s="77"/>
      <c r="CU894" s="77"/>
      <c r="CV894" s="77"/>
      <c r="CW894" s="77"/>
    </row>
    <row r="895" spans="1:101" ht="16.5" x14ac:dyDescent="0.45">
      <c r="A895" s="76"/>
      <c r="B895" s="77"/>
      <c r="C895" s="77"/>
      <c r="D895" s="78"/>
      <c r="E895" s="80"/>
      <c r="F895" s="80"/>
      <c r="G895" s="81"/>
      <c r="H895" s="81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82"/>
      <c r="Z895" s="82"/>
      <c r="AA895" s="82"/>
      <c r="AB895" s="80"/>
      <c r="AC895" s="77"/>
      <c r="AD895" s="77"/>
      <c r="AE895" s="77"/>
      <c r="AF895" s="77"/>
      <c r="AG895" s="77"/>
      <c r="AH895" s="77"/>
      <c r="AI895" s="92"/>
      <c r="AJ895" s="77"/>
      <c r="AK895" s="77"/>
      <c r="AL895" s="77"/>
      <c r="AM895" s="77"/>
      <c r="AN895" s="77"/>
      <c r="AO895" s="77"/>
      <c r="AP895" s="76"/>
      <c r="AQ895" s="81"/>
      <c r="AR895" s="76"/>
      <c r="AS895" s="81"/>
      <c r="AT895" s="76"/>
      <c r="AU895" s="81"/>
      <c r="AV895" s="77"/>
      <c r="AW895" s="81"/>
      <c r="AX895" s="77"/>
      <c r="AY895" s="81"/>
      <c r="AZ895" s="77"/>
      <c r="BA895" s="81"/>
      <c r="BB895" s="77"/>
      <c r="BC895" s="81"/>
      <c r="BD895" s="77"/>
      <c r="BE895" s="81"/>
      <c r="BF895" s="77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77"/>
      <c r="BU895" s="77"/>
      <c r="BV895" s="77"/>
      <c r="BW895" s="77"/>
      <c r="BX895" s="77"/>
      <c r="BY895" s="77"/>
      <c r="BZ895" s="77"/>
      <c r="CA895" s="77"/>
      <c r="CB895" s="77"/>
      <c r="CC895" s="77"/>
      <c r="CD895" s="77"/>
      <c r="CE895" s="77"/>
      <c r="CF895" s="77"/>
      <c r="CG895" s="77"/>
      <c r="CH895" s="77"/>
      <c r="CI895" s="77"/>
      <c r="CJ895" s="77"/>
      <c r="CK895" s="77"/>
      <c r="CL895" s="77"/>
      <c r="CM895" s="77"/>
      <c r="CN895" s="77"/>
      <c r="CO895" s="77"/>
      <c r="CP895" s="77"/>
      <c r="CQ895" s="77"/>
      <c r="CR895" s="77"/>
      <c r="CS895" s="77"/>
      <c r="CT895" s="77"/>
      <c r="CU895" s="77"/>
      <c r="CV895" s="77"/>
      <c r="CW895" s="77"/>
    </row>
    <row r="896" spans="1:101" ht="16.5" x14ac:dyDescent="0.45">
      <c r="A896" s="76"/>
      <c r="B896" s="77"/>
      <c r="C896" s="77"/>
      <c r="D896" s="78"/>
      <c r="E896" s="80"/>
      <c r="F896" s="80"/>
      <c r="G896" s="81"/>
      <c r="H896" s="81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82"/>
      <c r="Z896" s="82"/>
      <c r="AA896" s="82"/>
      <c r="AB896" s="80"/>
      <c r="AC896" s="77"/>
      <c r="AD896" s="77"/>
      <c r="AE896" s="77"/>
      <c r="AF896" s="77"/>
      <c r="AG896" s="77"/>
      <c r="AH896" s="77"/>
      <c r="AI896" s="92"/>
      <c r="AJ896" s="77"/>
      <c r="AK896" s="77"/>
      <c r="AL896" s="77"/>
      <c r="AM896" s="77"/>
      <c r="AN896" s="77"/>
      <c r="AO896" s="77"/>
      <c r="AP896" s="76"/>
      <c r="AQ896" s="81"/>
      <c r="AR896" s="76"/>
      <c r="AS896" s="81"/>
      <c r="AT896" s="76"/>
      <c r="AU896" s="81"/>
      <c r="AV896" s="77"/>
      <c r="AW896" s="81"/>
      <c r="AX896" s="77"/>
      <c r="AY896" s="81"/>
      <c r="AZ896" s="77"/>
      <c r="BA896" s="81"/>
      <c r="BB896" s="77"/>
      <c r="BC896" s="81"/>
      <c r="BD896" s="77"/>
      <c r="BE896" s="81"/>
      <c r="BF896" s="77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77"/>
      <c r="BU896" s="77"/>
      <c r="BV896" s="77"/>
      <c r="BW896" s="77"/>
      <c r="BX896" s="77"/>
      <c r="BY896" s="77"/>
      <c r="BZ896" s="77"/>
      <c r="CA896" s="77"/>
      <c r="CB896" s="77"/>
      <c r="CC896" s="77"/>
      <c r="CD896" s="77"/>
      <c r="CE896" s="77"/>
      <c r="CF896" s="77"/>
      <c r="CG896" s="77"/>
      <c r="CH896" s="77"/>
      <c r="CI896" s="77"/>
      <c r="CJ896" s="77"/>
      <c r="CK896" s="77"/>
      <c r="CL896" s="77"/>
      <c r="CM896" s="77"/>
      <c r="CN896" s="77"/>
      <c r="CO896" s="77"/>
      <c r="CP896" s="77"/>
      <c r="CQ896" s="77"/>
      <c r="CR896" s="77"/>
      <c r="CS896" s="77"/>
      <c r="CT896" s="77"/>
      <c r="CU896" s="77"/>
      <c r="CV896" s="77"/>
      <c r="CW896" s="77"/>
    </row>
    <row r="897" spans="1:101" ht="16.5" x14ac:dyDescent="0.45">
      <c r="A897" s="76"/>
      <c r="B897" s="77"/>
      <c r="C897" s="77"/>
      <c r="D897" s="78"/>
      <c r="E897" s="80"/>
      <c r="F897" s="80"/>
      <c r="G897" s="81"/>
      <c r="H897" s="81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82"/>
      <c r="Z897" s="82"/>
      <c r="AA897" s="82"/>
      <c r="AB897" s="80"/>
      <c r="AC897" s="77"/>
      <c r="AD897" s="77"/>
      <c r="AE897" s="77"/>
      <c r="AF897" s="77"/>
      <c r="AG897" s="77"/>
      <c r="AH897" s="77"/>
      <c r="AI897" s="92"/>
      <c r="AJ897" s="77"/>
      <c r="AK897" s="77"/>
      <c r="AL897" s="77"/>
      <c r="AM897" s="77"/>
      <c r="AN897" s="77"/>
      <c r="AO897" s="77"/>
      <c r="AP897" s="76"/>
      <c r="AQ897" s="81"/>
      <c r="AR897" s="76"/>
      <c r="AS897" s="81"/>
      <c r="AT897" s="76"/>
      <c r="AU897" s="81"/>
      <c r="AV897" s="77"/>
      <c r="AW897" s="81"/>
      <c r="AX897" s="77"/>
      <c r="AY897" s="81"/>
      <c r="AZ897" s="77"/>
      <c r="BA897" s="81"/>
      <c r="BB897" s="77"/>
      <c r="BC897" s="81"/>
      <c r="BD897" s="77"/>
      <c r="BE897" s="81"/>
      <c r="BF897" s="77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77"/>
      <c r="BU897" s="77"/>
      <c r="BV897" s="77"/>
      <c r="BW897" s="77"/>
      <c r="BX897" s="77"/>
      <c r="BY897" s="77"/>
      <c r="BZ897" s="77"/>
      <c r="CA897" s="77"/>
      <c r="CB897" s="77"/>
      <c r="CC897" s="77"/>
      <c r="CD897" s="77"/>
      <c r="CE897" s="77"/>
      <c r="CF897" s="77"/>
      <c r="CG897" s="77"/>
      <c r="CH897" s="77"/>
      <c r="CI897" s="77"/>
      <c r="CJ897" s="77"/>
      <c r="CK897" s="77"/>
      <c r="CL897" s="77"/>
      <c r="CM897" s="77"/>
      <c r="CN897" s="77"/>
      <c r="CO897" s="77"/>
      <c r="CP897" s="77"/>
      <c r="CQ897" s="77"/>
      <c r="CR897" s="77"/>
      <c r="CS897" s="77"/>
      <c r="CT897" s="77"/>
      <c r="CU897" s="77"/>
      <c r="CV897" s="77"/>
      <c r="CW897" s="77"/>
    </row>
    <row r="898" spans="1:101" ht="16.5" x14ac:dyDescent="0.45">
      <c r="A898" s="76"/>
      <c r="B898" s="77"/>
      <c r="C898" s="77"/>
      <c r="D898" s="78"/>
      <c r="E898" s="80"/>
      <c r="F898" s="80"/>
      <c r="G898" s="81"/>
      <c r="H898" s="81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82"/>
      <c r="Z898" s="82"/>
      <c r="AA898" s="82"/>
      <c r="AB898" s="80"/>
      <c r="AC898" s="77"/>
      <c r="AD898" s="77"/>
      <c r="AE898" s="77"/>
      <c r="AF898" s="77"/>
      <c r="AG898" s="77"/>
      <c r="AH898" s="77"/>
      <c r="AI898" s="92"/>
      <c r="AJ898" s="77"/>
      <c r="AK898" s="77"/>
      <c r="AL898" s="77"/>
      <c r="AM898" s="77"/>
      <c r="AN898" s="77"/>
      <c r="AO898" s="77"/>
      <c r="AP898" s="76"/>
      <c r="AQ898" s="81"/>
      <c r="AR898" s="76"/>
      <c r="AS898" s="81"/>
      <c r="AT898" s="76"/>
      <c r="AU898" s="81"/>
      <c r="AV898" s="77"/>
      <c r="AW898" s="81"/>
      <c r="AX898" s="77"/>
      <c r="AY898" s="81"/>
      <c r="AZ898" s="77"/>
      <c r="BA898" s="81"/>
      <c r="BB898" s="77"/>
      <c r="BC898" s="81"/>
      <c r="BD898" s="77"/>
      <c r="BE898" s="81"/>
      <c r="BF898" s="77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77"/>
      <c r="BU898" s="77"/>
      <c r="BV898" s="77"/>
      <c r="BW898" s="77"/>
      <c r="BX898" s="77"/>
      <c r="BY898" s="77"/>
      <c r="BZ898" s="77"/>
      <c r="CA898" s="77"/>
      <c r="CB898" s="77"/>
      <c r="CC898" s="77"/>
      <c r="CD898" s="77"/>
      <c r="CE898" s="77"/>
      <c r="CF898" s="77"/>
      <c r="CG898" s="77"/>
      <c r="CH898" s="77"/>
      <c r="CI898" s="77"/>
      <c r="CJ898" s="77"/>
      <c r="CK898" s="77"/>
      <c r="CL898" s="77"/>
      <c r="CM898" s="77"/>
      <c r="CN898" s="77"/>
      <c r="CO898" s="77"/>
      <c r="CP898" s="77"/>
      <c r="CQ898" s="77"/>
      <c r="CR898" s="77"/>
      <c r="CS898" s="77"/>
      <c r="CT898" s="77"/>
      <c r="CU898" s="77"/>
      <c r="CV898" s="77"/>
      <c r="CW898" s="77"/>
    </row>
    <row r="899" spans="1:101" ht="16.5" x14ac:dyDescent="0.45">
      <c r="A899" s="76"/>
      <c r="B899" s="77"/>
      <c r="C899" s="77"/>
      <c r="D899" s="78"/>
      <c r="E899" s="80"/>
      <c r="F899" s="80"/>
      <c r="G899" s="81"/>
      <c r="H899" s="81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82"/>
      <c r="Z899" s="82"/>
      <c r="AA899" s="82"/>
      <c r="AB899" s="80"/>
      <c r="AC899" s="77"/>
      <c r="AD899" s="77"/>
      <c r="AE899" s="77"/>
      <c r="AF899" s="77"/>
      <c r="AG899" s="77"/>
      <c r="AH899" s="77"/>
      <c r="AI899" s="92"/>
      <c r="AJ899" s="77"/>
      <c r="AK899" s="77"/>
      <c r="AL899" s="77"/>
      <c r="AM899" s="77"/>
      <c r="AN899" s="77"/>
      <c r="AO899" s="77"/>
      <c r="AP899" s="76"/>
      <c r="AQ899" s="81"/>
      <c r="AR899" s="76"/>
      <c r="AS899" s="81"/>
      <c r="AT899" s="76"/>
      <c r="AU899" s="81"/>
      <c r="AV899" s="77"/>
      <c r="AW899" s="81"/>
      <c r="AX899" s="77"/>
      <c r="AY899" s="81"/>
      <c r="AZ899" s="77"/>
      <c r="BA899" s="81"/>
      <c r="BB899" s="77"/>
      <c r="BC899" s="81"/>
      <c r="BD899" s="77"/>
      <c r="BE899" s="81"/>
      <c r="BF899" s="77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77"/>
      <c r="BU899" s="77"/>
      <c r="BV899" s="77"/>
      <c r="BW899" s="77"/>
      <c r="BX899" s="77"/>
      <c r="BY899" s="77"/>
      <c r="BZ899" s="77"/>
      <c r="CA899" s="77"/>
      <c r="CB899" s="77"/>
      <c r="CC899" s="77"/>
      <c r="CD899" s="77"/>
      <c r="CE899" s="77"/>
      <c r="CF899" s="77"/>
      <c r="CG899" s="77"/>
      <c r="CH899" s="77"/>
      <c r="CI899" s="77"/>
      <c r="CJ899" s="77"/>
      <c r="CK899" s="77"/>
      <c r="CL899" s="77"/>
      <c r="CM899" s="77"/>
      <c r="CN899" s="77"/>
      <c r="CO899" s="77"/>
      <c r="CP899" s="77"/>
      <c r="CQ899" s="77"/>
      <c r="CR899" s="77"/>
      <c r="CS899" s="77"/>
      <c r="CT899" s="77"/>
      <c r="CU899" s="77"/>
      <c r="CV899" s="77"/>
      <c r="CW899" s="77"/>
    </row>
    <row r="900" spans="1:101" ht="16.5" x14ac:dyDescent="0.45">
      <c r="A900" s="76"/>
      <c r="B900" s="77"/>
      <c r="C900" s="77"/>
      <c r="D900" s="78"/>
      <c r="E900" s="80"/>
      <c r="F900" s="80"/>
      <c r="G900" s="81"/>
      <c r="H900" s="81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82"/>
      <c r="Z900" s="82"/>
      <c r="AA900" s="82"/>
      <c r="AB900" s="80"/>
      <c r="AC900" s="77"/>
      <c r="AD900" s="77"/>
      <c r="AE900" s="77"/>
      <c r="AF900" s="77"/>
      <c r="AG900" s="77"/>
      <c r="AH900" s="77"/>
      <c r="AI900" s="92"/>
      <c r="AJ900" s="77"/>
      <c r="AK900" s="77"/>
      <c r="AL900" s="77"/>
      <c r="AM900" s="77"/>
      <c r="AN900" s="77"/>
      <c r="AO900" s="77"/>
      <c r="AP900" s="76"/>
      <c r="AQ900" s="81"/>
      <c r="AR900" s="76"/>
      <c r="AS900" s="81"/>
      <c r="AT900" s="76"/>
      <c r="AU900" s="81"/>
      <c r="AV900" s="77"/>
      <c r="AW900" s="81"/>
      <c r="AX900" s="77"/>
      <c r="AY900" s="81"/>
      <c r="AZ900" s="77"/>
      <c r="BA900" s="81"/>
      <c r="BB900" s="77"/>
      <c r="BC900" s="81"/>
      <c r="BD900" s="77"/>
      <c r="BE900" s="81"/>
      <c r="BF900" s="77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77"/>
      <c r="BU900" s="77"/>
      <c r="BV900" s="77"/>
      <c r="BW900" s="77"/>
      <c r="BX900" s="77"/>
      <c r="BY900" s="77"/>
      <c r="BZ900" s="77"/>
      <c r="CA900" s="77"/>
      <c r="CB900" s="77"/>
      <c r="CC900" s="77"/>
      <c r="CD900" s="77"/>
      <c r="CE900" s="77"/>
      <c r="CF900" s="77"/>
      <c r="CG900" s="77"/>
      <c r="CH900" s="77"/>
      <c r="CI900" s="77"/>
      <c r="CJ900" s="77"/>
      <c r="CK900" s="77"/>
      <c r="CL900" s="77"/>
      <c r="CM900" s="77"/>
      <c r="CN900" s="77"/>
      <c r="CO900" s="77"/>
      <c r="CP900" s="77"/>
      <c r="CQ900" s="77"/>
      <c r="CR900" s="77"/>
      <c r="CS900" s="77"/>
      <c r="CT900" s="77"/>
      <c r="CU900" s="77"/>
      <c r="CV900" s="77"/>
      <c r="CW900" s="77"/>
    </row>
    <row r="901" spans="1:101" ht="16.5" x14ac:dyDescent="0.45">
      <c r="A901" s="76"/>
      <c r="B901" s="77"/>
      <c r="C901" s="77"/>
      <c r="D901" s="78"/>
      <c r="E901" s="80"/>
      <c r="F901" s="80"/>
      <c r="G901" s="81"/>
      <c r="H901" s="81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82"/>
      <c r="Z901" s="82"/>
      <c r="AA901" s="82"/>
      <c r="AB901" s="80"/>
      <c r="AC901" s="77"/>
      <c r="AD901" s="77"/>
      <c r="AE901" s="77"/>
      <c r="AF901" s="77"/>
      <c r="AG901" s="77"/>
      <c r="AH901" s="77"/>
      <c r="AI901" s="92"/>
      <c r="AJ901" s="77"/>
      <c r="AK901" s="77"/>
      <c r="AL901" s="77"/>
      <c r="AM901" s="77"/>
      <c r="AN901" s="77"/>
      <c r="AO901" s="77"/>
      <c r="AP901" s="76"/>
      <c r="AQ901" s="81"/>
      <c r="AR901" s="76"/>
      <c r="AS901" s="81"/>
      <c r="AT901" s="76"/>
      <c r="AU901" s="81"/>
      <c r="AV901" s="77"/>
      <c r="AW901" s="81"/>
      <c r="AX901" s="77"/>
      <c r="AY901" s="81"/>
      <c r="AZ901" s="77"/>
      <c r="BA901" s="81"/>
      <c r="BB901" s="77"/>
      <c r="BC901" s="81"/>
      <c r="BD901" s="77"/>
      <c r="BE901" s="81"/>
      <c r="BF901" s="77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77"/>
      <c r="BU901" s="77"/>
      <c r="BV901" s="77"/>
      <c r="BW901" s="77"/>
      <c r="BX901" s="77"/>
      <c r="BY901" s="77"/>
      <c r="BZ901" s="77"/>
      <c r="CA901" s="77"/>
      <c r="CB901" s="77"/>
      <c r="CC901" s="77"/>
      <c r="CD901" s="77"/>
      <c r="CE901" s="77"/>
      <c r="CF901" s="77"/>
      <c r="CG901" s="77"/>
      <c r="CH901" s="77"/>
      <c r="CI901" s="77"/>
      <c r="CJ901" s="77"/>
      <c r="CK901" s="77"/>
      <c r="CL901" s="77"/>
      <c r="CM901" s="77"/>
      <c r="CN901" s="77"/>
      <c r="CO901" s="77"/>
      <c r="CP901" s="77"/>
      <c r="CQ901" s="77"/>
      <c r="CR901" s="77"/>
      <c r="CS901" s="77"/>
      <c r="CT901" s="77"/>
      <c r="CU901" s="77"/>
      <c r="CV901" s="77"/>
      <c r="CW901" s="77"/>
    </row>
    <row r="902" spans="1:101" ht="16.5" x14ac:dyDescent="0.45">
      <c r="A902" s="76"/>
      <c r="B902" s="77"/>
      <c r="C902" s="77"/>
      <c r="D902" s="78"/>
      <c r="E902" s="80"/>
      <c r="F902" s="80"/>
      <c r="G902" s="81"/>
      <c r="H902" s="81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82"/>
      <c r="Z902" s="82"/>
      <c r="AA902" s="82"/>
      <c r="AB902" s="80"/>
      <c r="AC902" s="77"/>
      <c r="AD902" s="77"/>
      <c r="AE902" s="77"/>
      <c r="AF902" s="77"/>
      <c r="AG902" s="77"/>
      <c r="AH902" s="77"/>
      <c r="AI902" s="92"/>
      <c r="AJ902" s="77"/>
      <c r="AK902" s="77"/>
      <c r="AL902" s="77"/>
      <c r="AM902" s="77"/>
      <c r="AN902" s="77"/>
      <c r="AO902" s="77"/>
      <c r="AP902" s="76"/>
      <c r="AQ902" s="81"/>
      <c r="AR902" s="76"/>
      <c r="AS902" s="81"/>
      <c r="AT902" s="76"/>
      <c r="AU902" s="81"/>
      <c r="AV902" s="77"/>
      <c r="AW902" s="81"/>
      <c r="AX902" s="77"/>
      <c r="AY902" s="81"/>
      <c r="AZ902" s="77"/>
      <c r="BA902" s="81"/>
      <c r="BB902" s="77"/>
      <c r="BC902" s="81"/>
      <c r="BD902" s="77"/>
      <c r="BE902" s="81"/>
      <c r="BF902" s="77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77"/>
      <c r="BU902" s="77"/>
      <c r="BV902" s="77"/>
      <c r="BW902" s="77"/>
      <c r="BX902" s="77"/>
      <c r="BY902" s="77"/>
      <c r="BZ902" s="77"/>
      <c r="CA902" s="77"/>
      <c r="CB902" s="77"/>
      <c r="CC902" s="77"/>
      <c r="CD902" s="77"/>
      <c r="CE902" s="77"/>
      <c r="CF902" s="77"/>
      <c r="CG902" s="77"/>
      <c r="CH902" s="77"/>
      <c r="CI902" s="77"/>
      <c r="CJ902" s="77"/>
      <c r="CK902" s="77"/>
      <c r="CL902" s="77"/>
      <c r="CM902" s="77"/>
      <c r="CN902" s="77"/>
      <c r="CO902" s="77"/>
      <c r="CP902" s="77"/>
      <c r="CQ902" s="77"/>
      <c r="CR902" s="77"/>
      <c r="CS902" s="77"/>
      <c r="CT902" s="77"/>
      <c r="CU902" s="77"/>
      <c r="CV902" s="77"/>
      <c r="CW902" s="77"/>
    </row>
    <row r="903" spans="1:101" ht="16.5" x14ac:dyDescent="0.45">
      <c r="A903" s="76"/>
      <c r="B903" s="77"/>
      <c r="C903" s="77"/>
      <c r="D903" s="78"/>
      <c r="E903" s="80"/>
      <c r="F903" s="80"/>
      <c r="G903" s="81"/>
      <c r="H903" s="81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82"/>
      <c r="Z903" s="82"/>
      <c r="AA903" s="82"/>
      <c r="AB903" s="80"/>
      <c r="AC903" s="77"/>
      <c r="AD903" s="77"/>
      <c r="AE903" s="77"/>
      <c r="AF903" s="77"/>
      <c r="AG903" s="77"/>
      <c r="AH903" s="77"/>
      <c r="AI903" s="92"/>
      <c r="AJ903" s="77"/>
      <c r="AK903" s="77"/>
      <c r="AL903" s="77"/>
      <c r="AM903" s="77"/>
      <c r="AN903" s="77"/>
      <c r="AO903" s="77"/>
      <c r="AP903" s="76"/>
      <c r="AQ903" s="81"/>
      <c r="AR903" s="76"/>
      <c r="AS903" s="81"/>
      <c r="AT903" s="76"/>
      <c r="AU903" s="81"/>
      <c r="AV903" s="77"/>
      <c r="AW903" s="81"/>
      <c r="AX903" s="77"/>
      <c r="AY903" s="81"/>
      <c r="AZ903" s="77"/>
      <c r="BA903" s="81"/>
      <c r="BB903" s="77"/>
      <c r="BC903" s="81"/>
      <c r="BD903" s="77"/>
      <c r="BE903" s="81"/>
      <c r="BF903" s="77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77"/>
      <c r="BU903" s="77"/>
      <c r="BV903" s="77"/>
      <c r="BW903" s="77"/>
      <c r="BX903" s="77"/>
      <c r="BY903" s="77"/>
      <c r="BZ903" s="77"/>
      <c r="CA903" s="77"/>
      <c r="CB903" s="77"/>
      <c r="CC903" s="77"/>
      <c r="CD903" s="77"/>
      <c r="CE903" s="77"/>
      <c r="CF903" s="77"/>
      <c r="CG903" s="77"/>
      <c r="CH903" s="77"/>
      <c r="CI903" s="77"/>
      <c r="CJ903" s="77"/>
      <c r="CK903" s="77"/>
      <c r="CL903" s="77"/>
      <c r="CM903" s="77"/>
      <c r="CN903" s="77"/>
      <c r="CO903" s="77"/>
      <c r="CP903" s="77"/>
      <c r="CQ903" s="77"/>
      <c r="CR903" s="77"/>
      <c r="CS903" s="77"/>
      <c r="CT903" s="77"/>
      <c r="CU903" s="77"/>
      <c r="CV903" s="77"/>
      <c r="CW903" s="77"/>
    </row>
    <row r="904" spans="1:101" ht="16.5" x14ac:dyDescent="0.45">
      <c r="A904" s="76"/>
      <c r="B904" s="77"/>
      <c r="C904" s="77"/>
      <c r="D904" s="78"/>
      <c r="E904" s="80"/>
      <c r="F904" s="80"/>
      <c r="G904" s="81"/>
      <c r="H904" s="81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82"/>
      <c r="Z904" s="82"/>
      <c r="AA904" s="82"/>
      <c r="AB904" s="80"/>
      <c r="AC904" s="77"/>
      <c r="AD904" s="77"/>
      <c r="AE904" s="77"/>
      <c r="AF904" s="77"/>
      <c r="AG904" s="77"/>
      <c r="AH904" s="77"/>
      <c r="AI904" s="92"/>
      <c r="AJ904" s="77"/>
      <c r="AK904" s="77"/>
      <c r="AL904" s="77"/>
      <c r="AM904" s="77"/>
      <c r="AN904" s="77"/>
      <c r="AO904" s="77"/>
      <c r="AP904" s="76"/>
      <c r="AQ904" s="81"/>
      <c r="AR904" s="76"/>
      <c r="AS904" s="81"/>
      <c r="AT904" s="76"/>
      <c r="AU904" s="81"/>
      <c r="AV904" s="77"/>
      <c r="AW904" s="81"/>
      <c r="AX904" s="77"/>
      <c r="AY904" s="81"/>
      <c r="AZ904" s="77"/>
      <c r="BA904" s="81"/>
      <c r="BB904" s="77"/>
      <c r="BC904" s="81"/>
      <c r="BD904" s="77"/>
      <c r="BE904" s="81"/>
      <c r="BF904" s="77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77"/>
      <c r="BU904" s="77"/>
      <c r="BV904" s="77"/>
      <c r="BW904" s="77"/>
      <c r="BX904" s="77"/>
      <c r="BY904" s="77"/>
      <c r="BZ904" s="77"/>
      <c r="CA904" s="77"/>
      <c r="CB904" s="77"/>
      <c r="CC904" s="77"/>
      <c r="CD904" s="77"/>
      <c r="CE904" s="77"/>
      <c r="CF904" s="77"/>
      <c r="CG904" s="77"/>
      <c r="CH904" s="77"/>
      <c r="CI904" s="77"/>
      <c r="CJ904" s="77"/>
      <c r="CK904" s="77"/>
      <c r="CL904" s="77"/>
      <c r="CM904" s="77"/>
      <c r="CN904" s="77"/>
      <c r="CO904" s="77"/>
      <c r="CP904" s="77"/>
      <c r="CQ904" s="77"/>
      <c r="CR904" s="77"/>
      <c r="CS904" s="77"/>
      <c r="CT904" s="77"/>
      <c r="CU904" s="77"/>
      <c r="CV904" s="77"/>
      <c r="CW904" s="77"/>
    </row>
    <row r="905" spans="1:101" ht="16.5" x14ac:dyDescent="0.45">
      <c r="A905" s="76"/>
      <c r="B905" s="77"/>
      <c r="C905" s="77"/>
      <c r="D905" s="78"/>
      <c r="E905" s="80"/>
      <c r="F905" s="80"/>
      <c r="G905" s="81"/>
      <c r="H905" s="81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82"/>
      <c r="Z905" s="82"/>
      <c r="AA905" s="82"/>
      <c r="AB905" s="80"/>
      <c r="AC905" s="77"/>
      <c r="AD905" s="77"/>
      <c r="AE905" s="77"/>
      <c r="AF905" s="77"/>
      <c r="AG905" s="77"/>
      <c r="AH905" s="77"/>
      <c r="AI905" s="92"/>
      <c r="AJ905" s="77"/>
      <c r="AK905" s="77"/>
      <c r="AL905" s="77"/>
      <c r="AM905" s="77"/>
      <c r="AN905" s="77"/>
      <c r="AO905" s="77"/>
      <c r="AP905" s="76"/>
      <c r="AQ905" s="81"/>
      <c r="AR905" s="76"/>
      <c r="AS905" s="81"/>
      <c r="AT905" s="76"/>
      <c r="AU905" s="81"/>
      <c r="AV905" s="77"/>
      <c r="AW905" s="81"/>
      <c r="AX905" s="77"/>
      <c r="AY905" s="81"/>
      <c r="AZ905" s="77"/>
      <c r="BA905" s="81"/>
      <c r="BB905" s="77"/>
      <c r="BC905" s="81"/>
      <c r="BD905" s="77"/>
      <c r="BE905" s="81"/>
      <c r="BF905" s="77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77"/>
      <c r="BU905" s="77"/>
      <c r="BV905" s="77"/>
      <c r="BW905" s="77"/>
      <c r="BX905" s="77"/>
      <c r="BY905" s="77"/>
      <c r="BZ905" s="77"/>
      <c r="CA905" s="77"/>
      <c r="CB905" s="77"/>
      <c r="CC905" s="77"/>
      <c r="CD905" s="77"/>
      <c r="CE905" s="77"/>
      <c r="CF905" s="77"/>
      <c r="CG905" s="77"/>
      <c r="CH905" s="77"/>
      <c r="CI905" s="77"/>
      <c r="CJ905" s="77"/>
      <c r="CK905" s="77"/>
      <c r="CL905" s="77"/>
      <c r="CM905" s="77"/>
      <c r="CN905" s="77"/>
      <c r="CO905" s="77"/>
      <c r="CP905" s="77"/>
      <c r="CQ905" s="77"/>
      <c r="CR905" s="77"/>
      <c r="CS905" s="77"/>
      <c r="CT905" s="77"/>
      <c r="CU905" s="77"/>
      <c r="CV905" s="77"/>
      <c r="CW905" s="77"/>
    </row>
    <row r="906" spans="1:101" ht="16.5" x14ac:dyDescent="0.45">
      <c r="A906" s="76"/>
      <c r="B906" s="77"/>
      <c r="C906" s="77"/>
      <c r="D906" s="78"/>
      <c r="E906" s="80"/>
      <c r="F906" s="80"/>
      <c r="G906" s="81"/>
      <c r="H906" s="81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82"/>
      <c r="Z906" s="82"/>
      <c r="AA906" s="82"/>
      <c r="AB906" s="80"/>
      <c r="AC906" s="77"/>
      <c r="AD906" s="77"/>
      <c r="AE906" s="77"/>
      <c r="AF906" s="77"/>
      <c r="AG906" s="77"/>
      <c r="AH906" s="77"/>
      <c r="AI906" s="92"/>
      <c r="AJ906" s="77"/>
      <c r="AK906" s="77"/>
      <c r="AL906" s="77"/>
      <c r="AM906" s="77"/>
      <c r="AN906" s="77"/>
      <c r="AO906" s="77"/>
      <c r="AP906" s="76"/>
      <c r="AQ906" s="81"/>
      <c r="AR906" s="76"/>
      <c r="AS906" s="81"/>
      <c r="AT906" s="76"/>
      <c r="AU906" s="81"/>
      <c r="AV906" s="77"/>
      <c r="AW906" s="81"/>
      <c r="AX906" s="77"/>
      <c r="AY906" s="81"/>
      <c r="AZ906" s="77"/>
      <c r="BA906" s="81"/>
      <c r="BB906" s="77"/>
      <c r="BC906" s="81"/>
      <c r="BD906" s="77"/>
      <c r="BE906" s="81"/>
      <c r="BF906" s="77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77"/>
      <c r="BU906" s="77"/>
      <c r="BV906" s="77"/>
      <c r="BW906" s="77"/>
      <c r="BX906" s="77"/>
      <c r="BY906" s="77"/>
      <c r="BZ906" s="77"/>
      <c r="CA906" s="77"/>
      <c r="CB906" s="77"/>
      <c r="CC906" s="77"/>
      <c r="CD906" s="77"/>
      <c r="CE906" s="77"/>
      <c r="CF906" s="77"/>
      <c r="CG906" s="77"/>
      <c r="CH906" s="77"/>
      <c r="CI906" s="77"/>
      <c r="CJ906" s="77"/>
      <c r="CK906" s="77"/>
      <c r="CL906" s="77"/>
      <c r="CM906" s="77"/>
      <c r="CN906" s="77"/>
      <c r="CO906" s="77"/>
      <c r="CP906" s="77"/>
      <c r="CQ906" s="77"/>
      <c r="CR906" s="77"/>
      <c r="CS906" s="77"/>
      <c r="CT906" s="77"/>
      <c r="CU906" s="77"/>
      <c r="CV906" s="77"/>
      <c r="CW906" s="77"/>
    </row>
    <row r="907" spans="1:101" ht="16.5" x14ac:dyDescent="0.45">
      <c r="A907" s="76"/>
      <c r="B907" s="77"/>
      <c r="C907" s="77"/>
      <c r="D907" s="78"/>
      <c r="E907" s="80"/>
      <c r="F907" s="80"/>
      <c r="G907" s="81"/>
      <c r="H907" s="81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82"/>
      <c r="Z907" s="82"/>
      <c r="AA907" s="82"/>
      <c r="AB907" s="80"/>
      <c r="AC907" s="77"/>
      <c r="AD907" s="77"/>
      <c r="AE907" s="77"/>
      <c r="AF907" s="77"/>
      <c r="AG907" s="77"/>
      <c r="AH907" s="77"/>
      <c r="AI907" s="92"/>
      <c r="AJ907" s="77"/>
      <c r="AK907" s="77"/>
      <c r="AL907" s="77"/>
      <c r="AM907" s="77"/>
      <c r="AN907" s="77"/>
      <c r="AO907" s="77"/>
      <c r="AP907" s="76"/>
      <c r="AQ907" s="81"/>
      <c r="AR907" s="76"/>
      <c r="AS907" s="81"/>
      <c r="AT907" s="76"/>
      <c r="AU907" s="81"/>
      <c r="AV907" s="77"/>
      <c r="AW907" s="81"/>
      <c r="AX907" s="77"/>
      <c r="AY907" s="81"/>
      <c r="AZ907" s="77"/>
      <c r="BA907" s="81"/>
      <c r="BB907" s="77"/>
      <c r="BC907" s="81"/>
      <c r="BD907" s="77"/>
      <c r="BE907" s="81"/>
      <c r="BF907" s="77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77"/>
      <c r="BU907" s="77"/>
      <c r="BV907" s="77"/>
      <c r="BW907" s="77"/>
      <c r="BX907" s="77"/>
      <c r="BY907" s="77"/>
      <c r="BZ907" s="77"/>
      <c r="CA907" s="77"/>
      <c r="CB907" s="77"/>
      <c r="CC907" s="77"/>
      <c r="CD907" s="77"/>
      <c r="CE907" s="77"/>
      <c r="CF907" s="77"/>
      <c r="CG907" s="77"/>
      <c r="CH907" s="77"/>
      <c r="CI907" s="77"/>
      <c r="CJ907" s="77"/>
      <c r="CK907" s="77"/>
      <c r="CL907" s="77"/>
      <c r="CM907" s="77"/>
      <c r="CN907" s="77"/>
      <c r="CO907" s="77"/>
      <c r="CP907" s="77"/>
      <c r="CQ907" s="77"/>
      <c r="CR907" s="77"/>
      <c r="CS907" s="77"/>
      <c r="CT907" s="77"/>
      <c r="CU907" s="77"/>
      <c r="CV907" s="77"/>
      <c r="CW907" s="77"/>
    </row>
    <row r="908" spans="1:101" ht="16.5" x14ac:dyDescent="0.45">
      <c r="A908" s="76"/>
      <c r="B908" s="77"/>
      <c r="C908" s="77"/>
      <c r="D908" s="78"/>
      <c r="E908" s="80"/>
      <c r="F908" s="80"/>
      <c r="G908" s="81"/>
      <c r="H908" s="81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82"/>
      <c r="Z908" s="82"/>
      <c r="AA908" s="82"/>
      <c r="AB908" s="80"/>
      <c r="AC908" s="77"/>
      <c r="AD908" s="77"/>
      <c r="AE908" s="77"/>
      <c r="AF908" s="77"/>
      <c r="AG908" s="77"/>
      <c r="AH908" s="77"/>
      <c r="AI908" s="92"/>
      <c r="AJ908" s="77"/>
      <c r="AK908" s="77"/>
      <c r="AL908" s="77"/>
      <c r="AM908" s="77"/>
      <c r="AN908" s="77"/>
      <c r="AO908" s="77"/>
      <c r="AP908" s="76"/>
      <c r="AQ908" s="81"/>
      <c r="AR908" s="76"/>
      <c r="AS908" s="81"/>
      <c r="AT908" s="76"/>
      <c r="AU908" s="81"/>
      <c r="AV908" s="77"/>
      <c r="AW908" s="81"/>
      <c r="AX908" s="77"/>
      <c r="AY908" s="81"/>
      <c r="AZ908" s="77"/>
      <c r="BA908" s="81"/>
      <c r="BB908" s="77"/>
      <c r="BC908" s="81"/>
      <c r="BD908" s="77"/>
      <c r="BE908" s="81"/>
      <c r="BF908" s="77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77"/>
      <c r="BU908" s="77"/>
      <c r="BV908" s="77"/>
      <c r="BW908" s="77"/>
      <c r="BX908" s="77"/>
      <c r="BY908" s="77"/>
      <c r="BZ908" s="77"/>
      <c r="CA908" s="77"/>
      <c r="CB908" s="77"/>
      <c r="CC908" s="77"/>
      <c r="CD908" s="77"/>
      <c r="CE908" s="77"/>
      <c r="CF908" s="77"/>
      <c r="CG908" s="77"/>
      <c r="CH908" s="77"/>
      <c r="CI908" s="77"/>
      <c r="CJ908" s="77"/>
      <c r="CK908" s="77"/>
      <c r="CL908" s="77"/>
      <c r="CM908" s="77"/>
      <c r="CN908" s="77"/>
      <c r="CO908" s="77"/>
      <c r="CP908" s="77"/>
      <c r="CQ908" s="77"/>
      <c r="CR908" s="77"/>
      <c r="CS908" s="77"/>
      <c r="CT908" s="77"/>
      <c r="CU908" s="77"/>
      <c r="CV908" s="77"/>
      <c r="CW908" s="77"/>
    </row>
    <row r="909" spans="1:101" ht="16.5" x14ac:dyDescent="0.45">
      <c r="A909" s="76"/>
      <c r="B909" s="77"/>
      <c r="C909" s="77"/>
      <c r="D909" s="78"/>
      <c r="E909" s="80"/>
      <c r="F909" s="80"/>
      <c r="G909" s="81"/>
      <c r="H909" s="81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82"/>
      <c r="Z909" s="82"/>
      <c r="AA909" s="82"/>
      <c r="AB909" s="80"/>
      <c r="AC909" s="77"/>
      <c r="AD909" s="77"/>
      <c r="AE909" s="77"/>
      <c r="AF909" s="77"/>
      <c r="AG909" s="77"/>
      <c r="AH909" s="77"/>
      <c r="AI909" s="92"/>
      <c r="AJ909" s="77"/>
      <c r="AK909" s="77"/>
      <c r="AL909" s="77"/>
      <c r="AM909" s="77"/>
      <c r="AN909" s="77"/>
      <c r="AO909" s="77"/>
      <c r="AP909" s="76"/>
      <c r="AQ909" s="81"/>
      <c r="AR909" s="76"/>
      <c r="AS909" s="81"/>
      <c r="AT909" s="76"/>
      <c r="AU909" s="81"/>
      <c r="AV909" s="77"/>
      <c r="AW909" s="81"/>
      <c r="AX909" s="77"/>
      <c r="AY909" s="81"/>
      <c r="AZ909" s="77"/>
      <c r="BA909" s="81"/>
      <c r="BB909" s="77"/>
      <c r="BC909" s="81"/>
      <c r="BD909" s="77"/>
      <c r="BE909" s="81"/>
      <c r="BF909" s="77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77"/>
      <c r="BU909" s="77"/>
      <c r="BV909" s="77"/>
      <c r="BW909" s="77"/>
      <c r="BX909" s="77"/>
      <c r="BY909" s="77"/>
      <c r="BZ909" s="77"/>
      <c r="CA909" s="77"/>
      <c r="CB909" s="77"/>
      <c r="CC909" s="77"/>
      <c r="CD909" s="77"/>
      <c r="CE909" s="77"/>
      <c r="CF909" s="77"/>
      <c r="CG909" s="77"/>
      <c r="CH909" s="77"/>
      <c r="CI909" s="77"/>
      <c r="CJ909" s="77"/>
      <c r="CK909" s="77"/>
      <c r="CL909" s="77"/>
      <c r="CM909" s="77"/>
      <c r="CN909" s="77"/>
      <c r="CO909" s="77"/>
      <c r="CP909" s="77"/>
      <c r="CQ909" s="77"/>
      <c r="CR909" s="77"/>
      <c r="CS909" s="77"/>
      <c r="CT909" s="77"/>
      <c r="CU909" s="77"/>
      <c r="CV909" s="77"/>
      <c r="CW909" s="77"/>
    </row>
    <row r="910" spans="1:101" ht="16.5" x14ac:dyDescent="0.45">
      <c r="A910" s="76"/>
      <c r="B910" s="77"/>
      <c r="C910" s="77"/>
      <c r="D910" s="78"/>
      <c r="E910" s="80"/>
      <c r="F910" s="80"/>
      <c r="G910" s="81"/>
      <c r="H910" s="81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82"/>
      <c r="Z910" s="82"/>
      <c r="AA910" s="82"/>
      <c r="AB910" s="80"/>
      <c r="AC910" s="77"/>
      <c r="AD910" s="77"/>
      <c r="AE910" s="77"/>
      <c r="AF910" s="77"/>
      <c r="AG910" s="77"/>
      <c r="AH910" s="77"/>
      <c r="AI910" s="92"/>
      <c r="AJ910" s="77"/>
      <c r="AK910" s="77"/>
      <c r="AL910" s="77"/>
      <c r="AM910" s="77"/>
      <c r="AN910" s="77"/>
      <c r="AO910" s="77"/>
      <c r="AP910" s="76"/>
      <c r="AQ910" s="81"/>
      <c r="AR910" s="76"/>
      <c r="AS910" s="81"/>
      <c r="AT910" s="76"/>
      <c r="AU910" s="81"/>
      <c r="AV910" s="77"/>
      <c r="AW910" s="81"/>
      <c r="AX910" s="77"/>
      <c r="AY910" s="81"/>
      <c r="AZ910" s="77"/>
      <c r="BA910" s="81"/>
      <c r="BB910" s="77"/>
      <c r="BC910" s="81"/>
      <c r="BD910" s="77"/>
      <c r="BE910" s="81"/>
      <c r="BF910" s="77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77"/>
      <c r="BU910" s="77"/>
      <c r="BV910" s="77"/>
      <c r="BW910" s="77"/>
      <c r="BX910" s="77"/>
      <c r="BY910" s="77"/>
      <c r="BZ910" s="77"/>
      <c r="CA910" s="77"/>
      <c r="CB910" s="77"/>
      <c r="CC910" s="77"/>
      <c r="CD910" s="77"/>
      <c r="CE910" s="77"/>
      <c r="CF910" s="77"/>
      <c r="CG910" s="77"/>
      <c r="CH910" s="77"/>
      <c r="CI910" s="77"/>
      <c r="CJ910" s="77"/>
      <c r="CK910" s="77"/>
      <c r="CL910" s="77"/>
      <c r="CM910" s="77"/>
      <c r="CN910" s="77"/>
      <c r="CO910" s="77"/>
      <c r="CP910" s="77"/>
      <c r="CQ910" s="77"/>
      <c r="CR910" s="77"/>
      <c r="CS910" s="77"/>
      <c r="CT910" s="77"/>
      <c r="CU910" s="77"/>
      <c r="CV910" s="77"/>
      <c r="CW910" s="77"/>
    </row>
    <row r="911" spans="1:101" ht="16.5" x14ac:dyDescent="0.45">
      <c r="A911" s="76"/>
      <c r="B911" s="77"/>
      <c r="C911" s="77"/>
      <c r="D911" s="78"/>
      <c r="E911" s="80"/>
      <c r="F911" s="80"/>
      <c r="G911" s="81"/>
      <c r="H911" s="81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82"/>
      <c r="Z911" s="82"/>
      <c r="AA911" s="82"/>
      <c r="AB911" s="80"/>
      <c r="AC911" s="77"/>
      <c r="AD911" s="77"/>
      <c r="AE911" s="77"/>
      <c r="AF911" s="77"/>
      <c r="AG911" s="77"/>
      <c r="AH911" s="77"/>
      <c r="AI911" s="92"/>
      <c r="AJ911" s="77"/>
      <c r="AK911" s="77"/>
      <c r="AL911" s="77"/>
      <c r="AM911" s="77"/>
      <c r="AN911" s="77"/>
      <c r="AO911" s="77"/>
      <c r="AP911" s="76"/>
      <c r="AQ911" s="81"/>
      <c r="AR911" s="76"/>
      <c r="AS911" s="81"/>
      <c r="AT911" s="76"/>
      <c r="AU911" s="81"/>
      <c r="AV911" s="77"/>
      <c r="AW911" s="81"/>
      <c r="AX911" s="77"/>
      <c r="AY911" s="81"/>
      <c r="AZ911" s="77"/>
      <c r="BA911" s="81"/>
      <c r="BB911" s="77"/>
      <c r="BC911" s="81"/>
      <c r="BD911" s="77"/>
      <c r="BE911" s="81"/>
      <c r="BF911" s="77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77"/>
      <c r="BU911" s="77"/>
      <c r="BV911" s="77"/>
      <c r="BW911" s="77"/>
      <c r="BX911" s="77"/>
      <c r="BY911" s="77"/>
      <c r="BZ911" s="77"/>
      <c r="CA911" s="77"/>
      <c r="CB911" s="77"/>
      <c r="CC911" s="77"/>
      <c r="CD911" s="77"/>
      <c r="CE911" s="77"/>
      <c r="CF911" s="77"/>
      <c r="CG911" s="77"/>
      <c r="CH911" s="77"/>
      <c r="CI911" s="77"/>
      <c r="CJ911" s="77"/>
      <c r="CK911" s="77"/>
      <c r="CL911" s="77"/>
      <c r="CM911" s="77"/>
      <c r="CN911" s="77"/>
      <c r="CO911" s="77"/>
      <c r="CP911" s="77"/>
      <c r="CQ911" s="77"/>
      <c r="CR911" s="77"/>
      <c r="CS911" s="77"/>
      <c r="CT911" s="77"/>
      <c r="CU911" s="77"/>
      <c r="CV911" s="77"/>
      <c r="CW911" s="77"/>
    </row>
    <row r="912" spans="1:101" ht="16.5" x14ac:dyDescent="0.45">
      <c r="A912" s="76"/>
      <c r="B912" s="77"/>
      <c r="C912" s="77"/>
      <c r="D912" s="78"/>
      <c r="E912" s="80"/>
      <c r="F912" s="80"/>
      <c r="G912" s="81"/>
      <c r="H912" s="81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82"/>
      <c r="Z912" s="82"/>
      <c r="AA912" s="82"/>
      <c r="AB912" s="80"/>
      <c r="AC912" s="77"/>
      <c r="AD912" s="77"/>
      <c r="AE912" s="77"/>
      <c r="AF912" s="77"/>
      <c r="AG912" s="77"/>
      <c r="AH912" s="77"/>
      <c r="AI912" s="92"/>
      <c r="AJ912" s="77"/>
      <c r="AK912" s="77"/>
      <c r="AL912" s="77"/>
      <c r="AM912" s="77"/>
      <c r="AN912" s="77"/>
      <c r="AO912" s="77"/>
      <c r="AP912" s="76"/>
      <c r="AQ912" s="81"/>
      <c r="AR912" s="76"/>
      <c r="AS912" s="81"/>
      <c r="AT912" s="76"/>
      <c r="AU912" s="81"/>
      <c r="AV912" s="77"/>
      <c r="AW912" s="81"/>
      <c r="AX912" s="77"/>
      <c r="AY912" s="81"/>
      <c r="AZ912" s="77"/>
      <c r="BA912" s="81"/>
      <c r="BB912" s="77"/>
      <c r="BC912" s="81"/>
      <c r="BD912" s="77"/>
      <c r="BE912" s="81"/>
      <c r="BF912" s="77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77"/>
      <c r="BU912" s="77"/>
      <c r="BV912" s="77"/>
      <c r="BW912" s="77"/>
      <c r="BX912" s="77"/>
      <c r="BY912" s="77"/>
      <c r="BZ912" s="77"/>
      <c r="CA912" s="77"/>
      <c r="CB912" s="77"/>
      <c r="CC912" s="77"/>
      <c r="CD912" s="77"/>
      <c r="CE912" s="77"/>
      <c r="CF912" s="77"/>
      <c r="CG912" s="77"/>
      <c r="CH912" s="77"/>
      <c r="CI912" s="77"/>
      <c r="CJ912" s="77"/>
      <c r="CK912" s="77"/>
      <c r="CL912" s="77"/>
      <c r="CM912" s="77"/>
      <c r="CN912" s="77"/>
      <c r="CO912" s="77"/>
      <c r="CP912" s="77"/>
      <c r="CQ912" s="77"/>
      <c r="CR912" s="77"/>
      <c r="CS912" s="77"/>
      <c r="CT912" s="77"/>
      <c r="CU912" s="77"/>
      <c r="CV912" s="77"/>
      <c r="CW912" s="77"/>
    </row>
    <row r="913" spans="1:101" ht="16.5" x14ac:dyDescent="0.45">
      <c r="A913" s="76"/>
      <c r="B913" s="77"/>
      <c r="C913" s="77"/>
      <c r="D913" s="78"/>
      <c r="E913" s="80"/>
      <c r="F913" s="80"/>
      <c r="G913" s="81"/>
      <c r="H913" s="81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82"/>
      <c r="Z913" s="82"/>
      <c r="AA913" s="82"/>
      <c r="AB913" s="80"/>
      <c r="AC913" s="77"/>
      <c r="AD913" s="77"/>
      <c r="AE913" s="77"/>
      <c r="AF913" s="77"/>
      <c r="AG913" s="77"/>
      <c r="AH913" s="77"/>
      <c r="AI913" s="92"/>
      <c r="AJ913" s="77"/>
      <c r="AK913" s="77"/>
      <c r="AL913" s="77"/>
      <c r="AM913" s="77"/>
      <c r="AN913" s="77"/>
      <c r="AO913" s="77"/>
      <c r="AP913" s="76"/>
      <c r="AQ913" s="81"/>
      <c r="AR913" s="76"/>
      <c r="AS913" s="81"/>
      <c r="AT913" s="76"/>
      <c r="AU913" s="81"/>
      <c r="AV913" s="77"/>
      <c r="AW913" s="81"/>
      <c r="AX913" s="77"/>
      <c r="AY913" s="81"/>
      <c r="AZ913" s="77"/>
      <c r="BA913" s="81"/>
      <c r="BB913" s="77"/>
      <c r="BC913" s="81"/>
      <c r="BD913" s="77"/>
      <c r="BE913" s="81"/>
      <c r="BF913" s="77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77"/>
      <c r="BU913" s="77"/>
      <c r="BV913" s="77"/>
      <c r="BW913" s="77"/>
      <c r="BX913" s="77"/>
      <c r="BY913" s="77"/>
      <c r="BZ913" s="77"/>
      <c r="CA913" s="77"/>
      <c r="CB913" s="77"/>
      <c r="CC913" s="77"/>
      <c r="CD913" s="77"/>
      <c r="CE913" s="77"/>
      <c r="CF913" s="77"/>
      <c r="CG913" s="77"/>
      <c r="CH913" s="77"/>
      <c r="CI913" s="77"/>
      <c r="CJ913" s="77"/>
      <c r="CK913" s="77"/>
      <c r="CL913" s="77"/>
      <c r="CM913" s="77"/>
      <c r="CN913" s="77"/>
      <c r="CO913" s="77"/>
      <c r="CP913" s="77"/>
      <c r="CQ913" s="77"/>
      <c r="CR913" s="77"/>
      <c r="CS913" s="77"/>
      <c r="CT913" s="77"/>
      <c r="CU913" s="77"/>
      <c r="CV913" s="77"/>
      <c r="CW913" s="77"/>
    </row>
    <row r="914" spans="1:101" ht="16.5" x14ac:dyDescent="0.45">
      <c r="A914" s="76"/>
      <c r="B914" s="77"/>
      <c r="C914" s="77"/>
      <c r="D914" s="78"/>
      <c r="E914" s="80"/>
      <c r="F914" s="80"/>
      <c r="G914" s="81"/>
      <c r="H914" s="81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82"/>
      <c r="Z914" s="82"/>
      <c r="AA914" s="82"/>
      <c r="AB914" s="80"/>
      <c r="AC914" s="77"/>
      <c r="AD914" s="77"/>
      <c r="AE914" s="77"/>
      <c r="AF914" s="77"/>
      <c r="AG914" s="77"/>
      <c r="AH914" s="77"/>
      <c r="AI914" s="92"/>
      <c r="AJ914" s="77"/>
      <c r="AK914" s="77"/>
      <c r="AL914" s="77"/>
      <c r="AM914" s="77"/>
      <c r="AN914" s="77"/>
      <c r="AO914" s="77"/>
      <c r="AP914" s="76"/>
      <c r="AQ914" s="81"/>
      <c r="AR914" s="76"/>
      <c r="AS914" s="81"/>
      <c r="AT914" s="76"/>
      <c r="AU914" s="81"/>
      <c r="AV914" s="77"/>
      <c r="AW914" s="81"/>
      <c r="AX914" s="77"/>
      <c r="AY914" s="81"/>
      <c r="AZ914" s="77"/>
      <c r="BA914" s="81"/>
      <c r="BB914" s="77"/>
      <c r="BC914" s="81"/>
      <c r="BD914" s="77"/>
      <c r="BE914" s="81"/>
      <c r="BF914" s="77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77"/>
      <c r="BU914" s="77"/>
      <c r="BV914" s="77"/>
      <c r="BW914" s="77"/>
      <c r="BX914" s="77"/>
      <c r="BY914" s="77"/>
      <c r="BZ914" s="77"/>
      <c r="CA914" s="77"/>
      <c r="CB914" s="77"/>
      <c r="CC914" s="77"/>
      <c r="CD914" s="77"/>
      <c r="CE914" s="77"/>
      <c r="CF914" s="77"/>
      <c r="CG914" s="77"/>
      <c r="CH914" s="77"/>
      <c r="CI914" s="77"/>
      <c r="CJ914" s="77"/>
      <c r="CK914" s="77"/>
      <c r="CL914" s="77"/>
      <c r="CM914" s="77"/>
      <c r="CN914" s="77"/>
      <c r="CO914" s="77"/>
      <c r="CP914" s="77"/>
      <c r="CQ914" s="77"/>
      <c r="CR914" s="77"/>
      <c r="CS914" s="77"/>
      <c r="CT914" s="77"/>
      <c r="CU914" s="77"/>
      <c r="CV914" s="77"/>
      <c r="CW914" s="77"/>
    </row>
    <row r="915" spans="1:101" ht="16.5" x14ac:dyDescent="0.45">
      <c r="A915" s="76"/>
      <c r="B915" s="77"/>
      <c r="C915" s="77"/>
      <c r="D915" s="78"/>
      <c r="E915" s="80"/>
      <c r="F915" s="80"/>
      <c r="G915" s="81"/>
      <c r="H915" s="81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82"/>
      <c r="Z915" s="82"/>
      <c r="AA915" s="82"/>
      <c r="AB915" s="80"/>
      <c r="AC915" s="77"/>
      <c r="AD915" s="77"/>
      <c r="AE915" s="77"/>
      <c r="AF915" s="77"/>
      <c r="AG915" s="77"/>
      <c r="AH915" s="77"/>
      <c r="AI915" s="92"/>
      <c r="AJ915" s="77"/>
      <c r="AK915" s="77"/>
      <c r="AL915" s="77"/>
      <c r="AM915" s="77"/>
      <c r="AN915" s="77"/>
      <c r="AO915" s="77"/>
      <c r="AP915" s="76"/>
      <c r="AQ915" s="81"/>
      <c r="AR915" s="76"/>
      <c r="AS915" s="81"/>
      <c r="AT915" s="76"/>
      <c r="AU915" s="81"/>
      <c r="AV915" s="77"/>
      <c r="AW915" s="81"/>
      <c r="AX915" s="77"/>
      <c r="AY915" s="81"/>
      <c r="AZ915" s="77"/>
      <c r="BA915" s="81"/>
      <c r="BB915" s="77"/>
      <c r="BC915" s="81"/>
      <c r="BD915" s="77"/>
      <c r="BE915" s="81"/>
      <c r="BF915" s="77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77"/>
      <c r="BU915" s="77"/>
      <c r="BV915" s="77"/>
      <c r="BW915" s="77"/>
      <c r="BX915" s="77"/>
      <c r="BY915" s="77"/>
      <c r="BZ915" s="77"/>
      <c r="CA915" s="77"/>
      <c r="CB915" s="77"/>
      <c r="CC915" s="77"/>
      <c r="CD915" s="77"/>
      <c r="CE915" s="77"/>
      <c r="CF915" s="77"/>
      <c r="CG915" s="77"/>
      <c r="CH915" s="77"/>
      <c r="CI915" s="77"/>
      <c r="CJ915" s="77"/>
      <c r="CK915" s="77"/>
      <c r="CL915" s="77"/>
      <c r="CM915" s="77"/>
      <c r="CN915" s="77"/>
      <c r="CO915" s="77"/>
      <c r="CP915" s="77"/>
      <c r="CQ915" s="77"/>
      <c r="CR915" s="77"/>
      <c r="CS915" s="77"/>
      <c r="CT915" s="77"/>
      <c r="CU915" s="77"/>
      <c r="CV915" s="77"/>
      <c r="CW915" s="77"/>
    </row>
    <row r="916" spans="1:101" ht="16.5" x14ac:dyDescent="0.45">
      <c r="A916" s="76"/>
      <c r="B916" s="77"/>
      <c r="C916" s="77"/>
      <c r="D916" s="78"/>
      <c r="E916" s="80"/>
      <c r="F916" s="80"/>
      <c r="G916" s="81"/>
      <c r="H916" s="81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82"/>
      <c r="Z916" s="82"/>
      <c r="AA916" s="82"/>
      <c r="AB916" s="80"/>
      <c r="AC916" s="77"/>
      <c r="AD916" s="77"/>
      <c r="AE916" s="77"/>
      <c r="AF916" s="77"/>
      <c r="AG916" s="77"/>
      <c r="AH916" s="77"/>
      <c r="AI916" s="92"/>
      <c r="AJ916" s="77"/>
      <c r="AK916" s="77"/>
      <c r="AL916" s="77"/>
      <c r="AM916" s="77"/>
      <c r="AN916" s="77"/>
      <c r="AO916" s="77"/>
      <c r="AP916" s="76"/>
      <c r="AQ916" s="81"/>
      <c r="AR916" s="76"/>
      <c r="AS916" s="81"/>
      <c r="AT916" s="76"/>
      <c r="AU916" s="81"/>
      <c r="AV916" s="77"/>
      <c r="AW916" s="81"/>
      <c r="AX916" s="77"/>
      <c r="AY916" s="81"/>
      <c r="AZ916" s="77"/>
      <c r="BA916" s="81"/>
      <c r="BB916" s="77"/>
      <c r="BC916" s="81"/>
      <c r="BD916" s="77"/>
      <c r="BE916" s="81"/>
      <c r="BF916" s="77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77"/>
      <c r="BU916" s="77"/>
      <c r="BV916" s="77"/>
      <c r="BW916" s="77"/>
      <c r="BX916" s="77"/>
      <c r="BY916" s="77"/>
      <c r="BZ916" s="77"/>
      <c r="CA916" s="77"/>
      <c r="CB916" s="77"/>
      <c r="CC916" s="77"/>
      <c r="CD916" s="77"/>
      <c r="CE916" s="77"/>
      <c r="CF916" s="77"/>
      <c r="CG916" s="77"/>
      <c r="CH916" s="77"/>
      <c r="CI916" s="77"/>
      <c r="CJ916" s="77"/>
      <c r="CK916" s="77"/>
      <c r="CL916" s="77"/>
      <c r="CM916" s="77"/>
      <c r="CN916" s="77"/>
      <c r="CO916" s="77"/>
      <c r="CP916" s="77"/>
      <c r="CQ916" s="77"/>
      <c r="CR916" s="77"/>
      <c r="CS916" s="77"/>
      <c r="CT916" s="77"/>
      <c r="CU916" s="77"/>
      <c r="CV916" s="77"/>
      <c r="CW916" s="77"/>
    </row>
    <row r="917" spans="1:101" ht="16.5" x14ac:dyDescent="0.45">
      <c r="A917" s="76"/>
      <c r="B917" s="77"/>
      <c r="C917" s="77"/>
      <c r="D917" s="78"/>
      <c r="E917" s="80"/>
      <c r="F917" s="80"/>
      <c r="G917" s="81"/>
      <c r="H917" s="81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82"/>
      <c r="Z917" s="82"/>
      <c r="AA917" s="82"/>
      <c r="AB917" s="80"/>
      <c r="AC917" s="77"/>
      <c r="AD917" s="77"/>
      <c r="AE917" s="77"/>
      <c r="AF917" s="77"/>
      <c r="AG917" s="77"/>
      <c r="AH917" s="77"/>
      <c r="AI917" s="92"/>
      <c r="AJ917" s="77"/>
      <c r="AK917" s="77"/>
      <c r="AL917" s="77"/>
      <c r="AM917" s="77"/>
      <c r="AN917" s="77"/>
      <c r="AO917" s="77"/>
      <c r="AP917" s="76"/>
      <c r="AQ917" s="81"/>
      <c r="AR917" s="76"/>
      <c r="AS917" s="81"/>
      <c r="AT917" s="76"/>
      <c r="AU917" s="81"/>
      <c r="AV917" s="77"/>
      <c r="AW917" s="81"/>
      <c r="AX917" s="77"/>
      <c r="AY917" s="81"/>
      <c r="AZ917" s="77"/>
      <c r="BA917" s="81"/>
      <c r="BB917" s="77"/>
      <c r="BC917" s="81"/>
      <c r="BD917" s="77"/>
      <c r="BE917" s="81"/>
      <c r="BF917" s="77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77"/>
      <c r="BU917" s="77"/>
      <c r="BV917" s="77"/>
      <c r="BW917" s="77"/>
      <c r="BX917" s="77"/>
      <c r="BY917" s="77"/>
      <c r="BZ917" s="77"/>
      <c r="CA917" s="77"/>
      <c r="CB917" s="77"/>
      <c r="CC917" s="77"/>
      <c r="CD917" s="77"/>
      <c r="CE917" s="77"/>
      <c r="CF917" s="77"/>
      <c r="CG917" s="77"/>
      <c r="CH917" s="77"/>
      <c r="CI917" s="77"/>
      <c r="CJ917" s="77"/>
      <c r="CK917" s="77"/>
      <c r="CL917" s="77"/>
      <c r="CM917" s="77"/>
      <c r="CN917" s="77"/>
      <c r="CO917" s="77"/>
      <c r="CP917" s="77"/>
      <c r="CQ917" s="77"/>
      <c r="CR917" s="77"/>
      <c r="CS917" s="77"/>
      <c r="CT917" s="77"/>
      <c r="CU917" s="77"/>
      <c r="CV917" s="77"/>
      <c r="CW917" s="77"/>
    </row>
    <row r="918" spans="1:101" ht="16.5" x14ac:dyDescent="0.45">
      <c r="A918" s="76"/>
      <c r="B918" s="77"/>
      <c r="C918" s="77"/>
      <c r="D918" s="78"/>
      <c r="E918" s="80"/>
      <c r="F918" s="80"/>
      <c r="G918" s="81"/>
      <c r="H918" s="81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82"/>
      <c r="Z918" s="82"/>
      <c r="AA918" s="82"/>
      <c r="AB918" s="80"/>
      <c r="AC918" s="77"/>
      <c r="AD918" s="77"/>
      <c r="AE918" s="77"/>
      <c r="AF918" s="77"/>
      <c r="AG918" s="77"/>
      <c r="AH918" s="77"/>
      <c r="AI918" s="92"/>
      <c r="AJ918" s="77"/>
      <c r="AK918" s="77"/>
      <c r="AL918" s="77"/>
      <c r="AM918" s="77"/>
      <c r="AN918" s="77"/>
      <c r="AO918" s="77"/>
      <c r="AP918" s="76"/>
      <c r="AQ918" s="81"/>
      <c r="AR918" s="76"/>
      <c r="AS918" s="81"/>
      <c r="AT918" s="76"/>
      <c r="AU918" s="81"/>
      <c r="AV918" s="77"/>
      <c r="AW918" s="81"/>
      <c r="AX918" s="77"/>
      <c r="AY918" s="81"/>
      <c r="AZ918" s="77"/>
      <c r="BA918" s="81"/>
      <c r="BB918" s="77"/>
      <c r="BC918" s="81"/>
      <c r="BD918" s="77"/>
      <c r="BE918" s="81"/>
      <c r="BF918" s="77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77"/>
      <c r="BU918" s="77"/>
      <c r="BV918" s="77"/>
      <c r="BW918" s="77"/>
      <c r="BX918" s="77"/>
      <c r="BY918" s="77"/>
      <c r="BZ918" s="77"/>
      <c r="CA918" s="77"/>
      <c r="CB918" s="77"/>
      <c r="CC918" s="77"/>
      <c r="CD918" s="77"/>
      <c r="CE918" s="77"/>
      <c r="CF918" s="77"/>
      <c r="CG918" s="77"/>
      <c r="CH918" s="77"/>
      <c r="CI918" s="77"/>
      <c r="CJ918" s="77"/>
      <c r="CK918" s="77"/>
      <c r="CL918" s="77"/>
      <c r="CM918" s="77"/>
      <c r="CN918" s="77"/>
      <c r="CO918" s="77"/>
      <c r="CP918" s="77"/>
      <c r="CQ918" s="77"/>
      <c r="CR918" s="77"/>
      <c r="CS918" s="77"/>
      <c r="CT918" s="77"/>
      <c r="CU918" s="77"/>
      <c r="CV918" s="77"/>
      <c r="CW918" s="77"/>
    </row>
    <row r="919" spans="1:101" ht="16.5" x14ac:dyDescent="0.45">
      <c r="A919" s="76"/>
      <c r="B919" s="77"/>
      <c r="C919" s="77"/>
      <c r="D919" s="78"/>
      <c r="E919" s="80"/>
      <c r="F919" s="80"/>
      <c r="G919" s="81"/>
      <c r="H919" s="81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82"/>
      <c r="Z919" s="82"/>
      <c r="AA919" s="82"/>
      <c r="AB919" s="80"/>
      <c r="AC919" s="77"/>
      <c r="AD919" s="77"/>
      <c r="AE919" s="77"/>
      <c r="AF919" s="77"/>
      <c r="AG919" s="77"/>
      <c r="AH919" s="77"/>
      <c r="AI919" s="92"/>
      <c r="AJ919" s="77"/>
      <c r="AK919" s="77"/>
      <c r="AL919" s="77"/>
      <c r="AM919" s="77"/>
      <c r="AN919" s="77"/>
      <c r="AO919" s="77"/>
      <c r="AP919" s="76"/>
      <c r="AQ919" s="81"/>
      <c r="AR919" s="76"/>
      <c r="AS919" s="81"/>
      <c r="AT919" s="76"/>
      <c r="AU919" s="81"/>
      <c r="AV919" s="77"/>
      <c r="AW919" s="81"/>
      <c r="AX919" s="77"/>
      <c r="AY919" s="81"/>
      <c r="AZ919" s="77"/>
      <c r="BA919" s="81"/>
      <c r="BB919" s="77"/>
      <c r="BC919" s="81"/>
      <c r="BD919" s="77"/>
      <c r="BE919" s="81"/>
      <c r="BF919" s="77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77"/>
      <c r="BU919" s="77"/>
      <c r="BV919" s="77"/>
      <c r="BW919" s="77"/>
      <c r="BX919" s="77"/>
      <c r="BY919" s="77"/>
      <c r="BZ919" s="77"/>
      <c r="CA919" s="77"/>
      <c r="CB919" s="77"/>
      <c r="CC919" s="77"/>
      <c r="CD919" s="77"/>
      <c r="CE919" s="77"/>
      <c r="CF919" s="77"/>
      <c r="CG919" s="77"/>
      <c r="CH919" s="77"/>
      <c r="CI919" s="77"/>
      <c r="CJ919" s="77"/>
      <c r="CK919" s="77"/>
      <c r="CL919" s="77"/>
      <c r="CM919" s="77"/>
      <c r="CN919" s="77"/>
      <c r="CO919" s="77"/>
      <c r="CP919" s="77"/>
      <c r="CQ919" s="77"/>
      <c r="CR919" s="77"/>
      <c r="CS919" s="77"/>
      <c r="CT919" s="77"/>
      <c r="CU919" s="77"/>
      <c r="CV919" s="77"/>
      <c r="CW919" s="77"/>
    </row>
    <row r="920" spans="1:101" ht="16.5" x14ac:dyDescent="0.45">
      <c r="A920" s="76"/>
      <c r="B920" s="77"/>
      <c r="C920" s="77"/>
      <c r="D920" s="78"/>
      <c r="E920" s="80"/>
      <c r="F920" s="80"/>
      <c r="G920" s="81"/>
      <c r="H920" s="81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82"/>
      <c r="Z920" s="82"/>
      <c r="AA920" s="82"/>
      <c r="AB920" s="80"/>
      <c r="AC920" s="77"/>
      <c r="AD920" s="77"/>
      <c r="AE920" s="77"/>
      <c r="AF920" s="77"/>
      <c r="AG920" s="77"/>
      <c r="AH920" s="77"/>
      <c r="AI920" s="92"/>
      <c r="AJ920" s="77"/>
      <c r="AK920" s="77"/>
      <c r="AL920" s="77"/>
      <c r="AM920" s="77"/>
      <c r="AN920" s="77"/>
      <c r="AO920" s="77"/>
      <c r="AP920" s="76"/>
      <c r="AQ920" s="81"/>
      <c r="AR920" s="76"/>
      <c r="AS920" s="81"/>
      <c r="AT920" s="76"/>
      <c r="AU920" s="81"/>
      <c r="AV920" s="77"/>
      <c r="AW920" s="81"/>
      <c r="AX920" s="77"/>
      <c r="AY920" s="81"/>
      <c r="AZ920" s="77"/>
      <c r="BA920" s="81"/>
      <c r="BB920" s="77"/>
      <c r="BC920" s="81"/>
      <c r="BD920" s="77"/>
      <c r="BE920" s="81"/>
      <c r="BF920" s="77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77"/>
      <c r="BU920" s="77"/>
      <c r="BV920" s="77"/>
      <c r="BW920" s="77"/>
      <c r="BX920" s="77"/>
      <c r="BY920" s="77"/>
      <c r="BZ920" s="77"/>
      <c r="CA920" s="77"/>
      <c r="CB920" s="77"/>
      <c r="CC920" s="77"/>
      <c r="CD920" s="77"/>
      <c r="CE920" s="77"/>
      <c r="CF920" s="77"/>
      <c r="CG920" s="77"/>
      <c r="CH920" s="77"/>
      <c r="CI920" s="77"/>
      <c r="CJ920" s="77"/>
      <c r="CK920" s="77"/>
      <c r="CL920" s="77"/>
      <c r="CM920" s="77"/>
      <c r="CN920" s="77"/>
      <c r="CO920" s="77"/>
      <c r="CP920" s="77"/>
      <c r="CQ920" s="77"/>
      <c r="CR920" s="77"/>
      <c r="CS920" s="77"/>
      <c r="CT920" s="77"/>
      <c r="CU920" s="77"/>
      <c r="CV920" s="77"/>
      <c r="CW920" s="77"/>
    </row>
    <row r="921" spans="1:101" ht="16.5" x14ac:dyDescent="0.45">
      <c r="A921" s="76"/>
      <c r="B921" s="77"/>
      <c r="C921" s="77"/>
      <c r="D921" s="78"/>
      <c r="E921" s="80"/>
      <c r="F921" s="80"/>
      <c r="G921" s="81"/>
      <c r="H921" s="81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82"/>
      <c r="Z921" s="82"/>
      <c r="AA921" s="82"/>
      <c r="AB921" s="80"/>
      <c r="AC921" s="77"/>
      <c r="AD921" s="77"/>
      <c r="AE921" s="77"/>
      <c r="AF921" s="77"/>
      <c r="AG921" s="77"/>
      <c r="AH921" s="77"/>
      <c r="AI921" s="92"/>
      <c r="AJ921" s="77"/>
      <c r="AK921" s="77"/>
      <c r="AL921" s="77"/>
      <c r="AM921" s="77"/>
      <c r="AN921" s="77"/>
      <c r="AO921" s="77"/>
      <c r="AP921" s="76"/>
      <c r="AQ921" s="81"/>
      <c r="AR921" s="76"/>
      <c r="AS921" s="81"/>
      <c r="AT921" s="76"/>
      <c r="AU921" s="81"/>
      <c r="AV921" s="77"/>
      <c r="AW921" s="81"/>
      <c r="AX921" s="77"/>
      <c r="AY921" s="81"/>
      <c r="AZ921" s="77"/>
      <c r="BA921" s="81"/>
      <c r="BB921" s="77"/>
      <c r="BC921" s="81"/>
      <c r="BD921" s="77"/>
      <c r="BE921" s="81"/>
      <c r="BF921" s="77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77"/>
      <c r="BU921" s="77"/>
      <c r="BV921" s="77"/>
      <c r="BW921" s="77"/>
      <c r="BX921" s="77"/>
      <c r="BY921" s="77"/>
      <c r="BZ921" s="77"/>
      <c r="CA921" s="77"/>
      <c r="CB921" s="77"/>
      <c r="CC921" s="77"/>
      <c r="CD921" s="77"/>
      <c r="CE921" s="77"/>
      <c r="CF921" s="77"/>
      <c r="CG921" s="77"/>
      <c r="CH921" s="77"/>
      <c r="CI921" s="77"/>
      <c r="CJ921" s="77"/>
      <c r="CK921" s="77"/>
      <c r="CL921" s="77"/>
      <c r="CM921" s="77"/>
      <c r="CN921" s="77"/>
      <c r="CO921" s="77"/>
      <c r="CP921" s="77"/>
      <c r="CQ921" s="77"/>
      <c r="CR921" s="77"/>
      <c r="CS921" s="77"/>
      <c r="CT921" s="77"/>
      <c r="CU921" s="77"/>
      <c r="CV921" s="77"/>
      <c r="CW921" s="77"/>
    </row>
    <row r="922" spans="1:101" ht="16.5" x14ac:dyDescent="0.45">
      <c r="A922" s="76"/>
      <c r="B922" s="77"/>
      <c r="C922" s="77"/>
      <c r="D922" s="78"/>
      <c r="E922" s="80"/>
      <c r="F922" s="80"/>
      <c r="G922" s="81"/>
      <c r="H922" s="81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82"/>
      <c r="Z922" s="82"/>
      <c r="AA922" s="82"/>
      <c r="AB922" s="80"/>
      <c r="AC922" s="77"/>
      <c r="AD922" s="77"/>
      <c r="AE922" s="77"/>
      <c r="AF922" s="77"/>
      <c r="AG922" s="77"/>
      <c r="AH922" s="77"/>
      <c r="AI922" s="92"/>
      <c r="AJ922" s="77"/>
      <c r="AK922" s="77"/>
      <c r="AL922" s="77"/>
      <c r="AM922" s="77"/>
      <c r="AN922" s="77"/>
      <c r="AO922" s="77"/>
      <c r="AP922" s="76"/>
      <c r="AQ922" s="81"/>
      <c r="AR922" s="76"/>
      <c r="AS922" s="81"/>
      <c r="AT922" s="76"/>
      <c r="AU922" s="81"/>
      <c r="AV922" s="77"/>
      <c r="AW922" s="81"/>
      <c r="AX922" s="77"/>
      <c r="AY922" s="81"/>
      <c r="AZ922" s="77"/>
      <c r="BA922" s="81"/>
      <c r="BB922" s="77"/>
      <c r="BC922" s="81"/>
      <c r="BD922" s="77"/>
      <c r="BE922" s="81"/>
      <c r="BF922" s="77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77"/>
      <c r="BU922" s="77"/>
      <c r="BV922" s="77"/>
      <c r="BW922" s="77"/>
      <c r="BX922" s="77"/>
      <c r="BY922" s="77"/>
      <c r="BZ922" s="77"/>
      <c r="CA922" s="77"/>
      <c r="CB922" s="77"/>
      <c r="CC922" s="77"/>
      <c r="CD922" s="77"/>
      <c r="CE922" s="77"/>
      <c r="CF922" s="77"/>
      <c r="CG922" s="77"/>
      <c r="CH922" s="77"/>
      <c r="CI922" s="77"/>
      <c r="CJ922" s="77"/>
      <c r="CK922" s="77"/>
      <c r="CL922" s="77"/>
      <c r="CM922" s="77"/>
      <c r="CN922" s="77"/>
      <c r="CO922" s="77"/>
      <c r="CP922" s="77"/>
      <c r="CQ922" s="77"/>
      <c r="CR922" s="77"/>
      <c r="CS922" s="77"/>
      <c r="CT922" s="77"/>
      <c r="CU922" s="77"/>
      <c r="CV922" s="77"/>
      <c r="CW922" s="77"/>
    </row>
    <row r="923" spans="1:101" ht="16.5" x14ac:dyDescent="0.45">
      <c r="A923" s="76"/>
      <c r="B923" s="77"/>
      <c r="C923" s="77"/>
      <c r="D923" s="78"/>
      <c r="E923" s="80"/>
      <c r="F923" s="80"/>
      <c r="G923" s="81"/>
      <c r="H923" s="81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82"/>
      <c r="Z923" s="82"/>
      <c r="AA923" s="82"/>
      <c r="AB923" s="80"/>
      <c r="AC923" s="77"/>
      <c r="AD923" s="77"/>
      <c r="AE923" s="77"/>
      <c r="AF923" s="77"/>
      <c r="AG923" s="77"/>
      <c r="AH923" s="77"/>
      <c r="AI923" s="92"/>
      <c r="AJ923" s="77"/>
      <c r="AK923" s="77"/>
      <c r="AL923" s="77"/>
      <c r="AM923" s="77"/>
      <c r="AN923" s="77"/>
      <c r="AO923" s="77"/>
      <c r="AP923" s="76"/>
      <c r="AQ923" s="81"/>
      <c r="AR923" s="76"/>
      <c r="AS923" s="81"/>
      <c r="AT923" s="76"/>
      <c r="AU923" s="81"/>
      <c r="AV923" s="77"/>
      <c r="AW923" s="81"/>
      <c r="AX923" s="77"/>
      <c r="AY923" s="81"/>
      <c r="AZ923" s="77"/>
      <c r="BA923" s="81"/>
      <c r="BB923" s="77"/>
      <c r="BC923" s="81"/>
      <c r="BD923" s="77"/>
      <c r="BE923" s="81"/>
      <c r="BF923" s="77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77"/>
      <c r="BU923" s="77"/>
      <c r="BV923" s="77"/>
      <c r="BW923" s="77"/>
      <c r="BX923" s="77"/>
      <c r="BY923" s="77"/>
      <c r="BZ923" s="77"/>
      <c r="CA923" s="77"/>
      <c r="CB923" s="77"/>
      <c r="CC923" s="77"/>
      <c r="CD923" s="77"/>
      <c r="CE923" s="77"/>
      <c r="CF923" s="77"/>
      <c r="CG923" s="77"/>
      <c r="CH923" s="77"/>
      <c r="CI923" s="77"/>
      <c r="CJ923" s="77"/>
      <c r="CK923" s="77"/>
      <c r="CL923" s="77"/>
      <c r="CM923" s="77"/>
      <c r="CN923" s="77"/>
      <c r="CO923" s="77"/>
      <c r="CP923" s="77"/>
      <c r="CQ923" s="77"/>
      <c r="CR923" s="77"/>
      <c r="CS923" s="77"/>
      <c r="CT923" s="77"/>
      <c r="CU923" s="77"/>
      <c r="CV923" s="77"/>
      <c r="CW923" s="77"/>
    </row>
    <row r="924" spans="1:101" ht="16.5" x14ac:dyDescent="0.45">
      <c r="A924" s="76"/>
      <c r="B924" s="77"/>
      <c r="C924" s="77"/>
      <c r="D924" s="78"/>
      <c r="E924" s="80"/>
      <c r="F924" s="80"/>
      <c r="G924" s="81"/>
      <c r="H924" s="81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82"/>
      <c r="Z924" s="82"/>
      <c r="AA924" s="82"/>
      <c r="AB924" s="80"/>
      <c r="AC924" s="77"/>
      <c r="AD924" s="77"/>
      <c r="AE924" s="77"/>
      <c r="AF924" s="77"/>
      <c r="AG924" s="77"/>
      <c r="AH924" s="77"/>
      <c r="AI924" s="92"/>
      <c r="AJ924" s="77"/>
      <c r="AK924" s="77"/>
      <c r="AL924" s="77"/>
      <c r="AM924" s="77"/>
      <c r="AN924" s="77"/>
      <c r="AO924" s="77"/>
      <c r="AP924" s="76"/>
      <c r="AQ924" s="81"/>
      <c r="AR924" s="76"/>
      <c r="AS924" s="81"/>
      <c r="AT924" s="76"/>
      <c r="AU924" s="81"/>
      <c r="AV924" s="77"/>
      <c r="AW924" s="81"/>
      <c r="AX924" s="77"/>
      <c r="AY924" s="81"/>
      <c r="AZ924" s="77"/>
      <c r="BA924" s="81"/>
      <c r="BB924" s="77"/>
      <c r="BC924" s="81"/>
      <c r="BD924" s="77"/>
      <c r="BE924" s="81"/>
      <c r="BF924" s="77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77"/>
      <c r="BU924" s="77"/>
      <c r="BV924" s="77"/>
      <c r="BW924" s="77"/>
      <c r="BX924" s="77"/>
      <c r="BY924" s="77"/>
      <c r="BZ924" s="77"/>
      <c r="CA924" s="77"/>
      <c r="CB924" s="77"/>
      <c r="CC924" s="77"/>
      <c r="CD924" s="77"/>
      <c r="CE924" s="77"/>
      <c r="CF924" s="77"/>
      <c r="CG924" s="77"/>
      <c r="CH924" s="77"/>
      <c r="CI924" s="77"/>
      <c r="CJ924" s="77"/>
      <c r="CK924" s="77"/>
      <c r="CL924" s="77"/>
      <c r="CM924" s="77"/>
      <c r="CN924" s="77"/>
      <c r="CO924" s="77"/>
      <c r="CP924" s="77"/>
      <c r="CQ924" s="77"/>
      <c r="CR924" s="77"/>
      <c r="CS924" s="77"/>
      <c r="CT924" s="77"/>
      <c r="CU924" s="77"/>
      <c r="CV924" s="77"/>
      <c r="CW924" s="77"/>
    </row>
    <row r="925" spans="1:101" ht="16.5" x14ac:dyDescent="0.45">
      <c r="A925" s="76"/>
      <c r="B925" s="77"/>
      <c r="C925" s="77"/>
      <c r="D925" s="78"/>
      <c r="E925" s="80"/>
      <c r="F925" s="80"/>
      <c r="G925" s="81"/>
      <c r="H925" s="81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82"/>
      <c r="Z925" s="82"/>
      <c r="AA925" s="82"/>
      <c r="AB925" s="80"/>
      <c r="AC925" s="77"/>
      <c r="AD925" s="77"/>
      <c r="AE925" s="77"/>
      <c r="AF925" s="77"/>
      <c r="AG925" s="77"/>
      <c r="AH925" s="77"/>
      <c r="AI925" s="92"/>
      <c r="AJ925" s="77"/>
      <c r="AK925" s="77"/>
      <c r="AL925" s="77"/>
      <c r="AM925" s="77"/>
      <c r="AN925" s="77"/>
      <c r="AO925" s="77"/>
      <c r="AP925" s="76"/>
      <c r="AQ925" s="81"/>
      <c r="AR925" s="76"/>
      <c r="AS925" s="81"/>
      <c r="AT925" s="76"/>
      <c r="AU925" s="81"/>
      <c r="AV925" s="77"/>
      <c r="AW925" s="81"/>
      <c r="AX925" s="77"/>
      <c r="AY925" s="81"/>
      <c r="AZ925" s="77"/>
      <c r="BA925" s="81"/>
      <c r="BB925" s="77"/>
      <c r="BC925" s="81"/>
      <c r="BD925" s="77"/>
      <c r="BE925" s="81"/>
      <c r="BF925" s="77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77"/>
      <c r="BU925" s="77"/>
      <c r="BV925" s="77"/>
      <c r="BW925" s="77"/>
      <c r="BX925" s="77"/>
      <c r="BY925" s="77"/>
      <c r="BZ925" s="77"/>
      <c r="CA925" s="77"/>
      <c r="CB925" s="77"/>
      <c r="CC925" s="77"/>
      <c r="CD925" s="77"/>
      <c r="CE925" s="77"/>
      <c r="CF925" s="77"/>
      <c r="CG925" s="77"/>
      <c r="CH925" s="77"/>
      <c r="CI925" s="77"/>
      <c r="CJ925" s="77"/>
      <c r="CK925" s="77"/>
      <c r="CL925" s="77"/>
      <c r="CM925" s="77"/>
      <c r="CN925" s="77"/>
      <c r="CO925" s="77"/>
      <c r="CP925" s="77"/>
      <c r="CQ925" s="77"/>
      <c r="CR925" s="77"/>
      <c r="CS925" s="77"/>
      <c r="CT925" s="77"/>
      <c r="CU925" s="77"/>
      <c r="CV925" s="77"/>
      <c r="CW925" s="77"/>
    </row>
    <row r="926" spans="1:101" ht="16.5" x14ac:dyDescent="0.45">
      <c r="A926" s="76"/>
      <c r="B926" s="77"/>
      <c r="C926" s="77"/>
      <c r="D926" s="78"/>
      <c r="E926" s="80"/>
      <c r="F926" s="80"/>
      <c r="G926" s="81"/>
      <c r="H926" s="81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82"/>
      <c r="Z926" s="82"/>
      <c r="AA926" s="82"/>
      <c r="AB926" s="80"/>
      <c r="AC926" s="77"/>
      <c r="AD926" s="77"/>
      <c r="AE926" s="77"/>
      <c r="AF926" s="77"/>
      <c r="AG926" s="77"/>
      <c r="AH926" s="77"/>
      <c r="AI926" s="92"/>
      <c r="AJ926" s="77"/>
      <c r="AK926" s="77"/>
      <c r="AL926" s="77"/>
      <c r="AM926" s="77"/>
      <c r="AN926" s="77"/>
      <c r="AO926" s="77"/>
      <c r="AP926" s="76"/>
      <c r="AQ926" s="81"/>
      <c r="AR926" s="76"/>
      <c r="AS926" s="81"/>
      <c r="AT926" s="76"/>
      <c r="AU926" s="81"/>
      <c r="AV926" s="77"/>
      <c r="AW926" s="81"/>
      <c r="AX926" s="77"/>
      <c r="AY926" s="81"/>
      <c r="AZ926" s="77"/>
      <c r="BA926" s="81"/>
      <c r="BB926" s="77"/>
      <c r="BC926" s="81"/>
      <c r="BD926" s="77"/>
      <c r="BE926" s="81"/>
      <c r="BF926" s="77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77"/>
      <c r="BU926" s="77"/>
      <c r="BV926" s="77"/>
      <c r="BW926" s="77"/>
      <c r="BX926" s="77"/>
      <c r="BY926" s="77"/>
      <c r="BZ926" s="77"/>
      <c r="CA926" s="77"/>
      <c r="CB926" s="77"/>
      <c r="CC926" s="77"/>
      <c r="CD926" s="77"/>
      <c r="CE926" s="77"/>
      <c r="CF926" s="77"/>
      <c r="CG926" s="77"/>
      <c r="CH926" s="77"/>
      <c r="CI926" s="77"/>
      <c r="CJ926" s="77"/>
      <c r="CK926" s="77"/>
      <c r="CL926" s="77"/>
      <c r="CM926" s="77"/>
      <c r="CN926" s="77"/>
      <c r="CO926" s="77"/>
      <c r="CP926" s="77"/>
      <c r="CQ926" s="77"/>
      <c r="CR926" s="77"/>
      <c r="CS926" s="77"/>
      <c r="CT926" s="77"/>
      <c r="CU926" s="77"/>
      <c r="CV926" s="77"/>
      <c r="CW926" s="77"/>
    </row>
    <row r="927" spans="1:101" ht="16.5" x14ac:dyDescent="0.45">
      <c r="A927" s="76"/>
      <c r="B927" s="77"/>
      <c r="C927" s="77"/>
      <c r="D927" s="78"/>
      <c r="E927" s="80"/>
      <c r="F927" s="80"/>
      <c r="G927" s="81"/>
      <c r="H927" s="81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82"/>
      <c r="Z927" s="82"/>
      <c r="AA927" s="82"/>
      <c r="AB927" s="80"/>
      <c r="AC927" s="77"/>
      <c r="AD927" s="77"/>
      <c r="AE927" s="77"/>
      <c r="AF927" s="77"/>
      <c r="AG927" s="77"/>
      <c r="AH927" s="77"/>
      <c r="AI927" s="92"/>
      <c r="AJ927" s="77"/>
      <c r="AK927" s="77"/>
      <c r="AL927" s="77"/>
      <c r="AM927" s="77"/>
      <c r="AN927" s="77"/>
      <c r="AO927" s="77"/>
      <c r="AP927" s="76"/>
      <c r="AQ927" s="81"/>
      <c r="AR927" s="76"/>
      <c r="AS927" s="81"/>
      <c r="AT927" s="76"/>
      <c r="AU927" s="81"/>
      <c r="AV927" s="77"/>
      <c r="AW927" s="81"/>
      <c r="AX927" s="77"/>
      <c r="AY927" s="81"/>
      <c r="AZ927" s="77"/>
      <c r="BA927" s="81"/>
      <c r="BB927" s="77"/>
      <c r="BC927" s="81"/>
      <c r="BD927" s="77"/>
      <c r="BE927" s="81"/>
      <c r="BF927" s="77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77"/>
      <c r="BU927" s="77"/>
      <c r="BV927" s="77"/>
      <c r="BW927" s="77"/>
      <c r="BX927" s="77"/>
      <c r="BY927" s="77"/>
      <c r="BZ927" s="77"/>
      <c r="CA927" s="77"/>
      <c r="CB927" s="77"/>
      <c r="CC927" s="77"/>
      <c r="CD927" s="77"/>
      <c r="CE927" s="77"/>
      <c r="CF927" s="77"/>
      <c r="CG927" s="77"/>
      <c r="CH927" s="77"/>
      <c r="CI927" s="77"/>
      <c r="CJ927" s="77"/>
      <c r="CK927" s="77"/>
      <c r="CL927" s="77"/>
      <c r="CM927" s="77"/>
      <c r="CN927" s="77"/>
      <c r="CO927" s="77"/>
      <c r="CP927" s="77"/>
      <c r="CQ927" s="77"/>
      <c r="CR927" s="77"/>
      <c r="CS927" s="77"/>
      <c r="CT927" s="77"/>
      <c r="CU927" s="77"/>
      <c r="CV927" s="77"/>
      <c r="CW927" s="77"/>
    </row>
    <row r="928" spans="1:101" ht="16.5" x14ac:dyDescent="0.45">
      <c r="A928" s="76"/>
      <c r="B928" s="77"/>
      <c r="C928" s="77"/>
      <c r="D928" s="78"/>
      <c r="E928" s="80"/>
      <c r="F928" s="80"/>
      <c r="G928" s="81"/>
      <c r="H928" s="81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82"/>
      <c r="Z928" s="82"/>
      <c r="AA928" s="82"/>
      <c r="AB928" s="80"/>
      <c r="AC928" s="77"/>
      <c r="AD928" s="77"/>
      <c r="AE928" s="77"/>
      <c r="AF928" s="77"/>
      <c r="AG928" s="77"/>
      <c r="AH928" s="77"/>
      <c r="AI928" s="92"/>
      <c r="AJ928" s="77"/>
      <c r="AK928" s="77"/>
      <c r="AL928" s="77"/>
      <c r="AM928" s="77"/>
      <c r="AN928" s="77"/>
      <c r="AO928" s="77"/>
      <c r="AP928" s="76"/>
      <c r="AQ928" s="81"/>
      <c r="AR928" s="76"/>
      <c r="AS928" s="81"/>
      <c r="AT928" s="76"/>
      <c r="AU928" s="81"/>
      <c r="AV928" s="77"/>
      <c r="AW928" s="81"/>
      <c r="AX928" s="77"/>
      <c r="AY928" s="81"/>
      <c r="AZ928" s="77"/>
      <c r="BA928" s="81"/>
      <c r="BB928" s="77"/>
      <c r="BC928" s="81"/>
      <c r="BD928" s="77"/>
      <c r="BE928" s="81"/>
      <c r="BF928" s="77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77"/>
      <c r="BU928" s="77"/>
      <c r="BV928" s="77"/>
      <c r="BW928" s="77"/>
      <c r="BX928" s="77"/>
      <c r="BY928" s="77"/>
      <c r="BZ928" s="77"/>
      <c r="CA928" s="77"/>
      <c r="CB928" s="77"/>
      <c r="CC928" s="77"/>
      <c r="CD928" s="77"/>
      <c r="CE928" s="77"/>
      <c r="CF928" s="77"/>
      <c r="CG928" s="77"/>
      <c r="CH928" s="77"/>
      <c r="CI928" s="77"/>
      <c r="CJ928" s="77"/>
      <c r="CK928" s="77"/>
      <c r="CL928" s="77"/>
      <c r="CM928" s="77"/>
      <c r="CN928" s="77"/>
      <c r="CO928" s="77"/>
      <c r="CP928" s="77"/>
      <c r="CQ928" s="77"/>
      <c r="CR928" s="77"/>
      <c r="CS928" s="77"/>
      <c r="CT928" s="77"/>
      <c r="CU928" s="77"/>
      <c r="CV928" s="77"/>
      <c r="CW928" s="77"/>
    </row>
    <row r="929" spans="1:101" ht="16.5" x14ac:dyDescent="0.45">
      <c r="A929" s="76"/>
      <c r="B929" s="77"/>
      <c r="C929" s="77"/>
      <c r="D929" s="78"/>
      <c r="E929" s="80"/>
      <c r="F929" s="80"/>
      <c r="G929" s="81"/>
      <c r="H929" s="81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82"/>
      <c r="Z929" s="82"/>
      <c r="AA929" s="82"/>
      <c r="AB929" s="80"/>
      <c r="AC929" s="77"/>
      <c r="AD929" s="77"/>
      <c r="AE929" s="77"/>
      <c r="AF929" s="77"/>
      <c r="AG929" s="77"/>
      <c r="AH929" s="77"/>
      <c r="AI929" s="92"/>
      <c r="AJ929" s="77"/>
      <c r="AK929" s="77"/>
      <c r="AL929" s="77"/>
      <c r="AM929" s="77"/>
      <c r="AN929" s="77"/>
      <c r="AO929" s="77"/>
      <c r="AP929" s="76"/>
      <c r="AQ929" s="81"/>
      <c r="AR929" s="76"/>
      <c r="AS929" s="81"/>
      <c r="AT929" s="76"/>
      <c r="AU929" s="81"/>
      <c r="AV929" s="77"/>
      <c r="AW929" s="81"/>
      <c r="AX929" s="77"/>
      <c r="AY929" s="81"/>
      <c r="AZ929" s="77"/>
      <c r="BA929" s="81"/>
      <c r="BB929" s="77"/>
      <c r="BC929" s="81"/>
      <c r="BD929" s="77"/>
      <c r="BE929" s="81"/>
      <c r="BF929" s="77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77"/>
      <c r="BU929" s="77"/>
      <c r="BV929" s="77"/>
      <c r="BW929" s="77"/>
      <c r="BX929" s="77"/>
      <c r="BY929" s="77"/>
      <c r="BZ929" s="77"/>
      <c r="CA929" s="77"/>
      <c r="CB929" s="77"/>
      <c r="CC929" s="77"/>
      <c r="CD929" s="77"/>
      <c r="CE929" s="77"/>
      <c r="CF929" s="77"/>
      <c r="CG929" s="77"/>
      <c r="CH929" s="77"/>
      <c r="CI929" s="77"/>
      <c r="CJ929" s="77"/>
      <c r="CK929" s="77"/>
      <c r="CL929" s="77"/>
      <c r="CM929" s="77"/>
      <c r="CN929" s="77"/>
      <c r="CO929" s="77"/>
      <c r="CP929" s="77"/>
      <c r="CQ929" s="77"/>
      <c r="CR929" s="77"/>
      <c r="CS929" s="77"/>
      <c r="CT929" s="77"/>
      <c r="CU929" s="77"/>
      <c r="CV929" s="77"/>
      <c r="CW929" s="77"/>
    </row>
    <row r="930" spans="1:101" ht="16.5" x14ac:dyDescent="0.45">
      <c r="A930" s="76"/>
      <c r="B930" s="77"/>
      <c r="C930" s="77"/>
      <c r="D930" s="78"/>
      <c r="E930" s="80"/>
      <c r="F930" s="80"/>
      <c r="G930" s="81"/>
      <c r="H930" s="81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82"/>
      <c r="Z930" s="82"/>
      <c r="AA930" s="82"/>
      <c r="AB930" s="80"/>
      <c r="AC930" s="77"/>
      <c r="AD930" s="77"/>
      <c r="AE930" s="77"/>
      <c r="AF930" s="77"/>
      <c r="AG930" s="77"/>
      <c r="AH930" s="77"/>
      <c r="AI930" s="92"/>
      <c r="AJ930" s="77"/>
      <c r="AK930" s="77"/>
      <c r="AL930" s="77"/>
      <c r="AM930" s="77"/>
      <c r="AN930" s="77"/>
      <c r="AO930" s="77"/>
      <c r="AP930" s="76"/>
      <c r="AQ930" s="81"/>
      <c r="AR930" s="76"/>
      <c r="AS930" s="81"/>
      <c r="AT930" s="76"/>
      <c r="AU930" s="81"/>
      <c r="AV930" s="77"/>
      <c r="AW930" s="81"/>
      <c r="AX930" s="77"/>
      <c r="AY930" s="81"/>
      <c r="AZ930" s="77"/>
      <c r="BA930" s="81"/>
      <c r="BB930" s="77"/>
      <c r="BC930" s="81"/>
      <c r="BD930" s="77"/>
      <c r="BE930" s="81"/>
      <c r="BF930" s="77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77"/>
      <c r="BU930" s="77"/>
      <c r="BV930" s="77"/>
      <c r="BW930" s="77"/>
      <c r="BX930" s="77"/>
      <c r="BY930" s="77"/>
      <c r="BZ930" s="77"/>
      <c r="CA930" s="77"/>
      <c r="CB930" s="77"/>
      <c r="CC930" s="77"/>
      <c r="CD930" s="77"/>
      <c r="CE930" s="77"/>
      <c r="CF930" s="77"/>
      <c r="CG930" s="77"/>
      <c r="CH930" s="77"/>
      <c r="CI930" s="77"/>
      <c r="CJ930" s="77"/>
      <c r="CK930" s="77"/>
      <c r="CL930" s="77"/>
      <c r="CM930" s="77"/>
      <c r="CN930" s="77"/>
      <c r="CO930" s="77"/>
      <c r="CP930" s="77"/>
      <c r="CQ930" s="77"/>
      <c r="CR930" s="77"/>
      <c r="CS930" s="77"/>
      <c r="CT930" s="77"/>
      <c r="CU930" s="77"/>
      <c r="CV930" s="77"/>
      <c r="CW930" s="77"/>
    </row>
    <row r="931" spans="1:101" ht="16.5" x14ac:dyDescent="0.45">
      <c r="A931" s="76"/>
      <c r="B931" s="77"/>
      <c r="C931" s="77"/>
      <c r="D931" s="78"/>
      <c r="E931" s="80"/>
      <c r="F931" s="80"/>
      <c r="G931" s="81"/>
      <c r="H931" s="81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82"/>
      <c r="Z931" s="82"/>
      <c r="AA931" s="82"/>
      <c r="AB931" s="80"/>
      <c r="AC931" s="77"/>
      <c r="AD931" s="77"/>
      <c r="AE931" s="77"/>
      <c r="AF931" s="77"/>
      <c r="AG931" s="77"/>
      <c r="AH931" s="77"/>
      <c r="AI931" s="92"/>
      <c r="AJ931" s="77"/>
      <c r="AK931" s="77"/>
      <c r="AL931" s="77"/>
      <c r="AM931" s="77"/>
      <c r="AN931" s="77"/>
      <c r="AO931" s="77"/>
      <c r="AP931" s="76"/>
      <c r="AQ931" s="81"/>
      <c r="AR931" s="76"/>
      <c r="AS931" s="81"/>
      <c r="AT931" s="76"/>
      <c r="AU931" s="81"/>
      <c r="AV931" s="77"/>
      <c r="AW931" s="81"/>
      <c r="AX931" s="77"/>
      <c r="AY931" s="81"/>
      <c r="AZ931" s="77"/>
      <c r="BA931" s="81"/>
      <c r="BB931" s="77"/>
      <c r="BC931" s="81"/>
      <c r="BD931" s="77"/>
      <c r="BE931" s="81"/>
      <c r="BF931" s="77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77"/>
      <c r="BU931" s="77"/>
      <c r="BV931" s="77"/>
      <c r="BW931" s="77"/>
      <c r="BX931" s="77"/>
      <c r="BY931" s="77"/>
      <c r="BZ931" s="77"/>
      <c r="CA931" s="77"/>
      <c r="CB931" s="77"/>
      <c r="CC931" s="77"/>
      <c r="CD931" s="77"/>
      <c r="CE931" s="77"/>
      <c r="CF931" s="77"/>
      <c r="CG931" s="77"/>
      <c r="CH931" s="77"/>
      <c r="CI931" s="77"/>
      <c r="CJ931" s="77"/>
      <c r="CK931" s="77"/>
      <c r="CL931" s="77"/>
      <c r="CM931" s="77"/>
      <c r="CN931" s="77"/>
      <c r="CO931" s="77"/>
      <c r="CP931" s="77"/>
      <c r="CQ931" s="77"/>
      <c r="CR931" s="77"/>
      <c r="CS931" s="77"/>
      <c r="CT931" s="77"/>
      <c r="CU931" s="77"/>
      <c r="CV931" s="77"/>
      <c r="CW931" s="77"/>
    </row>
    <row r="932" spans="1:101" ht="16.5" x14ac:dyDescent="0.45">
      <c r="A932" s="76"/>
      <c r="B932" s="77"/>
      <c r="C932" s="77"/>
      <c r="D932" s="78"/>
      <c r="E932" s="80"/>
      <c r="F932" s="80"/>
      <c r="G932" s="81"/>
      <c r="H932" s="81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82"/>
      <c r="Z932" s="82"/>
      <c r="AA932" s="82"/>
      <c r="AB932" s="80"/>
      <c r="AC932" s="77"/>
      <c r="AD932" s="77"/>
      <c r="AE932" s="77"/>
      <c r="AF932" s="77"/>
      <c r="AG932" s="77"/>
      <c r="AH932" s="77"/>
      <c r="AI932" s="92"/>
      <c r="AJ932" s="77"/>
      <c r="AK932" s="77"/>
      <c r="AL932" s="77"/>
      <c r="AM932" s="77"/>
      <c r="AN932" s="77"/>
      <c r="AO932" s="77"/>
      <c r="AP932" s="76"/>
      <c r="AQ932" s="81"/>
      <c r="AR932" s="76"/>
      <c r="AS932" s="81"/>
      <c r="AT932" s="76"/>
      <c r="AU932" s="81"/>
      <c r="AV932" s="77"/>
      <c r="AW932" s="81"/>
      <c r="AX932" s="77"/>
      <c r="AY932" s="81"/>
      <c r="AZ932" s="77"/>
      <c r="BA932" s="81"/>
      <c r="BB932" s="77"/>
      <c r="BC932" s="81"/>
      <c r="BD932" s="77"/>
      <c r="BE932" s="81"/>
      <c r="BF932" s="77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77"/>
      <c r="BU932" s="77"/>
      <c r="BV932" s="77"/>
      <c r="BW932" s="77"/>
      <c r="BX932" s="77"/>
      <c r="BY932" s="77"/>
      <c r="BZ932" s="77"/>
      <c r="CA932" s="77"/>
      <c r="CB932" s="77"/>
      <c r="CC932" s="77"/>
      <c r="CD932" s="77"/>
      <c r="CE932" s="77"/>
      <c r="CF932" s="77"/>
      <c r="CG932" s="77"/>
      <c r="CH932" s="77"/>
      <c r="CI932" s="77"/>
      <c r="CJ932" s="77"/>
      <c r="CK932" s="77"/>
      <c r="CL932" s="77"/>
      <c r="CM932" s="77"/>
      <c r="CN932" s="77"/>
      <c r="CO932" s="77"/>
      <c r="CP932" s="77"/>
      <c r="CQ932" s="77"/>
      <c r="CR932" s="77"/>
      <c r="CS932" s="77"/>
      <c r="CT932" s="77"/>
      <c r="CU932" s="77"/>
      <c r="CV932" s="77"/>
      <c r="CW932" s="77"/>
    </row>
    <row r="933" spans="1:101" ht="16.5" x14ac:dyDescent="0.45">
      <c r="A933" s="76"/>
      <c r="B933" s="77"/>
      <c r="C933" s="77"/>
      <c r="D933" s="78"/>
      <c r="E933" s="80"/>
      <c r="F933" s="80"/>
      <c r="G933" s="81"/>
      <c r="H933" s="81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82"/>
      <c r="Z933" s="82"/>
      <c r="AA933" s="82"/>
      <c r="AB933" s="80"/>
      <c r="AC933" s="77"/>
      <c r="AD933" s="77"/>
      <c r="AE933" s="77"/>
      <c r="AF933" s="77"/>
      <c r="AG933" s="77"/>
      <c r="AH933" s="77"/>
      <c r="AI933" s="92"/>
      <c r="AJ933" s="77"/>
      <c r="AK933" s="77"/>
      <c r="AL933" s="77"/>
      <c r="AM933" s="77"/>
      <c r="AN933" s="77"/>
      <c r="AO933" s="77"/>
      <c r="AP933" s="76"/>
      <c r="AQ933" s="81"/>
      <c r="AR933" s="76"/>
      <c r="AS933" s="81"/>
      <c r="AT933" s="76"/>
      <c r="AU933" s="81"/>
      <c r="AV933" s="77"/>
      <c r="AW933" s="81"/>
      <c r="AX933" s="77"/>
      <c r="AY933" s="81"/>
      <c r="AZ933" s="77"/>
      <c r="BA933" s="81"/>
      <c r="BB933" s="77"/>
      <c r="BC933" s="81"/>
      <c r="BD933" s="77"/>
      <c r="BE933" s="81"/>
      <c r="BF933" s="77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77"/>
      <c r="BU933" s="77"/>
      <c r="BV933" s="77"/>
      <c r="BW933" s="77"/>
      <c r="BX933" s="77"/>
      <c r="BY933" s="77"/>
      <c r="BZ933" s="77"/>
      <c r="CA933" s="77"/>
      <c r="CB933" s="77"/>
      <c r="CC933" s="77"/>
      <c r="CD933" s="77"/>
      <c r="CE933" s="77"/>
      <c r="CF933" s="77"/>
      <c r="CG933" s="77"/>
      <c r="CH933" s="77"/>
      <c r="CI933" s="77"/>
      <c r="CJ933" s="77"/>
      <c r="CK933" s="77"/>
      <c r="CL933" s="77"/>
      <c r="CM933" s="77"/>
      <c r="CN933" s="77"/>
      <c r="CO933" s="77"/>
      <c r="CP933" s="77"/>
      <c r="CQ933" s="77"/>
      <c r="CR933" s="77"/>
      <c r="CS933" s="77"/>
      <c r="CT933" s="77"/>
      <c r="CU933" s="77"/>
      <c r="CV933" s="77"/>
      <c r="CW933" s="77"/>
    </row>
    <row r="934" spans="1:101" ht="16.5" x14ac:dyDescent="0.45">
      <c r="A934" s="76"/>
      <c r="B934" s="77"/>
      <c r="C934" s="77"/>
      <c r="D934" s="78"/>
      <c r="E934" s="80"/>
      <c r="F934" s="80"/>
      <c r="G934" s="81"/>
      <c r="H934" s="81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82"/>
      <c r="Z934" s="82"/>
      <c r="AA934" s="82"/>
      <c r="AB934" s="80"/>
      <c r="AC934" s="77"/>
      <c r="AD934" s="77"/>
      <c r="AE934" s="77"/>
      <c r="AF934" s="77"/>
      <c r="AG934" s="77"/>
      <c r="AH934" s="77"/>
      <c r="AI934" s="92"/>
      <c r="AJ934" s="77"/>
      <c r="AK934" s="77"/>
      <c r="AL934" s="77"/>
      <c r="AM934" s="77"/>
      <c r="AN934" s="77"/>
      <c r="AO934" s="77"/>
      <c r="AP934" s="76"/>
      <c r="AQ934" s="81"/>
      <c r="AR934" s="76"/>
      <c r="AS934" s="81"/>
      <c r="AT934" s="76"/>
      <c r="AU934" s="81"/>
      <c r="AV934" s="77"/>
      <c r="AW934" s="81"/>
      <c r="AX934" s="77"/>
      <c r="AY934" s="81"/>
      <c r="AZ934" s="77"/>
      <c r="BA934" s="81"/>
      <c r="BB934" s="77"/>
      <c r="BC934" s="81"/>
      <c r="BD934" s="77"/>
      <c r="BE934" s="81"/>
      <c r="BF934" s="77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77"/>
      <c r="BU934" s="77"/>
      <c r="BV934" s="77"/>
      <c r="BW934" s="77"/>
      <c r="BX934" s="77"/>
      <c r="BY934" s="77"/>
      <c r="BZ934" s="77"/>
      <c r="CA934" s="77"/>
      <c r="CB934" s="77"/>
      <c r="CC934" s="77"/>
      <c r="CD934" s="77"/>
      <c r="CE934" s="77"/>
      <c r="CF934" s="77"/>
      <c r="CG934" s="77"/>
      <c r="CH934" s="77"/>
      <c r="CI934" s="77"/>
      <c r="CJ934" s="77"/>
      <c r="CK934" s="77"/>
      <c r="CL934" s="77"/>
      <c r="CM934" s="77"/>
      <c r="CN934" s="77"/>
      <c r="CO934" s="77"/>
      <c r="CP934" s="77"/>
      <c r="CQ934" s="77"/>
      <c r="CR934" s="77"/>
      <c r="CS934" s="77"/>
      <c r="CT934" s="77"/>
      <c r="CU934" s="77"/>
      <c r="CV934" s="77"/>
      <c r="CW934" s="77"/>
    </row>
    <row r="935" spans="1:101" ht="16.5" x14ac:dyDescent="0.45">
      <c r="A935" s="76"/>
      <c r="B935" s="77"/>
      <c r="C935" s="77"/>
      <c r="D935" s="78"/>
      <c r="E935" s="80"/>
      <c r="F935" s="80"/>
      <c r="G935" s="81"/>
      <c r="H935" s="81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82"/>
      <c r="Z935" s="82"/>
      <c r="AA935" s="82"/>
      <c r="AB935" s="80"/>
      <c r="AC935" s="77"/>
      <c r="AD935" s="77"/>
      <c r="AE935" s="77"/>
      <c r="AF935" s="77"/>
      <c r="AG935" s="77"/>
      <c r="AH935" s="77"/>
      <c r="AI935" s="92"/>
      <c r="AJ935" s="77"/>
      <c r="AK935" s="77"/>
      <c r="AL935" s="77"/>
      <c r="AM935" s="77"/>
      <c r="AN935" s="77"/>
      <c r="AO935" s="77"/>
      <c r="AP935" s="76"/>
      <c r="AQ935" s="81"/>
      <c r="AR935" s="76"/>
      <c r="AS935" s="81"/>
      <c r="AT935" s="76"/>
      <c r="AU935" s="81"/>
      <c r="AV935" s="77"/>
      <c r="AW935" s="81"/>
      <c r="AX935" s="77"/>
      <c r="AY935" s="81"/>
      <c r="AZ935" s="77"/>
      <c r="BA935" s="81"/>
      <c r="BB935" s="77"/>
      <c r="BC935" s="81"/>
      <c r="BD935" s="77"/>
      <c r="BE935" s="81"/>
      <c r="BF935" s="77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77"/>
      <c r="BU935" s="77"/>
      <c r="BV935" s="77"/>
      <c r="BW935" s="77"/>
      <c r="BX935" s="77"/>
      <c r="BY935" s="77"/>
      <c r="BZ935" s="77"/>
      <c r="CA935" s="77"/>
      <c r="CB935" s="77"/>
      <c r="CC935" s="77"/>
      <c r="CD935" s="77"/>
      <c r="CE935" s="77"/>
      <c r="CF935" s="77"/>
      <c r="CG935" s="77"/>
      <c r="CH935" s="77"/>
      <c r="CI935" s="77"/>
      <c r="CJ935" s="77"/>
      <c r="CK935" s="77"/>
      <c r="CL935" s="77"/>
      <c r="CM935" s="77"/>
      <c r="CN935" s="77"/>
      <c r="CO935" s="77"/>
      <c r="CP935" s="77"/>
      <c r="CQ935" s="77"/>
      <c r="CR935" s="77"/>
      <c r="CS935" s="77"/>
      <c r="CT935" s="77"/>
      <c r="CU935" s="77"/>
      <c r="CV935" s="77"/>
      <c r="CW935" s="77"/>
    </row>
    <row r="936" spans="1:101" ht="16.5" x14ac:dyDescent="0.45">
      <c r="A936" s="76"/>
      <c r="B936" s="77"/>
      <c r="C936" s="77"/>
      <c r="D936" s="78"/>
      <c r="E936" s="80"/>
      <c r="F936" s="80"/>
      <c r="G936" s="81"/>
      <c r="H936" s="81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82"/>
      <c r="Z936" s="82"/>
      <c r="AA936" s="82"/>
      <c r="AB936" s="80"/>
      <c r="AC936" s="77"/>
      <c r="AD936" s="77"/>
      <c r="AE936" s="77"/>
      <c r="AF936" s="77"/>
      <c r="AG936" s="77"/>
      <c r="AH936" s="77"/>
      <c r="AI936" s="92"/>
      <c r="AJ936" s="77"/>
      <c r="AK936" s="77"/>
      <c r="AL936" s="77"/>
      <c r="AM936" s="77"/>
      <c r="AN936" s="77"/>
      <c r="AO936" s="77"/>
      <c r="AP936" s="76"/>
      <c r="AQ936" s="81"/>
      <c r="AR936" s="76"/>
      <c r="AS936" s="81"/>
      <c r="AT936" s="76"/>
      <c r="AU936" s="81"/>
      <c r="AV936" s="77"/>
      <c r="AW936" s="81"/>
      <c r="AX936" s="77"/>
      <c r="AY936" s="81"/>
      <c r="AZ936" s="77"/>
      <c r="BA936" s="81"/>
      <c r="BB936" s="77"/>
      <c r="BC936" s="81"/>
      <c r="BD936" s="77"/>
      <c r="BE936" s="81"/>
      <c r="BF936" s="77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77"/>
      <c r="BU936" s="77"/>
      <c r="BV936" s="77"/>
      <c r="BW936" s="77"/>
      <c r="BX936" s="77"/>
      <c r="BY936" s="77"/>
      <c r="BZ936" s="77"/>
      <c r="CA936" s="77"/>
      <c r="CB936" s="77"/>
      <c r="CC936" s="77"/>
      <c r="CD936" s="77"/>
      <c r="CE936" s="77"/>
      <c r="CF936" s="77"/>
      <c r="CG936" s="77"/>
      <c r="CH936" s="77"/>
      <c r="CI936" s="77"/>
      <c r="CJ936" s="77"/>
      <c r="CK936" s="77"/>
      <c r="CL936" s="77"/>
      <c r="CM936" s="77"/>
      <c r="CN936" s="77"/>
      <c r="CO936" s="77"/>
      <c r="CP936" s="77"/>
      <c r="CQ936" s="77"/>
      <c r="CR936" s="77"/>
      <c r="CS936" s="77"/>
      <c r="CT936" s="77"/>
      <c r="CU936" s="77"/>
      <c r="CV936" s="77"/>
      <c r="CW936" s="77"/>
    </row>
    <row r="937" spans="1:101" ht="16.5" x14ac:dyDescent="0.45">
      <c r="A937" s="76"/>
      <c r="B937" s="77"/>
      <c r="C937" s="77"/>
      <c r="D937" s="78"/>
      <c r="E937" s="80"/>
      <c r="F937" s="80"/>
      <c r="G937" s="81"/>
      <c r="H937" s="81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82"/>
      <c r="Z937" s="82"/>
      <c r="AA937" s="82"/>
      <c r="AB937" s="80"/>
      <c r="AC937" s="77"/>
      <c r="AD937" s="77"/>
      <c r="AE937" s="77"/>
      <c r="AF937" s="77"/>
      <c r="AG937" s="77"/>
      <c r="AH937" s="77"/>
      <c r="AI937" s="92"/>
      <c r="AJ937" s="77"/>
      <c r="AK937" s="77"/>
      <c r="AL937" s="77"/>
      <c r="AM937" s="77"/>
      <c r="AN937" s="77"/>
      <c r="AO937" s="77"/>
      <c r="AP937" s="76"/>
      <c r="AQ937" s="81"/>
      <c r="AR937" s="76"/>
      <c r="AS937" s="81"/>
      <c r="AT937" s="76"/>
      <c r="AU937" s="81"/>
      <c r="AV937" s="77"/>
      <c r="AW937" s="81"/>
      <c r="AX937" s="77"/>
      <c r="AY937" s="81"/>
      <c r="AZ937" s="77"/>
      <c r="BA937" s="81"/>
      <c r="BB937" s="77"/>
      <c r="BC937" s="81"/>
      <c r="BD937" s="77"/>
      <c r="BE937" s="81"/>
      <c r="BF937" s="77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77"/>
      <c r="BU937" s="77"/>
      <c r="BV937" s="77"/>
      <c r="BW937" s="77"/>
      <c r="BX937" s="77"/>
      <c r="BY937" s="77"/>
      <c r="BZ937" s="77"/>
      <c r="CA937" s="77"/>
      <c r="CB937" s="77"/>
      <c r="CC937" s="77"/>
      <c r="CD937" s="77"/>
      <c r="CE937" s="77"/>
      <c r="CF937" s="77"/>
      <c r="CG937" s="77"/>
      <c r="CH937" s="77"/>
      <c r="CI937" s="77"/>
      <c r="CJ937" s="77"/>
      <c r="CK937" s="77"/>
      <c r="CL937" s="77"/>
      <c r="CM937" s="77"/>
      <c r="CN937" s="77"/>
      <c r="CO937" s="77"/>
      <c r="CP937" s="77"/>
      <c r="CQ937" s="77"/>
      <c r="CR937" s="77"/>
      <c r="CS937" s="77"/>
      <c r="CT937" s="77"/>
      <c r="CU937" s="77"/>
      <c r="CV937" s="77"/>
      <c r="CW937" s="77"/>
    </row>
    <row r="938" spans="1:101" ht="16.5" x14ac:dyDescent="0.45">
      <c r="A938" s="76"/>
      <c r="B938" s="77"/>
      <c r="C938" s="77"/>
      <c r="D938" s="78"/>
      <c r="E938" s="80"/>
      <c r="F938" s="80"/>
      <c r="G938" s="81"/>
      <c r="H938" s="81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82"/>
      <c r="Z938" s="82"/>
      <c r="AA938" s="82"/>
      <c r="AB938" s="80"/>
      <c r="AC938" s="77"/>
      <c r="AD938" s="77"/>
      <c r="AE938" s="77"/>
      <c r="AF938" s="77"/>
      <c r="AG938" s="77"/>
      <c r="AH938" s="77"/>
      <c r="AI938" s="92"/>
      <c r="AJ938" s="77"/>
      <c r="AK938" s="77"/>
      <c r="AL938" s="77"/>
      <c r="AM938" s="77"/>
      <c r="AN938" s="77"/>
      <c r="AO938" s="77"/>
      <c r="AP938" s="76"/>
      <c r="AQ938" s="81"/>
      <c r="AR938" s="76"/>
      <c r="AS938" s="81"/>
      <c r="AT938" s="76"/>
      <c r="AU938" s="81"/>
      <c r="AV938" s="77"/>
      <c r="AW938" s="81"/>
      <c r="AX938" s="77"/>
      <c r="AY938" s="81"/>
      <c r="AZ938" s="77"/>
      <c r="BA938" s="81"/>
      <c r="BB938" s="77"/>
      <c r="BC938" s="81"/>
      <c r="BD938" s="77"/>
      <c r="BE938" s="81"/>
      <c r="BF938" s="77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77"/>
      <c r="BU938" s="77"/>
      <c r="BV938" s="77"/>
      <c r="BW938" s="77"/>
      <c r="BX938" s="77"/>
      <c r="BY938" s="77"/>
      <c r="BZ938" s="77"/>
      <c r="CA938" s="77"/>
      <c r="CB938" s="77"/>
      <c r="CC938" s="77"/>
      <c r="CD938" s="77"/>
      <c r="CE938" s="77"/>
      <c r="CF938" s="77"/>
      <c r="CG938" s="77"/>
      <c r="CH938" s="77"/>
      <c r="CI938" s="77"/>
      <c r="CJ938" s="77"/>
      <c r="CK938" s="77"/>
      <c r="CL938" s="77"/>
      <c r="CM938" s="77"/>
      <c r="CN938" s="77"/>
      <c r="CO938" s="77"/>
      <c r="CP938" s="77"/>
      <c r="CQ938" s="77"/>
      <c r="CR938" s="77"/>
      <c r="CS938" s="77"/>
      <c r="CT938" s="77"/>
      <c r="CU938" s="77"/>
      <c r="CV938" s="77"/>
      <c r="CW938" s="77"/>
    </row>
    <row r="939" spans="1:101" ht="16.5" x14ac:dyDescent="0.45">
      <c r="A939" s="76"/>
      <c r="B939" s="77"/>
      <c r="C939" s="77"/>
      <c r="D939" s="78"/>
      <c r="E939" s="80"/>
      <c r="F939" s="80"/>
      <c r="G939" s="81"/>
      <c r="H939" s="81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82"/>
      <c r="Z939" s="82"/>
      <c r="AA939" s="82"/>
      <c r="AB939" s="80"/>
      <c r="AC939" s="77"/>
      <c r="AD939" s="77"/>
      <c r="AE939" s="77"/>
      <c r="AF939" s="77"/>
      <c r="AG939" s="77"/>
      <c r="AH939" s="77"/>
      <c r="AI939" s="92"/>
      <c r="AJ939" s="77"/>
      <c r="AK939" s="77"/>
      <c r="AL939" s="77"/>
      <c r="AM939" s="77"/>
      <c r="AN939" s="77"/>
      <c r="AO939" s="77"/>
      <c r="AP939" s="76"/>
      <c r="AQ939" s="81"/>
      <c r="AR939" s="76"/>
      <c r="AS939" s="81"/>
      <c r="AT939" s="76"/>
      <c r="AU939" s="81"/>
      <c r="AV939" s="77"/>
      <c r="AW939" s="81"/>
      <c r="AX939" s="77"/>
      <c r="AY939" s="81"/>
      <c r="AZ939" s="77"/>
      <c r="BA939" s="81"/>
      <c r="BB939" s="77"/>
      <c r="BC939" s="81"/>
      <c r="BD939" s="77"/>
      <c r="BE939" s="81"/>
      <c r="BF939" s="77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77"/>
      <c r="BU939" s="77"/>
      <c r="BV939" s="77"/>
      <c r="BW939" s="77"/>
      <c r="BX939" s="77"/>
      <c r="BY939" s="77"/>
      <c r="BZ939" s="77"/>
      <c r="CA939" s="77"/>
      <c r="CB939" s="77"/>
      <c r="CC939" s="77"/>
      <c r="CD939" s="77"/>
      <c r="CE939" s="77"/>
      <c r="CF939" s="77"/>
      <c r="CG939" s="77"/>
      <c r="CH939" s="77"/>
      <c r="CI939" s="77"/>
      <c r="CJ939" s="77"/>
      <c r="CK939" s="77"/>
      <c r="CL939" s="77"/>
      <c r="CM939" s="77"/>
      <c r="CN939" s="77"/>
      <c r="CO939" s="77"/>
      <c r="CP939" s="77"/>
      <c r="CQ939" s="77"/>
      <c r="CR939" s="77"/>
      <c r="CS939" s="77"/>
      <c r="CT939" s="77"/>
      <c r="CU939" s="77"/>
      <c r="CV939" s="77"/>
      <c r="CW939" s="77"/>
    </row>
    <row r="940" spans="1:101" ht="16.5" x14ac:dyDescent="0.45">
      <c r="A940" s="76"/>
      <c r="B940" s="77"/>
      <c r="C940" s="77"/>
      <c r="D940" s="78"/>
      <c r="E940" s="80"/>
      <c r="F940" s="80"/>
      <c r="G940" s="81"/>
      <c r="H940" s="81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82"/>
      <c r="Z940" s="82"/>
      <c r="AA940" s="82"/>
      <c r="AB940" s="80"/>
      <c r="AC940" s="77"/>
      <c r="AD940" s="77"/>
      <c r="AE940" s="77"/>
      <c r="AF940" s="77"/>
      <c r="AG940" s="77"/>
      <c r="AH940" s="77"/>
      <c r="AI940" s="92"/>
      <c r="AJ940" s="77"/>
      <c r="AK940" s="77"/>
      <c r="AL940" s="77"/>
      <c r="AM940" s="77"/>
      <c r="AN940" s="77"/>
      <c r="AO940" s="77"/>
      <c r="AP940" s="76"/>
      <c r="AQ940" s="81"/>
      <c r="AR940" s="76"/>
      <c r="AS940" s="81"/>
      <c r="AT940" s="76"/>
      <c r="AU940" s="81"/>
      <c r="AV940" s="77"/>
      <c r="AW940" s="81"/>
      <c r="AX940" s="77"/>
      <c r="AY940" s="81"/>
      <c r="AZ940" s="77"/>
      <c r="BA940" s="81"/>
      <c r="BB940" s="77"/>
      <c r="BC940" s="81"/>
      <c r="BD940" s="77"/>
      <c r="BE940" s="81"/>
      <c r="BF940" s="77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77"/>
      <c r="BU940" s="77"/>
      <c r="BV940" s="77"/>
      <c r="BW940" s="77"/>
      <c r="BX940" s="77"/>
      <c r="BY940" s="77"/>
      <c r="BZ940" s="77"/>
      <c r="CA940" s="77"/>
      <c r="CB940" s="77"/>
      <c r="CC940" s="77"/>
      <c r="CD940" s="77"/>
      <c r="CE940" s="77"/>
      <c r="CF940" s="77"/>
      <c r="CG940" s="77"/>
      <c r="CH940" s="77"/>
      <c r="CI940" s="77"/>
      <c r="CJ940" s="77"/>
      <c r="CK940" s="77"/>
      <c r="CL940" s="77"/>
      <c r="CM940" s="77"/>
      <c r="CN940" s="77"/>
      <c r="CO940" s="77"/>
      <c r="CP940" s="77"/>
      <c r="CQ940" s="77"/>
      <c r="CR940" s="77"/>
      <c r="CS940" s="77"/>
      <c r="CT940" s="77"/>
      <c r="CU940" s="77"/>
      <c r="CV940" s="77"/>
      <c r="CW940" s="77"/>
    </row>
    <row r="941" spans="1:101" ht="16.5" x14ac:dyDescent="0.45">
      <c r="A941" s="76"/>
      <c r="B941" s="77"/>
      <c r="C941" s="77"/>
      <c r="D941" s="78"/>
      <c r="E941" s="80"/>
      <c r="F941" s="80"/>
      <c r="G941" s="81"/>
      <c r="H941" s="81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82"/>
      <c r="Z941" s="82"/>
      <c r="AA941" s="82"/>
      <c r="AB941" s="80"/>
      <c r="AC941" s="77"/>
      <c r="AD941" s="77"/>
      <c r="AE941" s="77"/>
      <c r="AF941" s="77"/>
      <c r="AG941" s="77"/>
      <c r="AH941" s="77"/>
      <c r="AI941" s="92"/>
      <c r="AJ941" s="77"/>
      <c r="AK941" s="77"/>
      <c r="AL941" s="77"/>
      <c r="AM941" s="77"/>
      <c r="AN941" s="77"/>
      <c r="AO941" s="77"/>
      <c r="AP941" s="76"/>
      <c r="AQ941" s="81"/>
      <c r="AR941" s="76"/>
      <c r="AS941" s="81"/>
      <c r="AT941" s="76"/>
      <c r="AU941" s="81"/>
      <c r="AV941" s="77"/>
      <c r="AW941" s="81"/>
      <c r="AX941" s="77"/>
      <c r="AY941" s="81"/>
      <c r="AZ941" s="77"/>
      <c r="BA941" s="81"/>
      <c r="BB941" s="77"/>
      <c r="BC941" s="81"/>
      <c r="BD941" s="77"/>
      <c r="BE941" s="81"/>
      <c r="BF941" s="77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77"/>
      <c r="BU941" s="77"/>
      <c r="BV941" s="77"/>
      <c r="BW941" s="77"/>
      <c r="BX941" s="77"/>
      <c r="BY941" s="77"/>
      <c r="BZ941" s="77"/>
      <c r="CA941" s="77"/>
      <c r="CB941" s="77"/>
      <c r="CC941" s="77"/>
      <c r="CD941" s="77"/>
      <c r="CE941" s="77"/>
      <c r="CF941" s="77"/>
      <c r="CG941" s="77"/>
      <c r="CH941" s="77"/>
      <c r="CI941" s="77"/>
      <c r="CJ941" s="77"/>
      <c r="CK941" s="77"/>
      <c r="CL941" s="77"/>
      <c r="CM941" s="77"/>
      <c r="CN941" s="77"/>
      <c r="CO941" s="77"/>
      <c r="CP941" s="77"/>
      <c r="CQ941" s="77"/>
      <c r="CR941" s="77"/>
      <c r="CS941" s="77"/>
      <c r="CT941" s="77"/>
      <c r="CU941" s="77"/>
      <c r="CV941" s="77"/>
      <c r="CW941" s="77"/>
    </row>
    <row r="942" spans="1:101" ht="16.5" x14ac:dyDescent="0.45">
      <c r="A942" s="76"/>
      <c r="B942" s="77"/>
      <c r="C942" s="77"/>
      <c r="D942" s="78"/>
      <c r="E942" s="80"/>
      <c r="F942" s="80"/>
      <c r="G942" s="81"/>
      <c r="H942" s="81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82"/>
      <c r="Z942" s="82"/>
      <c r="AA942" s="82"/>
      <c r="AB942" s="80"/>
      <c r="AC942" s="77"/>
      <c r="AD942" s="77"/>
      <c r="AE942" s="77"/>
      <c r="AF942" s="77"/>
      <c r="AG942" s="77"/>
      <c r="AH942" s="77"/>
      <c r="AI942" s="92"/>
      <c r="AJ942" s="77"/>
      <c r="AK942" s="77"/>
      <c r="AL942" s="77"/>
      <c r="AM942" s="77"/>
      <c r="AN942" s="77"/>
      <c r="AO942" s="77"/>
      <c r="AP942" s="76"/>
      <c r="AQ942" s="81"/>
      <c r="AR942" s="76"/>
      <c r="AS942" s="81"/>
      <c r="AT942" s="76"/>
      <c r="AU942" s="81"/>
      <c r="AV942" s="77"/>
      <c r="AW942" s="81"/>
      <c r="AX942" s="77"/>
      <c r="AY942" s="81"/>
      <c r="AZ942" s="77"/>
      <c r="BA942" s="81"/>
      <c r="BB942" s="77"/>
      <c r="BC942" s="81"/>
      <c r="BD942" s="77"/>
      <c r="BE942" s="81"/>
      <c r="BF942" s="77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77"/>
      <c r="BU942" s="77"/>
      <c r="BV942" s="77"/>
      <c r="BW942" s="77"/>
      <c r="BX942" s="77"/>
      <c r="BY942" s="77"/>
      <c r="BZ942" s="77"/>
      <c r="CA942" s="77"/>
      <c r="CB942" s="77"/>
      <c r="CC942" s="77"/>
      <c r="CD942" s="77"/>
      <c r="CE942" s="77"/>
      <c r="CF942" s="77"/>
      <c r="CG942" s="77"/>
      <c r="CH942" s="77"/>
      <c r="CI942" s="77"/>
      <c r="CJ942" s="77"/>
      <c r="CK942" s="77"/>
      <c r="CL942" s="77"/>
      <c r="CM942" s="77"/>
      <c r="CN942" s="77"/>
      <c r="CO942" s="77"/>
      <c r="CP942" s="77"/>
      <c r="CQ942" s="77"/>
      <c r="CR942" s="77"/>
      <c r="CS942" s="77"/>
      <c r="CT942" s="77"/>
      <c r="CU942" s="77"/>
      <c r="CV942" s="77"/>
      <c r="CW942" s="77"/>
    </row>
    <row r="943" spans="1:101" ht="16.5" x14ac:dyDescent="0.45">
      <c r="A943" s="76"/>
      <c r="B943" s="77"/>
      <c r="C943" s="77"/>
      <c r="D943" s="78"/>
      <c r="E943" s="80"/>
      <c r="F943" s="80"/>
      <c r="G943" s="81"/>
      <c r="H943" s="81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82"/>
      <c r="Z943" s="82"/>
      <c r="AA943" s="82"/>
      <c r="AB943" s="80"/>
      <c r="AC943" s="77"/>
      <c r="AD943" s="77"/>
      <c r="AE943" s="77"/>
      <c r="AF943" s="77"/>
      <c r="AG943" s="77"/>
      <c r="AH943" s="77"/>
      <c r="AI943" s="92"/>
      <c r="AJ943" s="77"/>
      <c r="AK943" s="77"/>
      <c r="AL943" s="77"/>
      <c r="AM943" s="77"/>
      <c r="AN943" s="77"/>
      <c r="AO943" s="77"/>
      <c r="AP943" s="76"/>
      <c r="AQ943" s="81"/>
      <c r="AR943" s="76"/>
      <c r="AS943" s="81"/>
      <c r="AT943" s="76"/>
      <c r="AU943" s="81"/>
      <c r="AV943" s="77"/>
      <c r="AW943" s="81"/>
      <c r="AX943" s="77"/>
      <c r="AY943" s="81"/>
      <c r="AZ943" s="77"/>
      <c r="BA943" s="81"/>
      <c r="BB943" s="77"/>
      <c r="BC943" s="81"/>
      <c r="BD943" s="77"/>
      <c r="BE943" s="81"/>
      <c r="BF943" s="77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77"/>
      <c r="BU943" s="77"/>
      <c r="BV943" s="77"/>
      <c r="BW943" s="77"/>
      <c r="BX943" s="77"/>
      <c r="BY943" s="77"/>
      <c r="BZ943" s="77"/>
      <c r="CA943" s="77"/>
      <c r="CB943" s="77"/>
      <c r="CC943" s="77"/>
      <c r="CD943" s="77"/>
      <c r="CE943" s="77"/>
      <c r="CF943" s="77"/>
      <c r="CG943" s="77"/>
      <c r="CH943" s="77"/>
      <c r="CI943" s="77"/>
      <c r="CJ943" s="77"/>
      <c r="CK943" s="77"/>
      <c r="CL943" s="77"/>
      <c r="CM943" s="77"/>
      <c r="CN943" s="77"/>
      <c r="CO943" s="77"/>
      <c r="CP943" s="77"/>
      <c r="CQ943" s="77"/>
      <c r="CR943" s="77"/>
      <c r="CS943" s="77"/>
      <c r="CT943" s="77"/>
      <c r="CU943" s="77"/>
      <c r="CV943" s="77"/>
      <c r="CW943" s="77"/>
    </row>
    <row r="944" spans="1:101" ht="16.5" x14ac:dyDescent="0.45">
      <c r="A944" s="76"/>
      <c r="B944" s="77"/>
      <c r="C944" s="77"/>
      <c r="D944" s="78"/>
      <c r="E944" s="80"/>
      <c r="F944" s="80"/>
      <c r="G944" s="81"/>
      <c r="H944" s="81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82"/>
      <c r="Z944" s="82"/>
      <c r="AA944" s="82"/>
      <c r="AB944" s="80"/>
      <c r="AC944" s="77"/>
      <c r="AD944" s="77"/>
      <c r="AE944" s="77"/>
      <c r="AF944" s="77"/>
      <c r="AG944" s="77"/>
      <c r="AH944" s="77"/>
      <c r="AI944" s="92"/>
      <c r="AJ944" s="77"/>
      <c r="AK944" s="77"/>
      <c r="AL944" s="77"/>
      <c r="AM944" s="77"/>
      <c r="AN944" s="77"/>
      <c r="AO944" s="77"/>
      <c r="AP944" s="76"/>
      <c r="AQ944" s="81"/>
      <c r="AR944" s="76"/>
      <c r="AS944" s="81"/>
      <c r="AT944" s="76"/>
      <c r="AU944" s="81"/>
      <c r="AV944" s="77"/>
      <c r="AW944" s="81"/>
      <c r="AX944" s="77"/>
      <c r="AY944" s="81"/>
      <c r="AZ944" s="77"/>
      <c r="BA944" s="81"/>
      <c r="BB944" s="77"/>
      <c r="BC944" s="81"/>
      <c r="BD944" s="77"/>
      <c r="BE944" s="81"/>
      <c r="BF944" s="77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77"/>
      <c r="BU944" s="77"/>
      <c r="BV944" s="77"/>
      <c r="BW944" s="77"/>
      <c r="BX944" s="77"/>
      <c r="BY944" s="77"/>
      <c r="BZ944" s="77"/>
      <c r="CA944" s="77"/>
      <c r="CB944" s="77"/>
      <c r="CC944" s="77"/>
      <c r="CD944" s="77"/>
      <c r="CE944" s="77"/>
      <c r="CF944" s="77"/>
      <c r="CG944" s="77"/>
      <c r="CH944" s="77"/>
      <c r="CI944" s="77"/>
      <c r="CJ944" s="77"/>
      <c r="CK944" s="77"/>
      <c r="CL944" s="77"/>
      <c r="CM944" s="77"/>
      <c r="CN944" s="77"/>
      <c r="CO944" s="77"/>
      <c r="CP944" s="77"/>
      <c r="CQ944" s="77"/>
      <c r="CR944" s="77"/>
      <c r="CS944" s="77"/>
      <c r="CT944" s="77"/>
      <c r="CU944" s="77"/>
      <c r="CV944" s="77"/>
      <c r="CW944" s="77"/>
    </row>
    <row r="945" spans="1:101" ht="16.5" x14ac:dyDescent="0.45">
      <c r="A945" s="76"/>
      <c r="B945" s="77"/>
      <c r="C945" s="77"/>
      <c r="D945" s="78"/>
      <c r="E945" s="80"/>
      <c r="F945" s="80"/>
      <c r="G945" s="81"/>
      <c r="H945" s="81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82"/>
      <c r="Z945" s="82"/>
      <c r="AA945" s="82"/>
      <c r="AB945" s="80"/>
      <c r="AC945" s="77"/>
      <c r="AD945" s="77"/>
      <c r="AE945" s="77"/>
      <c r="AF945" s="77"/>
      <c r="AG945" s="77"/>
      <c r="AH945" s="77"/>
      <c r="AI945" s="92"/>
      <c r="AJ945" s="77"/>
      <c r="AK945" s="77"/>
      <c r="AL945" s="77"/>
      <c r="AM945" s="77"/>
      <c r="AN945" s="77"/>
      <c r="AO945" s="77"/>
      <c r="AP945" s="76"/>
      <c r="AQ945" s="81"/>
      <c r="AR945" s="76"/>
      <c r="AS945" s="81"/>
      <c r="AT945" s="76"/>
      <c r="AU945" s="81"/>
      <c r="AV945" s="77"/>
      <c r="AW945" s="81"/>
      <c r="AX945" s="77"/>
      <c r="AY945" s="81"/>
      <c r="AZ945" s="77"/>
      <c r="BA945" s="81"/>
      <c r="BB945" s="77"/>
      <c r="BC945" s="81"/>
      <c r="BD945" s="77"/>
      <c r="BE945" s="81"/>
      <c r="BF945" s="77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77"/>
      <c r="BU945" s="77"/>
      <c r="BV945" s="77"/>
      <c r="BW945" s="77"/>
      <c r="BX945" s="77"/>
      <c r="BY945" s="77"/>
      <c r="BZ945" s="77"/>
      <c r="CA945" s="77"/>
      <c r="CB945" s="77"/>
      <c r="CC945" s="77"/>
      <c r="CD945" s="77"/>
      <c r="CE945" s="77"/>
      <c r="CF945" s="77"/>
      <c r="CG945" s="77"/>
      <c r="CH945" s="77"/>
      <c r="CI945" s="77"/>
      <c r="CJ945" s="77"/>
      <c r="CK945" s="77"/>
      <c r="CL945" s="77"/>
      <c r="CM945" s="77"/>
      <c r="CN945" s="77"/>
      <c r="CO945" s="77"/>
      <c r="CP945" s="77"/>
      <c r="CQ945" s="77"/>
      <c r="CR945" s="77"/>
      <c r="CS945" s="77"/>
      <c r="CT945" s="77"/>
      <c r="CU945" s="77"/>
      <c r="CV945" s="77"/>
      <c r="CW945" s="77"/>
    </row>
    <row r="946" spans="1:101" ht="16.5" x14ac:dyDescent="0.45">
      <c r="A946" s="76"/>
      <c r="B946" s="77"/>
      <c r="C946" s="77"/>
      <c r="D946" s="78"/>
      <c r="E946" s="80"/>
      <c r="F946" s="80"/>
      <c r="G946" s="81"/>
      <c r="H946" s="81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82"/>
      <c r="Z946" s="82"/>
      <c r="AA946" s="82"/>
      <c r="AB946" s="80"/>
      <c r="AC946" s="77"/>
      <c r="AD946" s="77"/>
      <c r="AE946" s="77"/>
      <c r="AF946" s="77"/>
      <c r="AG946" s="77"/>
      <c r="AH946" s="77"/>
      <c r="AI946" s="92"/>
      <c r="AJ946" s="77"/>
      <c r="AK946" s="77"/>
      <c r="AL946" s="77"/>
      <c r="AM946" s="77"/>
      <c r="AN946" s="77"/>
      <c r="AO946" s="77"/>
      <c r="AP946" s="76"/>
      <c r="AQ946" s="81"/>
      <c r="AR946" s="76"/>
      <c r="AS946" s="81"/>
      <c r="AT946" s="76"/>
      <c r="AU946" s="81"/>
      <c r="AV946" s="77"/>
      <c r="AW946" s="81"/>
      <c r="AX946" s="77"/>
      <c r="AY946" s="81"/>
      <c r="AZ946" s="77"/>
      <c r="BA946" s="81"/>
      <c r="BB946" s="77"/>
      <c r="BC946" s="81"/>
      <c r="BD946" s="77"/>
      <c r="BE946" s="81"/>
      <c r="BF946" s="77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77"/>
      <c r="BU946" s="77"/>
      <c r="BV946" s="77"/>
      <c r="BW946" s="77"/>
      <c r="BX946" s="77"/>
      <c r="BY946" s="77"/>
      <c r="BZ946" s="77"/>
      <c r="CA946" s="77"/>
      <c r="CB946" s="77"/>
      <c r="CC946" s="77"/>
      <c r="CD946" s="77"/>
      <c r="CE946" s="77"/>
      <c r="CF946" s="77"/>
      <c r="CG946" s="77"/>
      <c r="CH946" s="77"/>
      <c r="CI946" s="77"/>
      <c r="CJ946" s="77"/>
      <c r="CK946" s="77"/>
      <c r="CL946" s="77"/>
      <c r="CM946" s="77"/>
      <c r="CN946" s="77"/>
      <c r="CO946" s="77"/>
      <c r="CP946" s="77"/>
      <c r="CQ946" s="77"/>
      <c r="CR946" s="77"/>
      <c r="CS946" s="77"/>
      <c r="CT946" s="77"/>
      <c r="CU946" s="77"/>
      <c r="CV946" s="77"/>
      <c r="CW946" s="77"/>
    </row>
    <row r="947" spans="1:101" ht="16.5" x14ac:dyDescent="0.45">
      <c r="A947" s="76"/>
      <c r="B947" s="77"/>
      <c r="C947" s="77"/>
      <c r="D947" s="78"/>
      <c r="E947" s="80"/>
      <c r="F947" s="80"/>
      <c r="G947" s="81"/>
      <c r="H947" s="81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82"/>
      <c r="Z947" s="82"/>
      <c r="AA947" s="82"/>
      <c r="AB947" s="80"/>
      <c r="AC947" s="77"/>
      <c r="AD947" s="77"/>
      <c r="AE947" s="77"/>
      <c r="AF947" s="77"/>
      <c r="AG947" s="77"/>
      <c r="AH947" s="77"/>
      <c r="AI947" s="92"/>
      <c r="AJ947" s="77"/>
      <c r="AK947" s="77"/>
      <c r="AL947" s="77"/>
      <c r="AM947" s="77"/>
      <c r="AN947" s="77"/>
      <c r="AO947" s="77"/>
      <c r="AP947" s="76"/>
      <c r="AQ947" s="81"/>
      <c r="AR947" s="76"/>
      <c r="AS947" s="81"/>
      <c r="AT947" s="76"/>
      <c r="AU947" s="81"/>
      <c r="AV947" s="77"/>
      <c r="AW947" s="81"/>
      <c r="AX947" s="77"/>
      <c r="AY947" s="81"/>
      <c r="AZ947" s="77"/>
      <c r="BA947" s="81"/>
      <c r="BB947" s="77"/>
      <c r="BC947" s="81"/>
      <c r="BD947" s="77"/>
      <c r="BE947" s="81"/>
      <c r="BF947" s="77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77"/>
      <c r="BU947" s="77"/>
      <c r="BV947" s="77"/>
      <c r="BW947" s="77"/>
      <c r="BX947" s="77"/>
      <c r="BY947" s="77"/>
      <c r="BZ947" s="77"/>
      <c r="CA947" s="77"/>
      <c r="CB947" s="77"/>
      <c r="CC947" s="77"/>
      <c r="CD947" s="77"/>
      <c r="CE947" s="77"/>
      <c r="CF947" s="77"/>
      <c r="CG947" s="77"/>
      <c r="CH947" s="77"/>
      <c r="CI947" s="77"/>
      <c r="CJ947" s="77"/>
      <c r="CK947" s="77"/>
      <c r="CL947" s="77"/>
      <c r="CM947" s="77"/>
      <c r="CN947" s="77"/>
      <c r="CO947" s="77"/>
      <c r="CP947" s="77"/>
      <c r="CQ947" s="77"/>
      <c r="CR947" s="77"/>
      <c r="CS947" s="77"/>
      <c r="CT947" s="77"/>
      <c r="CU947" s="77"/>
      <c r="CV947" s="77"/>
      <c r="CW947" s="77"/>
    </row>
    <row r="948" spans="1:101" ht="16.5" x14ac:dyDescent="0.45">
      <c r="A948" s="76"/>
      <c r="B948" s="77"/>
      <c r="C948" s="77"/>
      <c r="D948" s="78"/>
      <c r="E948" s="80"/>
      <c r="F948" s="80"/>
      <c r="G948" s="81"/>
      <c r="H948" s="81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82"/>
      <c r="Z948" s="82"/>
      <c r="AA948" s="82"/>
      <c r="AB948" s="80"/>
      <c r="AC948" s="77"/>
      <c r="AD948" s="77"/>
      <c r="AE948" s="77"/>
      <c r="AF948" s="77"/>
      <c r="AG948" s="77"/>
      <c r="AH948" s="77"/>
      <c r="AI948" s="92"/>
      <c r="AJ948" s="77"/>
      <c r="AK948" s="77"/>
      <c r="AL948" s="77"/>
      <c r="AM948" s="77"/>
      <c r="AN948" s="77"/>
      <c r="AO948" s="77"/>
      <c r="AP948" s="76"/>
      <c r="AQ948" s="81"/>
      <c r="AR948" s="76"/>
      <c r="AS948" s="81"/>
      <c r="AT948" s="76"/>
      <c r="AU948" s="81"/>
      <c r="AV948" s="77"/>
      <c r="AW948" s="81"/>
      <c r="AX948" s="77"/>
      <c r="AY948" s="81"/>
      <c r="AZ948" s="77"/>
      <c r="BA948" s="81"/>
      <c r="BB948" s="77"/>
      <c r="BC948" s="81"/>
      <c r="BD948" s="77"/>
      <c r="BE948" s="81"/>
      <c r="BF948" s="77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77"/>
      <c r="BU948" s="77"/>
      <c r="BV948" s="77"/>
      <c r="BW948" s="77"/>
      <c r="BX948" s="77"/>
      <c r="BY948" s="77"/>
      <c r="BZ948" s="77"/>
      <c r="CA948" s="77"/>
      <c r="CB948" s="77"/>
      <c r="CC948" s="77"/>
      <c r="CD948" s="77"/>
      <c r="CE948" s="77"/>
      <c r="CF948" s="77"/>
      <c r="CG948" s="77"/>
      <c r="CH948" s="77"/>
      <c r="CI948" s="77"/>
      <c r="CJ948" s="77"/>
      <c r="CK948" s="77"/>
      <c r="CL948" s="77"/>
      <c r="CM948" s="77"/>
      <c r="CN948" s="77"/>
      <c r="CO948" s="77"/>
      <c r="CP948" s="77"/>
      <c r="CQ948" s="77"/>
      <c r="CR948" s="77"/>
      <c r="CS948" s="77"/>
      <c r="CT948" s="77"/>
      <c r="CU948" s="77"/>
      <c r="CV948" s="77"/>
      <c r="CW948" s="77"/>
    </row>
    <row r="949" spans="1:101" ht="16.5" x14ac:dyDescent="0.45">
      <c r="A949" s="76"/>
      <c r="B949" s="77"/>
      <c r="C949" s="77"/>
      <c r="D949" s="78"/>
      <c r="E949" s="80"/>
      <c r="F949" s="80"/>
      <c r="G949" s="81"/>
      <c r="H949" s="81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82"/>
      <c r="Z949" s="82"/>
      <c r="AA949" s="82"/>
      <c r="AB949" s="80"/>
      <c r="AC949" s="77"/>
      <c r="AD949" s="77"/>
      <c r="AE949" s="77"/>
      <c r="AF949" s="77"/>
      <c r="AG949" s="77"/>
      <c r="AH949" s="77"/>
      <c r="AI949" s="92"/>
      <c r="AJ949" s="77"/>
      <c r="AK949" s="77"/>
      <c r="AL949" s="77"/>
      <c r="AM949" s="77"/>
      <c r="AN949" s="77"/>
      <c r="AO949" s="77"/>
      <c r="AP949" s="76"/>
      <c r="AQ949" s="81"/>
      <c r="AR949" s="76"/>
      <c r="AS949" s="81"/>
      <c r="AT949" s="76"/>
      <c r="AU949" s="81"/>
      <c r="AV949" s="77"/>
      <c r="AW949" s="81"/>
      <c r="AX949" s="77"/>
      <c r="AY949" s="81"/>
      <c r="AZ949" s="77"/>
      <c r="BA949" s="81"/>
      <c r="BB949" s="77"/>
      <c r="BC949" s="81"/>
      <c r="BD949" s="77"/>
      <c r="BE949" s="81"/>
      <c r="BF949" s="77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77"/>
      <c r="BU949" s="77"/>
      <c r="BV949" s="77"/>
      <c r="BW949" s="77"/>
      <c r="BX949" s="77"/>
      <c r="BY949" s="77"/>
      <c r="BZ949" s="77"/>
      <c r="CA949" s="77"/>
      <c r="CB949" s="77"/>
      <c r="CC949" s="77"/>
      <c r="CD949" s="77"/>
      <c r="CE949" s="77"/>
      <c r="CF949" s="77"/>
      <c r="CG949" s="77"/>
      <c r="CH949" s="77"/>
      <c r="CI949" s="77"/>
      <c r="CJ949" s="77"/>
      <c r="CK949" s="77"/>
      <c r="CL949" s="77"/>
      <c r="CM949" s="77"/>
      <c r="CN949" s="77"/>
      <c r="CO949" s="77"/>
      <c r="CP949" s="77"/>
      <c r="CQ949" s="77"/>
      <c r="CR949" s="77"/>
      <c r="CS949" s="77"/>
      <c r="CT949" s="77"/>
      <c r="CU949" s="77"/>
      <c r="CV949" s="77"/>
      <c r="CW949" s="77"/>
    </row>
    <row r="950" spans="1:101" ht="16.5" x14ac:dyDescent="0.45">
      <c r="A950" s="76"/>
      <c r="B950" s="77"/>
      <c r="C950" s="77"/>
      <c r="D950" s="78"/>
      <c r="E950" s="80"/>
      <c r="F950" s="80"/>
      <c r="G950" s="81"/>
      <c r="H950" s="81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82"/>
      <c r="Z950" s="82"/>
      <c r="AA950" s="82"/>
      <c r="AB950" s="80"/>
      <c r="AC950" s="77"/>
      <c r="AD950" s="77"/>
      <c r="AE950" s="77"/>
      <c r="AF950" s="77"/>
      <c r="AG950" s="77"/>
      <c r="AH950" s="77"/>
      <c r="AI950" s="92"/>
      <c r="AJ950" s="77"/>
      <c r="AK950" s="77"/>
      <c r="AL950" s="77"/>
      <c r="AM950" s="77"/>
      <c r="AN950" s="77"/>
      <c r="AO950" s="77"/>
      <c r="AP950" s="76"/>
      <c r="AQ950" s="81"/>
      <c r="AR950" s="76"/>
      <c r="AS950" s="81"/>
      <c r="AT950" s="76"/>
      <c r="AU950" s="81"/>
      <c r="AV950" s="77"/>
      <c r="AW950" s="81"/>
      <c r="AX950" s="77"/>
      <c r="AY950" s="81"/>
      <c r="AZ950" s="77"/>
      <c r="BA950" s="81"/>
      <c r="BB950" s="77"/>
      <c r="BC950" s="81"/>
      <c r="BD950" s="77"/>
      <c r="BE950" s="81"/>
      <c r="BF950" s="77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77"/>
      <c r="BU950" s="77"/>
      <c r="BV950" s="77"/>
      <c r="BW950" s="77"/>
      <c r="BX950" s="77"/>
      <c r="BY950" s="77"/>
      <c r="BZ950" s="77"/>
      <c r="CA950" s="77"/>
      <c r="CB950" s="77"/>
      <c r="CC950" s="77"/>
      <c r="CD950" s="77"/>
      <c r="CE950" s="77"/>
      <c r="CF950" s="77"/>
      <c r="CG950" s="77"/>
      <c r="CH950" s="77"/>
      <c r="CI950" s="77"/>
      <c r="CJ950" s="77"/>
      <c r="CK950" s="77"/>
      <c r="CL950" s="77"/>
      <c r="CM950" s="77"/>
      <c r="CN950" s="77"/>
      <c r="CO950" s="77"/>
      <c r="CP950" s="77"/>
      <c r="CQ950" s="77"/>
      <c r="CR950" s="77"/>
      <c r="CS950" s="77"/>
      <c r="CT950" s="77"/>
      <c r="CU950" s="77"/>
      <c r="CV950" s="77"/>
      <c r="CW950" s="77"/>
    </row>
    <row r="951" spans="1:101" ht="16.5" x14ac:dyDescent="0.45">
      <c r="A951" s="76"/>
      <c r="B951" s="77"/>
      <c r="C951" s="77"/>
      <c r="D951" s="78"/>
      <c r="E951" s="80"/>
      <c r="F951" s="80"/>
      <c r="G951" s="81"/>
      <c r="H951" s="81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82"/>
      <c r="Z951" s="82"/>
      <c r="AA951" s="82"/>
      <c r="AB951" s="80"/>
      <c r="AC951" s="77"/>
      <c r="AD951" s="77"/>
      <c r="AE951" s="77"/>
      <c r="AF951" s="77"/>
      <c r="AG951" s="77"/>
      <c r="AH951" s="77"/>
      <c r="AI951" s="92"/>
      <c r="AJ951" s="77"/>
      <c r="AK951" s="77"/>
      <c r="AL951" s="77"/>
      <c r="AM951" s="77"/>
      <c r="AN951" s="77"/>
      <c r="AO951" s="77"/>
      <c r="AP951" s="76"/>
      <c r="AQ951" s="81"/>
      <c r="AR951" s="76"/>
      <c r="AS951" s="81"/>
      <c r="AT951" s="76"/>
      <c r="AU951" s="81"/>
      <c r="AV951" s="77"/>
      <c r="AW951" s="81"/>
      <c r="AX951" s="77"/>
      <c r="AY951" s="81"/>
      <c r="AZ951" s="77"/>
      <c r="BA951" s="81"/>
      <c r="BB951" s="77"/>
      <c r="BC951" s="81"/>
      <c r="BD951" s="77"/>
      <c r="BE951" s="81"/>
      <c r="BF951" s="77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77"/>
      <c r="BU951" s="77"/>
      <c r="BV951" s="77"/>
      <c r="BW951" s="77"/>
      <c r="BX951" s="77"/>
      <c r="BY951" s="77"/>
      <c r="BZ951" s="77"/>
      <c r="CA951" s="77"/>
      <c r="CB951" s="77"/>
      <c r="CC951" s="77"/>
      <c r="CD951" s="77"/>
      <c r="CE951" s="77"/>
      <c r="CF951" s="77"/>
      <c r="CG951" s="77"/>
      <c r="CH951" s="77"/>
      <c r="CI951" s="77"/>
      <c r="CJ951" s="77"/>
      <c r="CK951" s="77"/>
      <c r="CL951" s="77"/>
      <c r="CM951" s="77"/>
      <c r="CN951" s="77"/>
      <c r="CO951" s="77"/>
      <c r="CP951" s="77"/>
      <c r="CQ951" s="77"/>
      <c r="CR951" s="77"/>
      <c r="CS951" s="77"/>
      <c r="CT951" s="77"/>
      <c r="CU951" s="77"/>
      <c r="CV951" s="77"/>
      <c r="CW951" s="77"/>
    </row>
    <row r="952" spans="1:101" ht="16.5" x14ac:dyDescent="0.45">
      <c r="A952" s="76"/>
      <c r="B952" s="77"/>
      <c r="C952" s="77"/>
      <c r="D952" s="78"/>
      <c r="E952" s="80"/>
      <c r="F952" s="80"/>
      <c r="G952" s="81"/>
      <c r="H952" s="81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82"/>
      <c r="Z952" s="82"/>
      <c r="AA952" s="82"/>
      <c r="AB952" s="80"/>
      <c r="AC952" s="77"/>
      <c r="AD952" s="77"/>
      <c r="AE952" s="77"/>
      <c r="AF952" s="77"/>
      <c r="AG952" s="77"/>
      <c r="AH952" s="77"/>
      <c r="AI952" s="92"/>
      <c r="AJ952" s="77"/>
      <c r="AK952" s="77"/>
      <c r="AL952" s="77"/>
      <c r="AM952" s="77"/>
      <c r="AN952" s="77"/>
      <c r="AO952" s="77"/>
      <c r="AP952" s="76"/>
      <c r="AQ952" s="81"/>
      <c r="AR952" s="76"/>
      <c r="AS952" s="81"/>
      <c r="AT952" s="76"/>
      <c r="AU952" s="81"/>
      <c r="AV952" s="77"/>
      <c r="AW952" s="81"/>
      <c r="AX952" s="77"/>
      <c r="AY952" s="81"/>
      <c r="AZ952" s="77"/>
      <c r="BA952" s="81"/>
      <c r="BB952" s="77"/>
      <c r="BC952" s="81"/>
      <c r="BD952" s="77"/>
      <c r="BE952" s="81"/>
      <c r="BF952" s="77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77"/>
      <c r="BU952" s="77"/>
      <c r="BV952" s="77"/>
      <c r="BW952" s="77"/>
      <c r="BX952" s="77"/>
      <c r="BY952" s="77"/>
      <c r="BZ952" s="77"/>
      <c r="CA952" s="77"/>
      <c r="CB952" s="77"/>
      <c r="CC952" s="77"/>
      <c r="CD952" s="77"/>
      <c r="CE952" s="77"/>
      <c r="CF952" s="77"/>
      <c r="CG952" s="77"/>
      <c r="CH952" s="77"/>
      <c r="CI952" s="77"/>
      <c r="CJ952" s="77"/>
      <c r="CK952" s="77"/>
      <c r="CL952" s="77"/>
      <c r="CM952" s="77"/>
      <c r="CN952" s="77"/>
      <c r="CO952" s="77"/>
      <c r="CP952" s="77"/>
      <c r="CQ952" s="77"/>
      <c r="CR952" s="77"/>
      <c r="CS952" s="77"/>
      <c r="CT952" s="77"/>
      <c r="CU952" s="77"/>
      <c r="CV952" s="77"/>
      <c r="CW952" s="77"/>
    </row>
    <row r="953" spans="1:101" ht="16.5" x14ac:dyDescent="0.45">
      <c r="A953" s="76"/>
      <c r="B953" s="77"/>
      <c r="C953" s="77"/>
      <c r="D953" s="78"/>
      <c r="E953" s="80"/>
      <c r="F953" s="80"/>
      <c r="G953" s="81"/>
      <c r="H953" s="81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82"/>
      <c r="Z953" s="82"/>
      <c r="AA953" s="82"/>
      <c r="AB953" s="80"/>
      <c r="AC953" s="77"/>
      <c r="AD953" s="77"/>
      <c r="AE953" s="77"/>
      <c r="AF953" s="77"/>
      <c r="AG953" s="77"/>
      <c r="AH953" s="77"/>
      <c r="AI953" s="92"/>
      <c r="AJ953" s="77"/>
      <c r="AK953" s="77"/>
      <c r="AL953" s="77"/>
      <c r="AM953" s="77"/>
      <c r="AN953" s="77"/>
      <c r="AO953" s="77"/>
      <c r="AP953" s="76"/>
      <c r="AQ953" s="81"/>
      <c r="AR953" s="76"/>
      <c r="AS953" s="81"/>
      <c r="AT953" s="76"/>
      <c r="AU953" s="81"/>
      <c r="AV953" s="77"/>
      <c r="AW953" s="81"/>
      <c r="AX953" s="77"/>
      <c r="AY953" s="81"/>
      <c r="AZ953" s="77"/>
      <c r="BA953" s="81"/>
      <c r="BB953" s="77"/>
      <c r="BC953" s="81"/>
      <c r="BD953" s="77"/>
      <c r="BE953" s="81"/>
      <c r="BF953" s="77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77"/>
      <c r="BU953" s="77"/>
      <c r="BV953" s="77"/>
      <c r="BW953" s="77"/>
      <c r="BX953" s="77"/>
      <c r="BY953" s="77"/>
      <c r="BZ953" s="77"/>
      <c r="CA953" s="77"/>
      <c r="CB953" s="77"/>
      <c r="CC953" s="77"/>
      <c r="CD953" s="77"/>
      <c r="CE953" s="77"/>
      <c r="CF953" s="77"/>
      <c r="CG953" s="77"/>
      <c r="CH953" s="77"/>
      <c r="CI953" s="77"/>
      <c r="CJ953" s="77"/>
      <c r="CK953" s="77"/>
      <c r="CL953" s="77"/>
      <c r="CM953" s="77"/>
      <c r="CN953" s="77"/>
      <c r="CO953" s="77"/>
      <c r="CP953" s="77"/>
      <c r="CQ953" s="77"/>
      <c r="CR953" s="77"/>
      <c r="CS953" s="77"/>
      <c r="CT953" s="77"/>
      <c r="CU953" s="77"/>
      <c r="CV953" s="77"/>
      <c r="CW953" s="77"/>
    </row>
    <row r="954" spans="1:101" ht="16.5" x14ac:dyDescent="0.45">
      <c r="A954" s="76"/>
      <c r="B954" s="77"/>
      <c r="C954" s="77"/>
      <c r="D954" s="78"/>
      <c r="E954" s="80"/>
      <c r="F954" s="80"/>
      <c r="G954" s="81"/>
      <c r="H954" s="81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82"/>
      <c r="Z954" s="82"/>
      <c r="AA954" s="82"/>
      <c r="AB954" s="80"/>
      <c r="AC954" s="77"/>
      <c r="AD954" s="77"/>
      <c r="AE954" s="77"/>
      <c r="AF954" s="77"/>
      <c r="AG954" s="77"/>
      <c r="AH954" s="77"/>
      <c r="AI954" s="92"/>
      <c r="AJ954" s="77"/>
      <c r="AK954" s="77"/>
      <c r="AL954" s="77"/>
      <c r="AM954" s="77"/>
      <c r="AN954" s="77"/>
      <c r="AO954" s="77"/>
      <c r="AP954" s="76"/>
      <c r="AQ954" s="81"/>
      <c r="AR954" s="76"/>
      <c r="AS954" s="81"/>
      <c r="AT954" s="76"/>
      <c r="AU954" s="81"/>
      <c r="AV954" s="77"/>
      <c r="AW954" s="81"/>
      <c r="AX954" s="77"/>
      <c r="AY954" s="81"/>
      <c r="AZ954" s="77"/>
      <c r="BA954" s="81"/>
      <c r="BB954" s="77"/>
      <c r="BC954" s="81"/>
      <c r="BD954" s="77"/>
      <c r="BE954" s="81"/>
      <c r="BF954" s="77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77"/>
      <c r="BU954" s="77"/>
      <c r="BV954" s="77"/>
      <c r="BW954" s="77"/>
      <c r="BX954" s="77"/>
      <c r="BY954" s="77"/>
      <c r="BZ954" s="77"/>
      <c r="CA954" s="77"/>
      <c r="CB954" s="77"/>
      <c r="CC954" s="77"/>
      <c r="CD954" s="77"/>
      <c r="CE954" s="77"/>
      <c r="CF954" s="77"/>
      <c r="CG954" s="77"/>
      <c r="CH954" s="77"/>
      <c r="CI954" s="77"/>
      <c r="CJ954" s="77"/>
      <c r="CK954" s="77"/>
      <c r="CL954" s="77"/>
      <c r="CM954" s="77"/>
      <c r="CN954" s="77"/>
      <c r="CO954" s="77"/>
      <c r="CP954" s="77"/>
      <c r="CQ954" s="77"/>
      <c r="CR954" s="77"/>
      <c r="CS954" s="77"/>
      <c r="CT954" s="77"/>
      <c r="CU954" s="77"/>
      <c r="CV954" s="77"/>
      <c r="CW954" s="77"/>
    </row>
    <row r="955" spans="1:101" ht="16.5" x14ac:dyDescent="0.45">
      <c r="A955" s="76"/>
      <c r="B955" s="77"/>
      <c r="C955" s="77"/>
      <c r="D955" s="78"/>
      <c r="E955" s="80"/>
      <c r="F955" s="80"/>
      <c r="G955" s="81"/>
      <c r="H955" s="81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82"/>
      <c r="Z955" s="82"/>
      <c r="AA955" s="82"/>
      <c r="AB955" s="80"/>
      <c r="AC955" s="77"/>
      <c r="AD955" s="77"/>
      <c r="AE955" s="77"/>
      <c r="AF955" s="77"/>
      <c r="AG955" s="77"/>
      <c r="AH955" s="77"/>
      <c r="AI955" s="92"/>
      <c r="AJ955" s="77"/>
      <c r="AK955" s="77"/>
      <c r="AL955" s="77"/>
      <c r="AM955" s="77"/>
      <c r="AN955" s="77"/>
      <c r="AO955" s="77"/>
      <c r="AP955" s="76"/>
      <c r="AQ955" s="81"/>
      <c r="AR955" s="76"/>
      <c r="AS955" s="81"/>
      <c r="AT955" s="76"/>
      <c r="AU955" s="81"/>
      <c r="AV955" s="77"/>
      <c r="AW955" s="81"/>
      <c r="AX955" s="77"/>
      <c r="AY955" s="81"/>
      <c r="AZ955" s="77"/>
      <c r="BA955" s="81"/>
      <c r="BB955" s="77"/>
      <c r="BC955" s="81"/>
      <c r="BD955" s="77"/>
      <c r="BE955" s="81"/>
      <c r="BF955" s="77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77"/>
      <c r="BU955" s="77"/>
      <c r="BV955" s="77"/>
      <c r="BW955" s="77"/>
      <c r="BX955" s="77"/>
      <c r="BY955" s="77"/>
      <c r="BZ955" s="77"/>
      <c r="CA955" s="77"/>
      <c r="CB955" s="77"/>
      <c r="CC955" s="77"/>
      <c r="CD955" s="77"/>
      <c r="CE955" s="77"/>
      <c r="CF955" s="77"/>
      <c r="CG955" s="77"/>
      <c r="CH955" s="77"/>
      <c r="CI955" s="77"/>
      <c r="CJ955" s="77"/>
      <c r="CK955" s="77"/>
      <c r="CL955" s="77"/>
      <c r="CM955" s="77"/>
      <c r="CN955" s="77"/>
      <c r="CO955" s="77"/>
      <c r="CP955" s="77"/>
      <c r="CQ955" s="77"/>
      <c r="CR955" s="77"/>
      <c r="CS955" s="77"/>
      <c r="CT955" s="77"/>
      <c r="CU955" s="77"/>
      <c r="CV955" s="77"/>
      <c r="CW955" s="77"/>
    </row>
    <row r="956" spans="1:101" ht="16.5" x14ac:dyDescent="0.45">
      <c r="A956" s="76"/>
      <c r="B956" s="77"/>
      <c r="C956" s="77"/>
      <c r="D956" s="78"/>
      <c r="E956" s="80"/>
      <c r="F956" s="80"/>
      <c r="G956" s="81"/>
      <c r="H956" s="81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82"/>
      <c r="Z956" s="82"/>
      <c r="AA956" s="82"/>
      <c r="AB956" s="80"/>
      <c r="AC956" s="77"/>
      <c r="AD956" s="77"/>
      <c r="AE956" s="77"/>
      <c r="AF956" s="77"/>
      <c r="AG956" s="77"/>
      <c r="AH956" s="77"/>
      <c r="AI956" s="92"/>
      <c r="AJ956" s="77"/>
      <c r="AK956" s="77"/>
      <c r="AL956" s="77"/>
      <c r="AM956" s="77"/>
      <c r="AN956" s="77"/>
      <c r="AO956" s="77"/>
      <c r="AP956" s="76"/>
      <c r="AQ956" s="81"/>
      <c r="AR956" s="76"/>
      <c r="AS956" s="81"/>
      <c r="AT956" s="76"/>
      <c r="AU956" s="81"/>
      <c r="AV956" s="77"/>
      <c r="AW956" s="81"/>
      <c r="AX956" s="77"/>
      <c r="AY956" s="81"/>
      <c r="AZ956" s="77"/>
      <c r="BA956" s="81"/>
      <c r="BB956" s="77"/>
      <c r="BC956" s="81"/>
      <c r="BD956" s="77"/>
      <c r="BE956" s="81"/>
      <c r="BF956" s="77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77"/>
      <c r="BU956" s="77"/>
      <c r="BV956" s="77"/>
      <c r="BW956" s="77"/>
      <c r="BX956" s="77"/>
      <c r="BY956" s="77"/>
      <c r="BZ956" s="77"/>
      <c r="CA956" s="77"/>
      <c r="CB956" s="77"/>
      <c r="CC956" s="77"/>
      <c r="CD956" s="77"/>
      <c r="CE956" s="77"/>
      <c r="CF956" s="77"/>
      <c r="CG956" s="77"/>
      <c r="CH956" s="77"/>
      <c r="CI956" s="77"/>
      <c r="CJ956" s="77"/>
      <c r="CK956" s="77"/>
      <c r="CL956" s="77"/>
      <c r="CM956" s="77"/>
      <c r="CN956" s="77"/>
      <c r="CO956" s="77"/>
      <c r="CP956" s="77"/>
      <c r="CQ956" s="77"/>
      <c r="CR956" s="77"/>
      <c r="CS956" s="77"/>
      <c r="CT956" s="77"/>
      <c r="CU956" s="77"/>
      <c r="CV956" s="77"/>
      <c r="CW956" s="77"/>
    </row>
    <row r="957" spans="1:101" ht="16.5" x14ac:dyDescent="0.45">
      <c r="A957" s="76"/>
      <c r="B957" s="77"/>
      <c r="C957" s="77"/>
      <c r="D957" s="78"/>
      <c r="E957" s="80"/>
      <c r="F957" s="80"/>
      <c r="G957" s="81"/>
      <c r="H957" s="81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82"/>
      <c r="Z957" s="82"/>
      <c r="AA957" s="82"/>
      <c r="AB957" s="80"/>
      <c r="AC957" s="77"/>
      <c r="AD957" s="77"/>
      <c r="AE957" s="77"/>
      <c r="AF957" s="77"/>
      <c r="AG957" s="77"/>
      <c r="AH957" s="77"/>
      <c r="AI957" s="92"/>
      <c r="AJ957" s="77"/>
      <c r="AK957" s="77"/>
      <c r="AL957" s="77"/>
      <c r="AM957" s="77"/>
      <c r="AN957" s="77"/>
      <c r="AO957" s="77"/>
      <c r="AP957" s="76"/>
      <c r="AQ957" s="81"/>
      <c r="AR957" s="76"/>
      <c r="AS957" s="81"/>
      <c r="AT957" s="76"/>
      <c r="AU957" s="81"/>
      <c r="AV957" s="77"/>
      <c r="AW957" s="81"/>
      <c r="AX957" s="77"/>
      <c r="AY957" s="81"/>
      <c r="AZ957" s="77"/>
      <c r="BA957" s="81"/>
      <c r="BB957" s="77"/>
      <c r="BC957" s="81"/>
      <c r="BD957" s="77"/>
      <c r="BE957" s="81"/>
      <c r="BF957" s="77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77"/>
      <c r="BU957" s="77"/>
      <c r="BV957" s="77"/>
      <c r="BW957" s="77"/>
      <c r="BX957" s="77"/>
      <c r="BY957" s="77"/>
      <c r="BZ957" s="77"/>
      <c r="CA957" s="77"/>
      <c r="CB957" s="77"/>
      <c r="CC957" s="77"/>
      <c r="CD957" s="77"/>
      <c r="CE957" s="77"/>
      <c r="CF957" s="77"/>
      <c r="CG957" s="77"/>
      <c r="CH957" s="77"/>
      <c r="CI957" s="77"/>
      <c r="CJ957" s="77"/>
      <c r="CK957" s="77"/>
      <c r="CL957" s="77"/>
      <c r="CM957" s="77"/>
      <c r="CN957" s="77"/>
      <c r="CO957" s="77"/>
      <c r="CP957" s="77"/>
      <c r="CQ957" s="77"/>
      <c r="CR957" s="77"/>
      <c r="CS957" s="77"/>
      <c r="CT957" s="77"/>
      <c r="CU957" s="77"/>
      <c r="CV957" s="77"/>
      <c r="CW957" s="77"/>
    </row>
    <row r="958" spans="1:101" ht="16.5" x14ac:dyDescent="0.45">
      <c r="A958" s="76"/>
      <c r="B958" s="77"/>
      <c r="C958" s="77"/>
      <c r="D958" s="78"/>
      <c r="E958" s="80"/>
      <c r="F958" s="80"/>
      <c r="G958" s="81"/>
      <c r="H958" s="81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82"/>
      <c r="Z958" s="82"/>
      <c r="AA958" s="82"/>
      <c r="AB958" s="80"/>
      <c r="AC958" s="77"/>
      <c r="AD958" s="77"/>
      <c r="AE958" s="77"/>
      <c r="AF958" s="77"/>
      <c r="AG958" s="77"/>
      <c r="AH958" s="77"/>
      <c r="AI958" s="92"/>
      <c r="AJ958" s="77"/>
      <c r="AK958" s="77"/>
      <c r="AL958" s="77"/>
      <c r="AM958" s="77"/>
      <c r="AN958" s="77"/>
      <c r="AO958" s="77"/>
      <c r="AP958" s="76"/>
      <c r="AQ958" s="81"/>
      <c r="AR958" s="76"/>
      <c r="AS958" s="81"/>
      <c r="AT958" s="76"/>
      <c r="AU958" s="81"/>
      <c r="AV958" s="77"/>
      <c r="AW958" s="81"/>
      <c r="AX958" s="77"/>
      <c r="AY958" s="81"/>
      <c r="AZ958" s="77"/>
      <c r="BA958" s="81"/>
      <c r="BB958" s="77"/>
      <c r="BC958" s="81"/>
      <c r="BD958" s="77"/>
      <c r="BE958" s="81"/>
      <c r="BF958" s="77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77"/>
      <c r="BU958" s="77"/>
      <c r="BV958" s="77"/>
      <c r="BW958" s="77"/>
      <c r="BX958" s="77"/>
      <c r="BY958" s="77"/>
      <c r="BZ958" s="77"/>
      <c r="CA958" s="77"/>
      <c r="CB958" s="77"/>
      <c r="CC958" s="77"/>
      <c r="CD958" s="77"/>
      <c r="CE958" s="77"/>
      <c r="CF958" s="77"/>
      <c r="CG958" s="77"/>
      <c r="CH958" s="77"/>
      <c r="CI958" s="77"/>
      <c r="CJ958" s="77"/>
      <c r="CK958" s="77"/>
      <c r="CL958" s="77"/>
      <c r="CM958" s="77"/>
      <c r="CN958" s="77"/>
      <c r="CO958" s="77"/>
      <c r="CP958" s="77"/>
      <c r="CQ958" s="77"/>
      <c r="CR958" s="77"/>
      <c r="CS958" s="77"/>
      <c r="CT958" s="77"/>
      <c r="CU958" s="77"/>
      <c r="CV958" s="77"/>
      <c r="CW958" s="77"/>
    </row>
    <row r="959" spans="1:101" ht="16.5" x14ac:dyDescent="0.45">
      <c r="A959" s="76"/>
      <c r="B959" s="77"/>
      <c r="C959" s="77"/>
      <c r="D959" s="78"/>
      <c r="E959" s="80"/>
      <c r="F959" s="80"/>
      <c r="G959" s="81"/>
      <c r="H959" s="81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82"/>
      <c r="Z959" s="82"/>
      <c r="AA959" s="82"/>
      <c r="AB959" s="80"/>
      <c r="AC959" s="77"/>
      <c r="AD959" s="77"/>
      <c r="AE959" s="77"/>
      <c r="AF959" s="77"/>
      <c r="AG959" s="77"/>
      <c r="AH959" s="77"/>
      <c r="AI959" s="92"/>
      <c r="AJ959" s="77"/>
      <c r="AK959" s="77"/>
      <c r="AL959" s="77"/>
      <c r="AM959" s="77"/>
      <c r="AN959" s="77"/>
      <c r="AO959" s="77"/>
      <c r="AP959" s="76"/>
      <c r="AQ959" s="81"/>
      <c r="AR959" s="76"/>
      <c r="AS959" s="81"/>
      <c r="AT959" s="76"/>
      <c r="AU959" s="81"/>
      <c r="AV959" s="77"/>
      <c r="AW959" s="81"/>
      <c r="AX959" s="77"/>
      <c r="AY959" s="81"/>
      <c r="AZ959" s="77"/>
      <c r="BA959" s="81"/>
      <c r="BB959" s="77"/>
      <c r="BC959" s="81"/>
      <c r="BD959" s="77"/>
      <c r="BE959" s="81"/>
      <c r="BF959" s="77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77"/>
      <c r="BU959" s="77"/>
      <c r="BV959" s="77"/>
      <c r="BW959" s="77"/>
      <c r="BX959" s="77"/>
      <c r="BY959" s="77"/>
      <c r="BZ959" s="77"/>
      <c r="CA959" s="77"/>
      <c r="CB959" s="77"/>
      <c r="CC959" s="77"/>
      <c r="CD959" s="77"/>
      <c r="CE959" s="77"/>
      <c r="CF959" s="77"/>
      <c r="CG959" s="77"/>
      <c r="CH959" s="77"/>
      <c r="CI959" s="77"/>
      <c r="CJ959" s="77"/>
      <c r="CK959" s="77"/>
      <c r="CL959" s="77"/>
      <c r="CM959" s="77"/>
      <c r="CN959" s="77"/>
      <c r="CO959" s="77"/>
      <c r="CP959" s="77"/>
      <c r="CQ959" s="77"/>
      <c r="CR959" s="77"/>
      <c r="CS959" s="77"/>
      <c r="CT959" s="77"/>
      <c r="CU959" s="77"/>
      <c r="CV959" s="77"/>
      <c r="CW959" s="77"/>
    </row>
    <row r="960" spans="1:101" ht="16.5" x14ac:dyDescent="0.45">
      <c r="A960" s="76"/>
      <c r="B960" s="77"/>
      <c r="C960" s="77"/>
      <c r="D960" s="78"/>
      <c r="E960" s="80"/>
      <c r="F960" s="80"/>
      <c r="G960" s="81"/>
      <c r="H960" s="81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82"/>
      <c r="Z960" s="82"/>
      <c r="AA960" s="82"/>
      <c r="AB960" s="80"/>
      <c r="AC960" s="77"/>
      <c r="AD960" s="77"/>
      <c r="AE960" s="77"/>
      <c r="AF960" s="77"/>
      <c r="AG960" s="77"/>
      <c r="AH960" s="77"/>
      <c r="AI960" s="92"/>
      <c r="AJ960" s="77"/>
      <c r="AK960" s="77"/>
      <c r="AL960" s="77"/>
      <c r="AM960" s="77"/>
      <c r="AN960" s="77"/>
      <c r="AO960" s="77"/>
      <c r="AP960" s="76"/>
      <c r="AQ960" s="81"/>
      <c r="AR960" s="76"/>
      <c r="AS960" s="81"/>
      <c r="AT960" s="76"/>
      <c r="AU960" s="81"/>
      <c r="AV960" s="77"/>
      <c r="AW960" s="81"/>
      <c r="AX960" s="77"/>
      <c r="AY960" s="81"/>
      <c r="AZ960" s="77"/>
      <c r="BA960" s="81"/>
      <c r="BB960" s="77"/>
      <c r="BC960" s="81"/>
      <c r="BD960" s="77"/>
      <c r="BE960" s="81"/>
      <c r="BF960" s="77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77"/>
      <c r="BU960" s="77"/>
      <c r="BV960" s="77"/>
      <c r="BW960" s="77"/>
      <c r="BX960" s="77"/>
      <c r="BY960" s="77"/>
      <c r="BZ960" s="77"/>
      <c r="CA960" s="77"/>
      <c r="CB960" s="77"/>
      <c r="CC960" s="77"/>
      <c r="CD960" s="77"/>
      <c r="CE960" s="77"/>
      <c r="CF960" s="77"/>
      <c r="CG960" s="77"/>
      <c r="CH960" s="77"/>
      <c r="CI960" s="77"/>
      <c r="CJ960" s="77"/>
      <c r="CK960" s="77"/>
      <c r="CL960" s="77"/>
      <c r="CM960" s="77"/>
      <c r="CN960" s="77"/>
      <c r="CO960" s="77"/>
      <c r="CP960" s="77"/>
      <c r="CQ960" s="77"/>
      <c r="CR960" s="77"/>
      <c r="CS960" s="77"/>
      <c r="CT960" s="77"/>
      <c r="CU960" s="77"/>
      <c r="CV960" s="77"/>
      <c r="CW960" s="77"/>
    </row>
    <row r="961" spans="1:101" ht="16.5" x14ac:dyDescent="0.45">
      <c r="A961" s="76"/>
      <c r="B961" s="77"/>
      <c r="C961" s="77"/>
      <c r="D961" s="78"/>
      <c r="E961" s="80"/>
      <c r="F961" s="80"/>
      <c r="G961" s="81"/>
      <c r="H961" s="81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82"/>
      <c r="Z961" s="82"/>
      <c r="AA961" s="82"/>
      <c r="AB961" s="80"/>
      <c r="AC961" s="77"/>
      <c r="AD961" s="77"/>
      <c r="AE961" s="77"/>
      <c r="AF961" s="77"/>
      <c r="AG961" s="77"/>
      <c r="AH961" s="77"/>
      <c r="AI961" s="92"/>
      <c r="AJ961" s="77"/>
      <c r="AK961" s="77"/>
      <c r="AL961" s="77"/>
      <c r="AM961" s="77"/>
      <c r="AN961" s="77"/>
      <c r="AO961" s="77"/>
      <c r="AP961" s="76"/>
      <c r="AQ961" s="81"/>
      <c r="AR961" s="76"/>
      <c r="AS961" s="81"/>
      <c r="AT961" s="76"/>
      <c r="AU961" s="81"/>
      <c r="AV961" s="77"/>
      <c r="AW961" s="81"/>
      <c r="AX961" s="77"/>
      <c r="AY961" s="81"/>
      <c r="AZ961" s="77"/>
      <c r="BA961" s="81"/>
      <c r="BB961" s="77"/>
      <c r="BC961" s="81"/>
      <c r="BD961" s="77"/>
      <c r="BE961" s="81"/>
      <c r="BF961" s="77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77"/>
      <c r="BU961" s="77"/>
      <c r="BV961" s="77"/>
      <c r="BW961" s="77"/>
      <c r="BX961" s="77"/>
      <c r="BY961" s="77"/>
      <c r="BZ961" s="77"/>
      <c r="CA961" s="77"/>
      <c r="CB961" s="77"/>
      <c r="CC961" s="77"/>
      <c r="CD961" s="77"/>
      <c r="CE961" s="77"/>
      <c r="CF961" s="77"/>
      <c r="CG961" s="77"/>
      <c r="CH961" s="77"/>
      <c r="CI961" s="77"/>
      <c r="CJ961" s="77"/>
      <c r="CK961" s="77"/>
      <c r="CL961" s="77"/>
      <c r="CM961" s="77"/>
      <c r="CN961" s="77"/>
      <c r="CO961" s="77"/>
      <c r="CP961" s="77"/>
      <c r="CQ961" s="77"/>
      <c r="CR961" s="77"/>
      <c r="CS961" s="77"/>
      <c r="CT961" s="77"/>
      <c r="CU961" s="77"/>
      <c r="CV961" s="77"/>
      <c r="CW961" s="77"/>
    </row>
    <row r="962" spans="1:101" ht="16.5" x14ac:dyDescent="0.45">
      <c r="A962" s="76"/>
      <c r="B962" s="77"/>
      <c r="C962" s="77"/>
      <c r="D962" s="78"/>
      <c r="E962" s="80"/>
      <c r="F962" s="80"/>
      <c r="G962" s="81"/>
      <c r="H962" s="81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82"/>
      <c r="Z962" s="82"/>
      <c r="AA962" s="82"/>
      <c r="AB962" s="80"/>
      <c r="AC962" s="77"/>
      <c r="AD962" s="77"/>
      <c r="AE962" s="77"/>
      <c r="AF962" s="77"/>
      <c r="AG962" s="77"/>
      <c r="AH962" s="77"/>
      <c r="AI962" s="92"/>
      <c r="AJ962" s="77"/>
      <c r="AK962" s="77"/>
      <c r="AL962" s="77"/>
      <c r="AM962" s="77"/>
      <c r="AN962" s="77"/>
      <c r="AO962" s="77"/>
      <c r="AP962" s="76"/>
      <c r="AQ962" s="81"/>
      <c r="AR962" s="76"/>
      <c r="AS962" s="81"/>
      <c r="AT962" s="76"/>
      <c r="AU962" s="81"/>
      <c r="AV962" s="77"/>
      <c r="AW962" s="81"/>
      <c r="AX962" s="77"/>
      <c r="AY962" s="81"/>
      <c r="AZ962" s="77"/>
      <c r="BA962" s="81"/>
      <c r="BB962" s="77"/>
      <c r="BC962" s="81"/>
      <c r="BD962" s="77"/>
      <c r="BE962" s="81"/>
      <c r="BF962" s="77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77"/>
      <c r="BU962" s="77"/>
      <c r="BV962" s="77"/>
      <c r="BW962" s="77"/>
      <c r="BX962" s="77"/>
      <c r="BY962" s="77"/>
      <c r="BZ962" s="77"/>
      <c r="CA962" s="77"/>
      <c r="CB962" s="77"/>
      <c r="CC962" s="77"/>
      <c r="CD962" s="77"/>
      <c r="CE962" s="77"/>
      <c r="CF962" s="77"/>
      <c r="CG962" s="77"/>
      <c r="CH962" s="77"/>
      <c r="CI962" s="77"/>
      <c r="CJ962" s="77"/>
      <c r="CK962" s="77"/>
      <c r="CL962" s="77"/>
      <c r="CM962" s="77"/>
      <c r="CN962" s="77"/>
      <c r="CO962" s="77"/>
      <c r="CP962" s="77"/>
      <c r="CQ962" s="77"/>
      <c r="CR962" s="77"/>
      <c r="CS962" s="77"/>
      <c r="CT962" s="77"/>
      <c r="CU962" s="77"/>
      <c r="CV962" s="77"/>
      <c r="CW962" s="77"/>
    </row>
    <row r="963" spans="1:101" ht="16.5" x14ac:dyDescent="0.45">
      <c r="A963" s="76"/>
      <c r="B963" s="77"/>
      <c r="C963" s="77"/>
      <c r="D963" s="78"/>
      <c r="E963" s="80"/>
      <c r="F963" s="80"/>
      <c r="G963" s="81"/>
      <c r="H963" s="81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82"/>
      <c r="Z963" s="82"/>
      <c r="AA963" s="82"/>
      <c r="AB963" s="80"/>
      <c r="AC963" s="77"/>
      <c r="AD963" s="77"/>
      <c r="AE963" s="77"/>
      <c r="AF963" s="77"/>
      <c r="AG963" s="77"/>
      <c r="AH963" s="77"/>
      <c r="AI963" s="92"/>
      <c r="AJ963" s="77"/>
      <c r="AK963" s="77"/>
      <c r="AL963" s="77"/>
      <c r="AM963" s="77"/>
      <c r="AN963" s="77"/>
      <c r="AO963" s="77"/>
      <c r="AP963" s="76"/>
      <c r="AQ963" s="81"/>
      <c r="AR963" s="76"/>
      <c r="AS963" s="81"/>
      <c r="AT963" s="76"/>
      <c r="AU963" s="81"/>
      <c r="AV963" s="77"/>
      <c r="AW963" s="81"/>
      <c r="AX963" s="77"/>
      <c r="AY963" s="81"/>
      <c r="AZ963" s="77"/>
      <c r="BA963" s="81"/>
      <c r="BB963" s="77"/>
      <c r="BC963" s="81"/>
      <c r="BD963" s="77"/>
      <c r="BE963" s="81"/>
      <c r="BF963" s="77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77"/>
      <c r="BU963" s="77"/>
      <c r="BV963" s="77"/>
      <c r="BW963" s="77"/>
      <c r="BX963" s="77"/>
      <c r="BY963" s="77"/>
      <c r="BZ963" s="77"/>
      <c r="CA963" s="77"/>
      <c r="CB963" s="77"/>
      <c r="CC963" s="77"/>
      <c r="CD963" s="77"/>
      <c r="CE963" s="77"/>
      <c r="CF963" s="77"/>
      <c r="CG963" s="77"/>
      <c r="CH963" s="77"/>
      <c r="CI963" s="77"/>
      <c r="CJ963" s="77"/>
      <c r="CK963" s="77"/>
      <c r="CL963" s="77"/>
      <c r="CM963" s="77"/>
      <c r="CN963" s="77"/>
      <c r="CO963" s="77"/>
      <c r="CP963" s="77"/>
      <c r="CQ963" s="77"/>
      <c r="CR963" s="77"/>
      <c r="CS963" s="77"/>
      <c r="CT963" s="77"/>
      <c r="CU963" s="77"/>
      <c r="CV963" s="77"/>
      <c r="CW963" s="77"/>
    </row>
    <row r="964" spans="1:101" ht="16.5" x14ac:dyDescent="0.45">
      <c r="A964" s="76"/>
      <c r="B964" s="77"/>
      <c r="C964" s="77"/>
      <c r="D964" s="78"/>
      <c r="E964" s="80"/>
      <c r="F964" s="80"/>
      <c r="G964" s="81"/>
      <c r="H964" s="81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82"/>
      <c r="Z964" s="82"/>
      <c r="AA964" s="82"/>
      <c r="AB964" s="80"/>
      <c r="AC964" s="77"/>
      <c r="AD964" s="77"/>
      <c r="AE964" s="77"/>
      <c r="AF964" s="77"/>
      <c r="AG964" s="77"/>
      <c r="AH964" s="77"/>
      <c r="AI964" s="92"/>
      <c r="AJ964" s="77"/>
      <c r="AK964" s="77"/>
      <c r="AL964" s="77"/>
      <c r="AM964" s="77"/>
      <c r="AN964" s="77"/>
      <c r="AO964" s="77"/>
      <c r="AP964" s="76"/>
      <c r="AQ964" s="81"/>
      <c r="AR964" s="76"/>
      <c r="AS964" s="81"/>
      <c r="AT964" s="76"/>
      <c r="AU964" s="81"/>
      <c r="AV964" s="77"/>
      <c r="AW964" s="81"/>
      <c r="AX964" s="77"/>
      <c r="AY964" s="81"/>
      <c r="AZ964" s="77"/>
      <c r="BA964" s="81"/>
      <c r="BB964" s="77"/>
      <c r="BC964" s="81"/>
      <c r="BD964" s="77"/>
      <c r="BE964" s="81"/>
      <c r="BF964" s="77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77"/>
      <c r="BU964" s="77"/>
      <c r="BV964" s="77"/>
      <c r="BW964" s="77"/>
      <c r="BX964" s="77"/>
      <c r="BY964" s="77"/>
      <c r="BZ964" s="77"/>
      <c r="CA964" s="77"/>
      <c r="CB964" s="77"/>
      <c r="CC964" s="77"/>
      <c r="CD964" s="77"/>
      <c r="CE964" s="77"/>
      <c r="CF964" s="77"/>
      <c r="CG964" s="77"/>
      <c r="CH964" s="77"/>
      <c r="CI964" s="77"/>
      <c r="CJ964" s="77"/>
      <c r="CK964" s="77"/>
      <c r="CL964" s="77"/>
      <c r="CM964" s="77"/>
      <c r="CN964" s="77"/>
      <c r="CO964" s="77"/>
      <c r="CP964" s="77"/>
      <c r="CQ964" s="77"/>
      <c r="CR964" s="77"/>
      <c r="CS964" s="77"/>
      <c r="CT964" s="77"/>
      <c r="CU964" s="77"/>
      <c r="CV964" s="77"/>
      <c r="CW964" s="77"/>
    </row>
    <row r="965" spans="1:101" ht="16.5" x14ac:dyDescent="0.45">
      <c r="A965" s="76"/>
      <c r="B965" s="77"/>
      <c r="C965" s="77"/>
      <c r="D965" s="78"/>
      <c r="E965" s="80"/>
      <c r="F965" s="80"/>
      <c r="G965" s="81"/>
      <c r="H965" s="81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82"/>
      <c r="Z965" s="82"/>
      <c r="AA965" s="82"/>
      <c r="AB965" s="80"/>
      <c r="AC965" s="77"/>
      <c r="AD965" s="77"/>
      <c r="AE965" s="77"/>
      <c r="AF965" s="77"/>
      <c r="AG965" s="77"/>
      <c r="AH965" s="77"/>
      <c r="AI965" s="92"/>
      <c r="AJ965" s="77"/>
      <c r="AK965" s="77"/>
      <c r="AL965" s="77"/>
      <c r="AM965" s="77"/>
      <c r="AN965" s="77"/>
      <c r="AO965" s="77"/>
      <c r="AP965" s="76"/>
      <c r="AQ965" s="81"/>
      <c r="AR965" s="76"/>
      <c r="AS965" s="81"/>
      <c r="AT965" s="76"/>
      <c r="AU965" s="81"/>
      <c r="AV965" s="77"/>
      <c r="AW965" s="81"/>
      <c r="AX965" s="77"/>
      <c r="AY965" s="81"/>
      <c r="AZ965" s="77"/>
      <c r="BA965" s="81"/>
      <c r="BB965" s="77"/>
      <c r="BC965" s="81"/>
      <c r="BD965" s="77"/>
      <c r="BE965" s="81"/>
      <c r="BF965" s="77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77"/>
      <c r="BU965" s="77"/>
      <c r="BV965" s="77"/>
      <c r="BW965" s="77"/>
      <c r="BX965" s="77"/>
      <c r="BY965" s="77"/>
      <c r="BZ965" s="77"/>
      <c r="CA965" s="77"/>
      <c r="CB965" s="77"/>
      <c r="CC965" s="77"/>
      <c r="CD965" s="77"/>
      <c r="CE965" s="77"/>
      <c r="CF965" s="77"/>
      <c r="CG965" s="77"/>
      <c r="CH965" s="77"/>
      <c r="CI965" s="77"/>
      <c r="CJ965" s="77"/>
      <c r="CK965" s="77"/>
      <c r="CL965" s="77"/>
      <c r="CM965" s="77"/>
      <c r="CN965" s="77"/>
      <c r="CO965" s="77"/>
      <c r="CP965" s="77"/>
      <c r="CQ965" s="77"/>
      <c r="CR965" s="77"/>
      <c r="CS965" s="77"/>
      <c r="CT965" s="77"/>
      <c r="CU965" s="77"/>
      <c r="CV965" s="77"/>
      <c r="CW965" s="77"/>
    </row>
    <row r="966" spans="1:101" ht="16.5" x14ac:dyDescent="0.45">
      <c r="A966" s="76"/>
      <c r="B966" s="77"/>
      <c r="C966" s="77"/>
      <c r="D966" s="78"/>
      <c r="E966" s="80"/>
      <c r="F966" s="80"/>
      <c r="G966" s="81"/>
      <c r="H966" s="81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82"/>
      <c r="Z966" s="82"/>
      <c r="AA966" s="82"/>
      <c r="AB966" s="80"/>
      <c r="AC966" s="77"/>
      <c r="AD966" s="77"/>
      <c r="AE966" s="77"/>
      <c r="AF966" s="77"/>
      <c r="AG966" s="77"/>
      <c r="AH966" s="77"/>
      <c r="AI966" s="92"/>
      <c r="AJ966" s="77"/>
      <c r="AK966" s="77"/>
      <c r="AL966" s="77"/>
      <c r="AM966" s="77"/>
      <c r="AN966" s="77"/>
      <c r="AO966" s="77"/>
      <c r="AP966" s="76"/>
      <c r="AQ966" s="81"/>
      <c r="AR966" s="76"/>
      <c r="AS966" s="81"/>
      <c r="AT966" s="76"/>
      <c r="AU966" s="81"/>
      <c r="AV966" s="77"/>
      <c r="AW966" s="81"/>
      <c r="AX966" s="77"/>
      <c r="AY966" s="81"/>
      <c r="AZ966" s="77"/>
      <c r="BA966" s="81"/>
      <c r="BB966" s="77"/>
      <c r="BC966" s="81"/>
      <c r="BD966" s="77"/>
      <c r="BE966" s="81"/>
      <c r="BF966" s="77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77"/>
      <c r="BU966" s="77"/>
      <c r="BV966" s="77"/>
      <c r="BW966" s="77"/>
      <c r="BX966" s="77"/>
      <c r="BY966" s="77"/>
      <c r="BZ966" s="77"/>
      <c r="CA966" s="77"/>
      <c r="CB966" s="77"/>
      <c r="CC966" s="77"/>
      <c r="CD966" s="77"/>
      <c r="CE966" s="77"/>
      <c r="CF966" s="77"/>
      <c r="CG966" s="77"/>
      <c r="CH966" s="77"/>
      <c r="CI966" s="77"/>
      <c r="CJ966" s="77"/>
      <c r="CK966" s="77"/>
      <c r="CL966" s="77"/>
      <c r="CM966" s="77"/>
      <c r="CN966" s="77"/>
      <c r="CO966" s="77"/>
      <c r="CP966" s="77"/>
      <c r="CQ966" s="77"/>
      <c r="CR966" s="77"/>
      <c r="CS966" s="77"/>
      <c r="CT966" s="77"/>
      <c r="CU966" s="77"/>
      <c r="CV966" s="77"/>
      <c r="CW966" s="77"/>
    </row>
    <row r="967" spans="1:101" ht="16.5" x14ac:dyDescent="0.45">
      <c r="A967" s="76"/>
      <c r="B967" s="77"/>
      <c r="C967" s="77"/>
      <c r="D967" s="78"/>
      <c r="E967" s="80"/>
      <c r="F967" s="80"/>
      <c r="G967" s="81"/>
      <c r="H967" s="81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82"/>
      <c r="Z967" s="82"/>
      <c r="AA967" s="82"/>
      <c r="AB967" s="80"/>
      <c r="AC967" s="77"/>
      <c r="AD967" s="77"/>
      <c r="AE967" s="77"/>
      <c r="AF967" s="77"/>
      <c r="AG967" s="77"/>
      <c r="AH967" s="77"/>
      <c r="AI967" s="92"/>
      <c r="AJ967" s="77"/>
      <c r="AK967" s="77"/>
      <c r="AL967" s="77"/>
      <c r="AM967" s="77"/>
      <c r="AN967" s="77"/>
      <c r="AO967" s="77"/>
      <c r="AP967" s="76"/>
      <c r="AQ967" s="81"/>
      <c r="AR967" s="76"/>
      <c r="AS967" s="81"/>
      <c r="AT967" s="76"/>
      <c r="AU967" s="81"/>
      <c r="AV967" s="77"/>
      <c r="AW967" s="81"/>
      <c r="AX967" s="77"/>
      <c r="AY967" s="81"/>
      <c r="AZ967" s="77"/>
      <c r="BA967" s="81"/>
      <c r="BB967" s="77"/>
      <c r="BC967" s="81"/>
      <c r="BD967" s="77"/>
      <c r="BE967" s="81"/>
      <c r="BF967" s="77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77"/>
      <c r="BU967" s="77"/>
      <c r="BV967" s="77"/>
      <c r="BW967" s="77"/>
      <c r="BX967" s="77"/>
      <c r="BY967" s="77"/>
      <c r="BZ967" s="77"/>
      <c r="CA967" s="77"/>
      <c r="CB967" s="77"/>
      <c r="CC967" s="77"/>
      <c r="CD967" s="77"/>
      <c r="CE967" s="77"/>
      <c r="CF967" s="77"/>
      <c r="CG967" s="77"/>
      <c r="CH967" s="77"/>
      <c r="CI967" s="77"/>
      <c r="CJ967" s="77"/>
      <c r="CK967" s="77"/>
      <c r="CL967" s="77"/>
      <c r="CM967" s="77"/>
      <c r="CN967" s="77"/>
      <c r="CO967" s="77"/>
      <c r="CP967" s="77"/>
      <c r="CQ967" s="77"/>
      <c r="CR967" s="77"/>
      <c r="CS967" s="77"/>
      <c r="CT967" s="77"/>
      <c r="CU967" s="77"/>
      <c r="CV967" s="77"/>
      <c r="CW967" s="77"/>
    </row>
    <row r="968" spans="1:101" ht="16.5" x14ac:dyDescent="0.45">
      <c r="A968" s="76"/>
      <c r="B968" s="77"/>
      <c r="C968" s="77"/>
      <c r="D968" s="78"/>
      <c r="E968" s="80"/>
      <c r="F968" s="80"/>
      <c r="G968" s="81"/>
      <c r="H968" s="81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82"/>
      <c r="Z968" s="82"/>
      <c r="AA968" s="82"/>
      <c r="AB968" s="80"/>
      <c r="AC968" s="77"/>
      <c r="AD968" s="77"/>
      <c r="AE968" s="77"/>
      <c r="AF968" s="77"/>
      <c r="AG968" s="77"/>
      <c r="AH968" s="77"/>
      <c r="AI968" s="92"/>
      <c r="AJ968" s="77"/>
      <c r="AK968" s="77"/>
      <c r="AL968" s="77"/>
      <c r="AM968" s="77"/>
      <c r="AN968" s="77"/>
      <c r="AO968" s="77"/>
      <c r="AP968" s="76"/>
      <c r="AQ968" s="81"/>
      <c r="AR968" s="76"/>
      <c r="AS968" s="81"/>
      <c r="AT968" s="76"/>
      <c r="AU968" s="81"/>
      <c r="AV968" s="77"/>
      <c r="AW968" s="81"/>
      <c r="AX968" s="77"/>
      <c r="AY968" s="81"/>
      <c r="AZ968" s="77"/>
      <c r="BA968" s="81"/>
      <c r="BB968" s="77"/>
      <c r="BC968" s="81"/>
      <c r="BD968" s="77"/>
      <c r="BE968" s="81"/>
      <c r="BF968" s="77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77"/>
      <c r="BU968" s="77"/>
      <c r="BV968" s="77"/>
      <c r="BW968" s="77"/>
      <c r="BX968" s="77"/>
      <c r="BY968" s="77"/>
      <c r="BZ968" s="77"/>
      <c r="CA968" s="77"/>
      <c r="CB968" s="77"/>
      <c r="CC968" s="77"/>
      <c r="CD968" s="77"/>
      <c r="CE968" s="77"/>
      <c r="CF968" s="77"/>
      <c r="CG968" s="77"/>
      <c r="CH968" s="77"/>
      <c r="CI968" s="77"/>
      <c r="CJ968" s="77"/>
      <c r="CK968" s="77"/>
      <c r="CL968" s="77"/>
      <c r="CM968" s="77"/>
      <c r="CN968" s="77"/>
      <c r="CO968" s="77"/>
      <c r="CP968" s="77"/>
      <c r="CQ968" s="77"/>
      <c r="CR968" s="77"/>
      <c r="CS968" s="77"/>
      <c r="CT968" s="77"/>
      <c r="CU968" s="77"/>
      <c r="CV968" s="77"/>
      <c r="CW968" s="77"/>
    </row>
    <row r="969" spans="1:101" ht="16.5" x14ac:dyDescent="0.45">
      <c r="A969" s="76"/>
      <c r="B969" s="77"/>
      <c r="C969" s="77"/>
      <c r="D969" s="78"/>
      <c r="E969" s="80"/>
      <c r="F969" s="80"/>
      <c r="G969" s="81"/>
      <c r="H969" s="81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82"/>
      <c r="Z969" s="82"/>
      <c r="AA969" s="82"/>
      <c r="AB969" s="80"/>
      <c r="AC969" s="77"/>
      <c r="AD969" s="77"/>
      <c r="AE969" s="77"/>
      <c r="AF969" s="77"/>
      <c r="AG969" s="77"/>
      <c r="AH969" s="77"/>
      <c r="AI969" s="92"/>
      <c r="AJ969" s="77"/>
      <c r="AK969" s="77"/>
      <c r="AL969" s="77"/>
      <c r="AM969" s="77"/>
      <c r="AN969" s="77"/>
      <c r="AO969" s="77"/>
      <c r="AP969" s="76"/>
      <c r="AQ969" s="81"/>
      <c r="AR969" s="76"/>
      <c r="AS969" s="81"/>
      <c r="AT969" s="76"/>
      <c r="AU969" s="81"/>
      <c r="AV969" s="77"/>
      <c r="AW969" s="81"/>
      <c r="AX969" s="77"/>
      <c r="AY969" s="81"/>
      <c r="AZ969" s="77"/>
      <c r="BA969" s="81"/>
      <c r="BB969" s="77"/>
      <c r="BC969" s="81"/>
      <c r="BD969" s="77"/>
      <c r="BE969" s="81"/>
      <c r="BF969" s="77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77"/>
      <c r="BU969" s="77"/>
      <c r="BV969" s="77"/>
      <c r="BW969" s="77"/>
      <c r="BX969" s="77"/>
      <c r="BY969" s="77"/>
      <c r="BZ969" s="77"/>
      <c r="CA969" s="77"/>
      <c r="CB969" s="77"/>
      <c r="CC969" s="77"/>
      <c r="CD969" s="77"/>
      <c r="CE969" s="77"/>
      <c r="CF969" s="77"/>
      <c r="CG969" s="77"/>
      <c r="CH969" s="77"/>
      <c r="CI969" s="77"/>
      <c r="CJ969" s="77"/>
      <c r="CK969" s="77"/>
      <c r="CL969" s="77"/>
      <c r="CM969" s="77"/>
      <c r="CN969" s="77"/>
      <c r="CO969" s="77"/>
      <c r="CP969" s="77"/>
      <c r="CQ969" s="77"/>
      <c r="CR969" s="77"/>
      <c r="CS969" s="77"/>
      <c r="CT969" s="77"/>
      <c r="CU969" s="77"/>
      <c r="CV969" s="77"/>
      <c r="CW969" s="77"/>
    </row>
    <row r="970" spans="1:101" ht="16.5" x14ac:dyDescent="0.45">
      <c r="A970" s="76"/>
      <c r="B970" s="77"/>
      <c r="C970" s="77"/>
      <c r="D970" s="78"/>
      <c r="E970" s="80"/>
      <c r="F970" s="80"/>
      <c r="G970" s="81"/>
      <c r="H970" s="81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82"/>
      <c r="Z970" s="82"/>
      <c r="AA970" s="82"/>
      <c r="AB970" s="80"/>
      <c r="AC970" s="77"/>
      <c r="AD970" s="77"/>
      <c r="AE970" s="77"/>
      <c r="AF970" s="77"/>
      <c r="AG970" s="77"/>
      <c r="AH970" s="77"/>
      <c r="AI970" s="92"/>
      <c r="AJ970" s="77"/>
      <c r="AK970" s="77"/>
      <c r="AL970" s="77"/>
      <c r="AM970" s="77"/>
      <c r="AN970" s="77"/>
      <c r="AO970" s="77"/>
      <c r="AP970" s="76"/>
      <c r="AQ970" s="81"/>
      <c r="AR970" s="76"/>
      <c r="AS970" s="81"/>
      <c r="AT970" s="76"/>
      <c r="AU970" s="81"/>
      <c r="AV970" s="77"/>
      <c r="AW970" s="81"/>
      <c r="AX970" s="77"/>
      <c r="AY970" s="81"/>
      <c r="AZ970" s="77"/>
      <c r="BA970" s="81"/>
      <c r="BB970" s="77"/>
      <c r="BC970" s="81"/>
      <c r="BD970" s="77"/>
      <c r="BE970" s="81"/>
      <c r="BF970" s="77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77"/>
      <c r="BU970" s="77"/>
      <c r="BV970" s="77"/>
      <c r="BW970" s="77"/>
      <c r="BX970" s="77"/>
      <c r="BY970" s="77"/>
      <c r="BZ970" s="77"/>
      <c r="CA970" s="77"/>
      <c r="CB970" s="77"/>
      <c r="CC970" s="77"/>
      <c r="CD970" s="77"/>
      <c r="CE970" s="77"/>
      <c r="CF970" s="77"/>
      <c r="CG970" s="77"/>
      <c r="CH970" s="77"/>
      <c r="CI970" s="77"/>
      <c r="CJ970" s="77"/>
      <c r="CK970" s="77"/>
      <c r="CL970" s="77"/>
      <c r="CM970" s="77"/>
      <c r="CN970" s="77"/>
      <c r="CO970" s="77"/>
      <c r="CP970" s="77"/>
      <c r="CQ970" s="77"/>
      <c r="CR970" s="77"/>
      <c r="CS970" s="77"/>
      <c r="CT970" s="77"/>
      <c r="CU970" s="77"/>
      <c r="CV970" s="77"/>
      <c r="CW970" s="77"/>
    </row>
    <row r="971" spans="1:101" ht="16.5" x14ac:dyDescent="0.45">
      <c r="A971" s="76"/>
      <c r="B971" s="77"/>
      <c r="C971" s="77"/>
      <c r="D971" s="78"/>
      <c r="E971" s="80"/>
      <c r="F971" s="80"/>
      <c r="G971" s="81"/>
      <c r="H971" s="81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82"/>
      <c r="Z971" s="82"/>
      <c r="AA971" s="82"/>
      <c r="AB971" s="80"/>
      <c r="AC971" s="77"/>
      <c r="AD971" s="77"/>
      <c r="AE971" s="77"/>
      <c r="AF971" s="77"/>
      <c r="AG971" s="77"/>
      <c r="AH971" s="77"/>
      <c r="AI971" s="92"/>
      <c r="AJ971" s="77"/>
      <c r="AK971" s="77"/>
      <c r="AL971" s="77"/>
      <c r="AM971" s="77"/>
      <c r="AN971" s="77"/>
      <c r="AO971" s="77"/>
      <c r="AP971" s="76"/>
      <c r="AQ971" s="81"/>
      <c r="AR971" s="76"/>
      <c r="AS971" s="81"/>
      <c r="AT971" s="76"/>
      <c r="AU971" s="81"/>
      <c r="AV971" s="77"/>
      <c r="AW971" s="81"/>
      <c r="AX971" s="77"/>
      <c r="AY971" s="81"/>
      <c r="AZ971" s="77"/>
      <c r="BA971" s="81"/>
      <c r="BB971" s="77"/>
      <c r="BC971" s="81"/>
      <c r="BD971" s="77"/>
      <c r="BE971" s="81"/>
      <c r="BF971" s="77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77"/>
      <c r="BU971" s="77"/>
      <c r="BV971" s="77"/>
      <c r="BW971" s="77"/>
      <c r="BX971" s="77"/>
      <c r="BY971" s="77"/>
      <c r="BZ971" s="77"/>
      <c r="CA971" s="77"/>
      <c r="CB971" s="77"/>
      <c r="CC971" s="77"/>
      <c r="CD971" s="77"/>
      <c r="CE971" s="77"/>
      <c r="CF971" s="77"/>
      <c r="CG971" s="77"/>
      <c r="CH971" s="77"/>
      <c r="CI971" s="77"/>
      <c r="CJ971" s="77"/>
      <c r="CK971" s="77"/>
      <c r="CL971" s="77"/>
      <c r="CM971" s="77"/>
      <c r="CN971" s="77"/>
      <c r="CO971" s="77"/>
      <c r="CP971" s="77"/>
      <c r="CQ971" s="77"/>
      <c r="CR971" s="77"/>
      <c r="CS971" s="77"/>
      <c r="CT971" s="77"/>
      <c r="CU971" s="77"/>
      <c r="CV971" s="77"/>
      <c r="CW971" s="77"/>
    </row>
    <row r="972" spans="1:101" ht="16.5" x14ac:dyDescent="0.45">
      <c r="A972" s="76"/>
      <c r="B972" s="77"/>
      <c r="C972" s="77"/>
      <c r="D972" s="78"/>
      <c r="E972" s="80"/>
      <c r="F972" s="80"/>
      <c r="G972" s="81"/>
      <c r="H972" s="81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82"/>
      <c r="Z972" s="82"/>
      <c r="AA972" s="82"/>
      <c r="AB972" s="80"/>
      <c r="AC972" s="77"/>
      <c r="AD972" s="77"/>
      <c r="AE972" s="77"/>
      <c r="AF972" s="77"/>
      <c r="AG972" s="77"/>
      <c r="AH972" s="77"/>
      <c r="AI972" s="92"/>
      <c r="AJ972" s="77"/>
      <c r="AK972" s="77"/>
      <c r="AL972" s="77"/>
      <c r="AM972" s="77"/>
      <c r="AN972" s="77"/>
      <c r="AO972" s="77"/>
      <c r="AP972" s="76"/>
      <c r="AQ972" s="81"/>
      <c r="AR972" s="76"/>
      <c r="AS972" s="81"/>
      <c r="AT972" s="76"/>
      <c r="AU972" s="81"/>
      <c r="AV972" s="77"/>
      <c r="AW972" s="81"/>
      <c r="AX972" s="77"/>
      <c r="AY972" s="81"/>
      <c r="AZ972" s="77"/>
      <c r="BA972" s="81"/>
      <c r="BB972" s="77"/>
      <c r="BC972" s="81"/>
      <c r="BD972" s="77"/>
      <c r="BE972" s="81"/>
      <c r="BF972" s="77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77"/>
      <c r="BU972" s="77"/>
      <c r="BV972" s="77"/>
      <c r="BW972" s="77"/>
      <c r="BX972" s="77"/>
      <c r="BY972" s="77"/>
      <c r="BZ972" s="77"/>
      <c r="CA972" s="77"/>
      <c r="CB972" s="77"/>
      <c r="CC972" s="77"/>
      <c r="CD972" s="77"/>
      <c r="CE972" s="77"/>
      <c r="CF972" s="77"/>
      <c r="CG972" s="77"/>
      <c r="CH972" s="77"/>
      <c r="CI972" s="77"/>
      <c r="CJ972" s="77"/>
      <c r="CK972" s="77"/>
      <c r="CL972" s="77"/>
      <c r="CM972" s="77"/>
      <c r="CN972" s="77"/>
      <c r="CO972" s="77"/>
      <c r="CP972" s="77"/>
      <c r="CQ972" s="77"/>
      <c r="CR972" s="77"/>
      <c r="CS972" s="77"/>
      <c r="CT972" s="77"/>
      <c r="CU972" s="77"/>
      <c r="CV972" s="77"/>
      <c r="CW972" s="77"/>
    </row>
    <row r="973" spans="1:101" ht="16.5" x14ac:dyDescent="0.45">
      <c r="A973" s="76"/>
      <c r="B973" s="77"/>
      <c r="C973" s="77"/>
      <c r="D973" s="78"/>
      <c r="E973" s="80"/>
      <c r="F973" s="80"/>
      <c r="G973" s="81"/>
      <c r="H973" s="81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82"/>
      <c r="Z973" s="82"/>
      <c r="AA973" s="82"/>
      <c r="AB973" s="80"/>
      <c r="AC973" s="77"/>
      <c r="AD973" s="77"/>
      <c r="AE973" s="77"/>
      <c r="AF973" s="77"/>
      <c r="AG973" s="77"/>
      <c r="AH973" s="77"/>
      <c r="AI973" s="92"/>
      <c r="AJ973" s="77"/>
      <c r="AK973" s="77"/>
      <c r="AL973" s="77"/>
      <c r="AM973" s="77"/>
      <c r="AN973" s="77"/>
      <c r="AO973" s="77"/>
      <c r="AP973" s="76"/>
      <c r="AQ973" s="81"/>
      <c r="AR973" s="76"/>
      <c r="AS973" s="81"/>
      <c r="AT973" s="76"/>
      <c r="AU973" s="81"/>
      <c r="AV973" s="77"/>
      <c r="AW973" s="81"/>
      <c r="AX973" s="77"/>
      <c r="AY973" s="81"/>
      <c r="AZ973" s="77"/>
      <c r="BA973" s="81"/>
      <c r="BB973" s="77"/>
      <c r="BC973" s="81"/>
      <c r="BD973" s="77"/>
      <c r="BE973" s="81"/>
      <c r="BF973" s="77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77"/>
      <c r="BU973" s="77"/>
      <c r="BV973" s="77"/>
      <c r="BW973" s="77"/>
      <c r="BX973" s="77"/>
      <c r="BY973" s="77"/>
      <c r="BZ973" s="77"/>
      <c r="CA973" s="77"/>
      <c r="CB973" s="77"/>
      <c r="CC973" s="77"/>
      <c r="CD973" s="77"/>
      <c r="CE973" s="77"/>
      <c r="CF973" s="77"/>
      <c r="CG973" s="77"/>
      <c r="CH973" s="77"/>
      <c r="CI973" s="77"/>
      <c r="CJ973" s="77"/>
      <c r="CK973" s="77"/>
      <c r="CL973" s="77"/>
      <c r="CM973" s="77"/>
      <c r="CN973" s="77"/>
      <c r="CO973" s="77"/>
      <c r="CP973" s="77"/>
      <c r="CQ973" s="77"/>
      <c r="CR973" s="77"/>
      <c r="CS973" s="77"/>
      <c r="CT973" s="77"/>
      <c r="CU973" s="77"/>
      <c r="CV973" s="77"/>
      <c r="CW973" s="77"/>
    </row>
    <row r="974" spans="1:101" ht="16.5" x14ac:dyDescent="0.45">
      <c r="A974" s="76"/>
      <c r="B974" s="77"/>
      <c r="C974" s="77"/>
      <c r="D974" s="78"/>
      <c r="E974" s="80"/>
      <c r="F974" s="80"/>
      <c r="G974" s="81"/>
      <c r="H974" s="81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82"/>
      <c r="Z974" s="82"/>
      <c r="AA974" s="82"/>
      <c r="AB974" s="80"/>
      <c r="AC974" s="77"/>
      <c r="AD974" s="77"/>
      <c r="AE974" s="77"/>
      <c r="AF974" s="77"/>
      <c r="AG974" s="77"/>
      <c r="AH974" s="77"/>
      <c r="AI974" s="92"/>
      <c r="AJ974" s="77"/>
      <c r="AK974" s="77"/>
      <c r="AL974" s="77"/>
      <c r="AM974" s="77"/>
      <c r="AN974" s="77"/>
      <c r="AO974" s="77"/>
      <c r="AP974" s="76"/>
      <c r="AQ974" s="81"/>
      <c r="AR974" s="76"/>
      <c r="AS974" s="81"/>
      <c r="AT974" s="76"/>
      <c r="AU974" s="81"/>
      <c r="AV974" s="77"/>
      <c r="AW974" s="81"/>
      <c r="AX974" s="77"/>
      <c r="AY974" s="81"/>
      <c r="AZ974" s="77"/>
      <c r="BA974" s="81"/>
      <c r="BB974" s="77"/>
      <c r="BC974" s="81"/>
      <c r="BD974" s="77"/>
      <c r="BE974" s="81"/>
      <c r="BF974" s="77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77"/>
      <c r="BU974" s="77"/>
      <c r="BV974" s="77"/>
      <c r="BW974" s="77"/>
      <c r="BX974" s="77"/>
      <c r="BY974" s="77"/>
      <c r="BZ974" s="77"/>
      <c r="CA974" s="77"/>
      <c r="CB974" s="77"/>
      <c r="CC974" s="77"/>
      <c r="CD974" s="77"/>
      <c r="CE974" s="77"/>
      <c r="CF974" s="77"/>
      <c r="CG974" s="77"/>
      <c r="CH974" s="77"/>
      <c r="CI974" s="77"/>
      <c r="CJ974" s="77"/>
      <c r="CK974" s="77"/>
      <c r="CL974" s="77"/>
      <c r="CM974" s="77"/>
      <c r="CN974" s="77"/>
      <c r="CO974" s="77"/>
      <c r="CP974" s="77"/>
      <c r="CQ974" s="77"/>
      <c r="CR974" s="77"/>
      <c r="CS974" s="77"/>
      <c r="CT974" s="77"/>
      <c r="CU974" s="77"/>
      <c r="CV974" s="77"/>
      <c r="CW974" s="77"/>
    </row>
    <row r="975" spans="1:101" ht="16.5" x14ac:dyDescent="0.45">
      <c r="A975" s="76"/>
      <c r="B975" s="77"/>
      <c r="C975" s="77"/>
      <c r="D975" s="78"/>
      <c r="E975" s="80"/>
      <c r="F975" s="80"/>
      <c r="G975" s="81"/>
      <c r="H975" s="81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82"/>
      <c r="Z975" s="82"/>
      <c r="AA975" s="82"/>
      <c r="AB975" s="80"/>
      <c r="AC975" s="77"/>
      <c r="AD975" s="77"/>
      <c r="AE975" s="77"/>
      <c r="AF975" s="77"/>
      <c r="AG975" s="77"/>
      <c r="AH975" s="77"/>
      <c r="AI975" s="92"/>
      <c r="AJ975" s="77"/>
      <c r="AK975" s="77"/>
      <c r="AL975" s="77"/>
      <c r="AM975" s="77"/>
      <c r="AN975" s="77"/>
      <c r="AO975" s="77"/>
      <c r="AP975" s="76"/>
      <c r="AQ975" s="81"/>
      <c r="AR975" s="76"/>
      <c r="AS975" s="81"/>
      <c r="AT975" s="76"/>
      <c r="AU975" s="81"/>
      <c r="AV975" s="77"/>
      <c r="AW975" s="81"/>
      <c r="AX975" s="77"/>
      <c r="AY975" s="81"/>
      <c r="AZ975" s="77"/>
      <c r="BA975" s="81"/>
      <c r="BB975" s="77"/>
      <c r="BC975" s="81"/>
      <c r="BD975" s="77"/>
      <c r="BE975" s="81"/>
      <c r="BF975" s="77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77"/>
      <c r="BU975" s="77"/>
      <c r="BV975" s="77"/>
      <c r="BW975" s="77"/>
      <c r="BX975" s="77"/>
      <c r="BY975" s="77"/>
      <c r="BZ975" s="77"/>
      <c r="CA975" s="77"/>
      <c r="CB975" s="77"/>
      <c r="CC975" s="77"/>
      <c r="CD975" s="77"/>
      <c r="CE975" s="77"/>
      <c r="CF975" s="77"/>
      <c r="CG975" s="77"/>
      <c r="CH975" s="77"/>
      <c r="CI975" s="77"/>
      <c r="CJ975" s="77"/>
      <c r="CK975" s="77"/>
      <c r="CL975" s="77"/>
      <c r="CM975" s="77"/>
      <c r="CN975" s="77"/>
      <c r="CO975" s="77"/>
      <c r="CP975" s="77"/>
      <c r="CQ975" s="77"/>
      <c r="CR975" s="77"/>
      <c r="CS975" s="77"/>
      <c r="CT975" s="77"/>
      <c r="CU975" s="77"/>
      <c r="CV975" s="77"/>
      <c r="CW975" s="77"/>
    </row>
    <row r="976" spans="1:101" ht="16.5" x14ac:dyDescent="0.45">
      <c r="A976" s="76"/>
      <c r="B976" s="77"/>
      <c r="C976" s="77"/>
      <c r="D976" s="78"/>
      <c r="E976" s="80"/>
      <c r="F976" s="80"/>
      <c r="G976" s="81"/>
      <c r="H976" s="81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82"/>
      <c r="Z976" s="82"/>
      <c r="AA976" s="82"/>
      <c r="AB976" s="80"/>
      <c r="AC976" s="77"/>
      <c r="AD976" s="77"/>
      <c r="AE976" s="77"/>
      <c r="AF976" s="77"/>
      <c r="AG976" s="77"/>
      <c r="AH976" s="77"/>
      <c r="AI976" s="92"/>
      <c r="AJ976" s="77"/>
      <c r="AK976" s="77"/>
      <c r="AL976" s="77"/>
      <c r="AM976" s="77"/>
      <c r="AN976" s="77"/>
      <c r="AO976" s="77"/>
      <c r="AP976" s="76"/>
      <c r="AQ976" s="81"/>
      <c r="AR976" s="76"/>
      <c r="AS976" s="81"/>
      <c r="AT976" s="76"/>
      <c r="AU976" s="81"/>
      <c r="AV976" s="77"/>
      <c r="AW976" s="81"/>
      <c r="AX976" s="77"/>
      <c r="AY976" s="81"/>
      <c r="AZ976" s="77"/>
      <c r="BA976" s="81"/>
      <c r="BB976" s="77"/>
      <c r="BC976" s="81"/>
      <c r="BD976" s="77"/>
      <c r="BE976" s="81"/>
      <c r="BF976" s="77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77"/>
      <c r="BU976" s="77"/>
      <c r="BV976" s="77"/>
      <c r="BW976" s="77"/>
      <c r="BX976" s="77"/>
      <c r="BY976" s="77"/>
      <c r="BZ976" s="77"/>
      <c r="CA976" s="77"/>
      <c r="CB976" s="77"/>
      <c r="CC976" s="77"/>
      <c r="CD976" s="77"/>
      <c r="CE976" s="77"/>
      <c r="CF976" s="77"/>
      <c r="CG976" s="77"/>
      <c r="CH976" s="77"/>
      <c r="CI976" s="77"/>
      <c r="CJ976" s="77"/>
      <c r="CK976" s="77"/>
      <c r="CL976" s="77"/>
      <c r="CM976" s="77"/>
      <c r="CN976" s="77"/>
      <c r="CO976" s="77"/>
      <c r="CP976" s="77"/>
      <c r="CQ976" s="77"/>
      <c r="CR976" s="77"/>
      <c r="CS976" s="77"/>
      <c r="CT976" s="77"/>
      <c r="CU976" s="77"/>
      <c r="CV976" s="77"/>
      <c r="CW976" s="77"/>
    </row>
    <row r="977" spans="1:101" ht="16.5" x14ac:dyDescent="0.45">
      <c r="A977" s="76"/>
      <c r="B977" s="77"/>
      <c r="C977" s="77"/>
      <c r="D977" s="78"/>
      <c r="E977" s="80"/>
      <c r="F977" s="80"/>
      <c r="G977" s="81"/>
      <c r="H977" s="81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82"/>
      <c r="Z977" s="82"/>
      <c r="AA977" s="82"/>
      <c r="AB977" s="80"/>
      <c r="AC977" s="77"/>
      <c r="AD977" s="77"/>
      <c r="AE977" s="77"/>
      <c r="AF977" s="77"/>
      <c r="AG977" s="77"/>
      <c r="AH977" s="77"/>
      <c r="AI977" s="92"/>
      <c r="AJ977" s="77"/>
      <c r="AK977" s="77"/>
      <c r="AL977" s="77"/>
      <c r="AM977" s="77"/>
      <c r="AN977" s="77"/>
      <c r="AO977" s="77"/>
      <c r="AP977" s="76"/>
      <c r="AQ977" s="81"/>
      <c r="AR977" s="76"/>
      <c r="AS977" s="81"/>
      <c r="AT977" s="76"/>
      <c r="AU977" s="81"/>
      <c r="AV977" s="77"/>
      <c r="AW977" s="81"/>
      <c r="AX977" s="77"/>
      <c r="AY977" s="81"/>
      <c r="AZ977" s="77"/>
      <c r="BA977" s="81"/>
      <c r="BB977" s="77"/>
      <c r="BC977" s="81"/>
      <c r="BD977" s="77"/>
      <c r="BE977" s="81"/>
      <c r="BF977" s="77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77"/>
      <c r="BU977" s="77"/>
      <c r="BV977" s="77"/>
      <c r="BW977" s="77"/>
      <c r="BX977" s="77"/>
      <c r="BY977" s="77"/>
      <c r="BZ977" s="77"/>
      <c r="CA977" s="77"/>
      <c r="CB977" s="77"/>
      <c r="CC977" s="77"/>
      <c r="CD977" s="77"/>
      <c r="CE977" s="77"/>
      <c r="CF977" s="77"/>
      <c r="CG977" s="77"/>
      <c r="CH977" s="77"/>
      <c r="CI977" s="77"/>
      <c r="CJ977" s="77"/>
      <c r="CK977" s="77"/>
      <c r="CL977" s="77"/>
      <c r="CM977" s="77"/>
      <c r="CN977" s="77"/>
      <c r="CO977" s="77"/>
      <c r="CP977" s="77"/>
      <c r="CQ977" s="77"/>
      <c r="CR977" s="77"/>
      <c r="CS977" s="77"/>
      <c r="CT977" s="77"/>
      <c r="CU977" s="77"/>
      <c r="CV977" s="77"/>
      <c r="CW977" s="77"/>
    </row>
    <row r="978" spans="1:101" ht="16.5" x14ac:dyDescent="0.45">
      <c r="A978" s="76"/>
      <c r="B978" s="77"/>
      <c r="C978" s="77"/>
      <c r="D978" s="78"/>
      <c r="E978" s="80"/>
      <c r="F978" s="80"/>
      <c r="G978" s="81"/>
      <c r="H978" s="81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82"/>
      <c r="Z978" s="82"/>
      <c r="AA978" s="82"/>
      <c r="AB978" s="80"/>
      <c r="AC978" s="77"/>
      <c r="AD978" s="77"/>
      <c r="AE978" s="77"/>
      <c r="AF978" s="77"/>
      <c r="AG978" s="77"/>
      <c r="AH978" s="77"/>
      <c r="AI978" s="92"/>
      <c r="AJ978" s="77"/>
      <c r="AK978" s="77"/>
      <c r="AL978" s="77"/>
      <c r="AM978" s="77"/>
      <c r="AN978" s="77"/>
      <c r="AO978" s="77"/>
      <c r="AP978" s="76"/>
      <c r="AQ978" s="81"/>
      <c r="AR978" s="76"/>
      <c r="AS978" s="81"/>
      <c r="AT978" s="76"/>
      <c r="AU978" s="81"/>
      <c r="AV978" s="77"/>
      <c r="AW978" s="81"/>
      <c r="AX978" s="77"/>
      <c r="AY978" s="81"/>
      <c r="AZ978" s="77"/>
      <c r="BA978" s="81"/>
      <c r="BB978" s="77"/>
      <c r="BC978" s="81"/>
      <c r="BD978" s="77"/>
      <c r="BE978" s="81"/>
      <c r="BF978" s="77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77"/>
      <c r="BU978" s="77"/>
      <c r="BV978" s="77"/>
      <c r="BW978" s="77"/>
      <c r="BX978" s="77"/>
      <c r="BY978" s="77"/>
      <c r="BZ978" s="77"/>
      <c r="CA978" s="77"/>
      <c r="CB978" s="77"/>
      <c r="CC978" s="77"/>
      <c r="CD978" s="77"/>
      <c r="CE978" s="77"/>
      <c r="CF978" s="77"/>
      <c r="CG978" s="77"/>
      <c r="CH978" s="77"/>
      <c r="CI978" s="77"/>
      <c r="CJ978" s="77"/>
      <c r="CK978" s="77"/>
      <c r="CL978" s="77"/>
      <c r="CM978" s="77"/>
      <c r="CN978" s="77"/>
      <c r="CO978" s="77"/>
      <c r="CP978" s="77"/>
      <c r="CQ978" s="77"/>
      <c r="CR978" s="77"/>
      <c r="CS978" s="77"/>
      <c r="CT978" s="77"/>
      <c r="CU978" s="77"/>
      <c r="CV978" s="77"/>
      <c r="CW978" s="77"/>
    </row>
    <row r="979" spans="1:101" ht="16.5" x14ac:dyDescent="0.45">
      <c r="A979" s="76"/>
      <c r="B979" s="77"/>
      <c r="C979" s="77"/>
      <c r="D979" s="78"/>
      <c r="E979" s="80"/>
      <c r="F979" s="80"/>
      <c r="G979" s="81"/>
      <c r="H979" s="81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82"/>
      <c r="Z979" s="82"/>
      <c r="AA979" s="82"/>
      <c r="AB979" s="80"/>
      <c r="AC979" s="77"/>
      <c r="AD979" s="77"/>
      <c r="AE979" s="77"/>
      <c r="AF979" s="77"/>
      <c r="AG979" s="77"/>
      <c r="AH979" s="77"/>
      <c r="AI979" s="92"/>
      <c r="AJ979" s="77"/>
      <c r="AK979" s="77"/>
      <c r="AL979" s="77"/>
      <c r="AM979" s="77"/>
      <c r="AN979" s="77"/>
      <c r="AO979" s="77"/>
      <c r="AP979" s="76"/>
      <c r="AQ979" s="81"/>
      <c r="AR979" s="76"/>
      <c r="AS979" s="81"/>
      <c r="AT979" s="76"/>
      <c r="AU979" s="81"/>
      <c r="AV979" s="77"/>
      <c r="AW979" s="81"/>
      <c r="AX979" s="77"/>
      <c r="AY979" s="81"/>
      <c r="AZ979" s="77"/>
      <c r="BA979" s="81"/>
      <c r="BB979" s="77"/>
      <c r="BC979" s="81"/>
      <c r="BD979" s="77"/>
      <c r="BE979" s="81"/>
      <c r="BF979" s="77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77"/>
      <c r="BU979" s="77"/>
      <c r="BV979" s="77"/>
      <c r="BW979" s="77"/>
      <c r="BX979" s="77"/>
      <c r="BY979" s="77"/>
      <c r="BZ979" s="77"/>
      <c r="CA979" s="77"/>
      <c r="CB979" s="77"/>
      <c r="CC979" s="77"/>
      <c r="CD979" s="77"/>
      <c r="CE979" s="77"/>
      <c r="CF979" s="77"/>
      <c r="CG979" s="77"/>
      <c r="CH979" s="77"/>
      <c r="CI979" s="77"/>
      <c r="CJ979" s="77"/>
      <c r="CK979" s="77"/>
      <c r="CL979" s="77"/>
      <c r="CM979" s="77"/>
      <c r="CN979" s="77"/>
      <c r="CO979" s="77"/>
      <c r="CP979" s="77"/>
      <c r="CQ979" s="77"/>
      <c r="CR979" s="77"/>
      <c r="CS979" s="77"/>
      <c r="CT979" s="77"/>
      <c r="CU979" s="77"/>
      <c r="CV979" s="77"/>
      <c r="CW979" s="77"/>
    </row>
    <row r="980" spans="1:101" ht="16.5" x14ac:dyDescent="0.45">
      <c r="A980" s="76"/>
      <c r="B980" s="77"/>
      <c r="C980" s="77"/>
      <c r="D980" s="78"/>
      <c r="E980" s="80"/>
      <c r="F980" s="80"/>
      <c r="G980" s="81"/>
      <c r="H980" s="81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82"/>
      <c r="Z980" s="82"/>
      <c r="AA980" s="82"/>
      <c r="AB980" s="80"/>
      <c r="AC980" s="77"/>
      <c r="AD980" s="77"/>
      <c r="AE980" s="77"/>
      <c r="AF980" s="77"/>
      <c r="AG980" s="77"/>
      <c r="AH980" s="77"/>
      <c r="AI980" s="92"/>
      <c r="AJ980" s="77"/>
      <c r="AK980" s="77"/>
      <c r="AL980" s="77"/>
      <c r="AM980" s="77"/>
      <c r="AN980" s="77"/>
      <c r="AO980" s="77"/>
      <c r="AP980" s="76"/>
      <c r="AQ980" s="81"/>
      <c r="AR980" s="76"/>
      <c r="AS980" s="81"/>
      <c r="AT980" s="76"/>
      <c r="AU980" s="81"/>
      <c r="AV980" s="77"/>
      <c r="AW980" s="81"/>
      <c r="AX980" s="77"/>
      <c r="AY980" s="81"/>
      <c r="AZ980" s="77"/>
      <c r="BA980" s="81"/>
      <c r="BB980" s="77"/>
      <c r="BC980" s="81"/>
      <c r="BD980" s="77"/>
      <c r="BE980" s="81"/>
      <c r="BF980" s="77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77"/>
      <c r="BU980" s="77"/>
      <c r="BV980" s="77"/>
      <c r="BW980" s="77"/>
      <c r="BX980" s="77"/>
      <c r="BY980" s="77"/>
      <c r="BZ980" s="77"/>
      <c r="CA980" s="77"/>
      <c r="CB980" s="77"/>
      <c r="CC980" s="77"/>
      <c r="CD980" s="77"/>
      <c r="CE980" s="77"/>
      <c r="CF980" s="77"/>
      <c r="CG980" s="77"/>
      <c r="CH980" s="77"/>
      <c r="CI980" s="77"/>
      <c r="CJ980" s="77"/>
      <c r="CK980" s="77"/>
      <c r="CL980" s="77"/>
      <c r="CM980" s="77"/>
      <c r="CN980" s="77"/>
      <c r="CO980" s="77"/>
      <c r="CP980" s="77"/>
      <c r="CQ980" s="77"/>
      <c r="CR980" s="77"/>
      <c r="CS980" s="77"/>
      <c r="CT980" s="77"/>
      <c r="CU980" s="77"/>
      <c r="CV980" s="77"/>
      <c r="CW980" s="77"/>
    </row>
    <row r="981" spans="1:101" ht="16.5" x14ac:dyDescent="0.45">
      <c r="A981" s="76"/>
      <c r="B981" s="77"/>
      <c r="C981" s="77"/>
      <c r="D981" s="78"/>
      <c r="E981" s="80"/>
      <c r="F981" s="80"/>
      <c r="G981" s="81"/>
      <c r="H981" s="81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82"/>
      <c r="Z981" s="82"/>
      <c r="AA981" s="82"/>
      <c r="AB981" s="80"/>
      <c r="AC981" s="77"/>
      <c r="AD981" s="77"/>
      <c r="AE981" s="77"/>
      <c r="AF981" s="77"/>
      <c r="AG981" s="77"/>
      <c r="AH981" s="77"/>
      <c r="AI981" s="92"/>
      <c r="AJ981" s="77"/>
      <c r="AK981" s="77"/>
      <c r="AL981" s="77"/>
      <c r="AM981" s="77"/>
      <c r="AN981" s="77"/>
      <c r="AO981" s="77"/>
      <c r="AP981" s="76"/>
      <c r="AQ981" s="81"/>
      <c r="AR981" s="76"/>
      <c r="AS981" s="81"/>
      <c r="AT981" s="76"/>
      <c r="AU981" s="81"/>
      <c r="AV981" s="77"/>
      <c r="AW981" s="81"/>
      <c r="AX981" s="77"/>
      <c r="AY981" s="81"/>
      <c r="AZ981" s="77"/>
      <c r="BA981" s="81"/>
      <c r="BB981" s="77"/>
      <c r="BC981" s="81"/>
      <c r="BD981" s="77"/>
      <c r="BE981" s="81"/>
      <c r="BF981" s="77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77"/>
      <c r="BU981" s="77"/>
      <c r="BV981" s="77"/>
      <c r="BW981" s="77"/>
      <c r="BX981" s="77"/>
      <c r="BY981" s="77"/>
      <c r="BZ981" s="77"/>
      <c r="CA981" s="77"/>
      <c r="CB981" s="77"/>
      <c r="CC981" s="77"/>
      <c r="CD981" s="77"/>
      <c r="CE981" s="77"/>
      <c r="CF981" s="77"/>
      <c r="CG981" s="77"/>
      <c r="CH981" s="77"/>
      <c r="CI981" s="77"/>
      <c r="CJ981" s="77"/>
      <c r="CK981" s="77"/>
      <c r="CL981" s="77"/>
      <c r="CM981" s="77"/>
      <c r="CN981" s="77"/>
      <c r="CO981" s="77"/>
      <c r="CP981" s="77"/>
      <c r="CQ981" s="77"/>
      <c r="CR981" s="77"/>
      <c r="CS981" s="77"/>
      <c r="CT981" s="77"/>
      <c r="CU981" s="77"/>
      <c r="CV981" s="77"/>
      <c r="CW981" s="77"/>
    </row>
    <row r="982" spans="1:101" ht="16.5" x14ac:dyDescent="0.45">
      <c r="A982" s="76"/>
      <c r="B982" s="77"/>
      <c r="C982" s="77"/>
      <c r="D982" s="78"/>
      <c r="E982" s="80"/>
      <c r="F982" s="80"/>
      <c r="G982" s="81"/>
      <c r="H982" s="81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82"/>
      <c r="Z982" s="82"/>
      <c r="AA982" s="82"/>
      <c r="AB982" s="80"/>
      <c r="AC982" s="77"/>
      <c r="AD982" s="77"/>
      <c r="AE982" s="77"/>
      <c r="AF982" s="77"/>
      <c r="AG982" s="77"/>
      <c r="AH982" s="77"/>
      <c r="AI982" s="92"/>
      <c r="AJ982" s="77"/>
      <c r="AK982" s="77"/>
      <c r="AL982" s="77"/>
      <c r="AM982" s="77"/>
      <c r="AN982" s="77"/>
      <c r="AO982" s="77"/>
      <c r="AP982" s="76"/>
      <c r="AQ982" s="81"/>
      <c r="AR982" s="76"/>
      <c r="AS982" s="81"/>
      <c r="AT982" s="76"/>
      <c r="AU982" s="81"/>
      <c r="AV982" s="77"/>
      <c r="AW982" s="81"/>
      <c r="AX982" s="77"/>
      <c r="AY982" s="81"/>
      <c r="AZ982" s="77"/>
      <c r="BA982" s="81"/>
      <c r="BB982" s="77"/>
      <c r="BC982" s="81"/>
      <c r="BD982" s="77"/>
      <c r="BE982" s="81"/>
      <c r="BF982" s="77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77"/>
      <c r="BU982" s="77"/>
      <c r="BV982" s="77"/>
      <c r="BW982" s="77"/>
      <c r="BX982" s="77"/>
      <c r="BY982" s="77"/>
      <c r="BZ982" s="77"/>
      <c r="CA982" s="77"/>
      <c r="CB982" s="77"/>
      <c r="CC982" s="77"/>
      <c r="CD982" s="77"/>
      <c r="CE982" s="77"/>
      <c r="CF982" s="77"/>
      <c r="CG982" s="77"/>
      <c r="CH982" s="77"/>
      <c r="CI982" s="77"/>
      <c r="CJ982" s="77"/>
      <c r="CK982" s="77"/>
      <c r="CL982" s="77"/>
      <c r="CM982" s="77"/>
      <c r="CN982" s="77"/>
      <c r="CO982" s="77"/>
      <c r="CP982" s="77"/>
      <c r="CQ982" s="77"/>
      <c r="CR982" s="77"/>
      <c r="CS982" s="77"/>
      <c r="CT982" s="77"/>
      <c r="CU982" s="77"/>
      <c r="CV982" s="77"/>
      <c r="CW982" s="77"/>
    </row>
    <row r="983" spans="1:101" ht="16.5" x14ac:dyDescent="0.45">
      <c r="A983" s="76"/>
      <c r="B983" s="77"/>
      <c r="C983" s="77"/>
      <c r="D983" s="78"/>
      <c r="E983" s="80"/>
      <c r="F983" s="80"/>
      <c r="G983" s="81"/>
      <c r="H983" s="81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82"/>
      <c r="Z983" s="82"/>
      <c r="AA983" s="82"/>
      <c r="AB983" s="80"/>
      <c r="AC983" s="77"/>
      <c r="AD983" s="77"/>
      <c r="AE983" s="77"/>
      <c r="AF983" s="77"/>
      <c r="AG983" s="77"/>
      <c r="AH983" s="77"/>
      <c r="AI983" s="92"/>
      <c r="AJ983" s="77"/>
      <c r="AK983" s="77"/>
      <c r="AL983" s="77"/>
      <c r="AM983" s="77"/>
      <c r="AN983" s="77"/>
      <c r="AO983" s="77"/>
      <c r="AP983" s="76"/>
      <c r="AQ983" s="81"/>
      <c r="AR983" s="76"/>
      <c r="AS983" s="81"/>
      <c r="AT983" s="76"/>
      <c r="AU983" s="81"/>
      <c r="AV983" s="77"/>
      <c r="AW983" s="81"/>
      <c r="AX983" s="77"/>
      <c r="AY983" s="81"/>
      <c r="AZ983" s="77"/>
      <c r="BA983" s="81"/>
      <c r="BB983" s="77"/>
      <c r="BC983" s="81"/>
      <c r="BD983" s="77"/>
      <c r="BE983" s="81"/>
      <c r="BF983" s="77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77"/>
      <c r="BU983" s="77"/>
      <c r="BV983" s="77"/>
      <c r="BW983" s="77"/>
      <c r="BX983" s="77"/>
      <c r="BY983" s="77"/>
      <c r="BZ983" s="77"/>
      <c r="CA983" s="77"/>
      <c r="CB983" s="77"/>
      <c r="CC983" s="77"/>
      <c r="CD983" s="77"/>
      <c r="CE983" s="77"/>
      <c r="CF983" s="77"/>
      <c r="CG983" s="77"/>
      <c r="CH983" s="77"/>
      <c r="CI983" s="77"/>
      <c r="CJ983" s="77"/>
      <c r="CK983" s="77"/>
      <c r="CL983" s="77"/>
      <c r="CM983" s="77"/>
      <c r="CN983" s="77"/>
      <c r="CO983" s="77"/>
      <c r="CP983" s="77"/>
      <c r="CQ983" s="77"/>
      <c r="CR983" s="77"/>
      <c r="CS983" s="77"/>
      <c r="CT983" s="77"/>
      <c r="CU983" s="77"/>
      <c r="CV983" s="77"/>
      <c r="CW983" s="77"/>
    </row>
    <row r="984" spans="1:101" ht="16.5" x14ac:dyDescent="0.45">
      <c r="A984" s="76"/>
      <c r="B984" s="77"/>
      <c r="C984" s="77"/>
      <c r="D984" s="78"/>
      <c r="E984" s="80"/>
      <c r="F984" s="80"/>
      <c r="G984" s="81"/>
      <c r="H984" s="81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82"/>
      <c r="Z984" s="82"/>
      <c r="AA984" s="82"/>
      <c r="AB984" s="80"/>
      <c r="AC984" s="77"/>
      <c r="AD984" s="77"/>
      <c r="AE984" s="77"/>
      <c r="AF984" s="77"/>
      <c r="AG984" s="77"/>
      <c r="AH984" s="77"/>
      <c r="AI984" s="92"/>
      <c r="AJ984" s="77"/>
      <c r="AK984" s="77"/>
      <c r="AL984" s="77"/>
      <c r="AM984" s="77"/>
      <c r="AN984" s="77"/>
      <c r="AO984" s="77"/>
      <c r="AP984" s="76"/>
      <c r="AQ984" s="81"/>
      <c r="AR984" s="76"/>
      <c r="AS984" s="81"/>
      <c r="AT984" s="76"/>
      <c r="AU984" s="81"/>
      <c r="AV984" s="77"/>
      <c r="AW984" s="81"/>
      <c r="AX984" s="77"/>
      <c r="AY984" s="81"/>
      <c r="AZ984" s="77"/>
      <c r="BA984" s="81"/>
      <c r="BB984" s="77"/>
      <c r="BC984" s="81"/>
      <c r="BD984" s="77"/>
      <c r="BE984" s="81"/>
      <c r="BF984" s="77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77"/>
      <c r="BU984" s="77"/>
      <c r="BV984" s="77"/>
      <c r="BW984" s="77"/>
      <c r="BX984" s="77"/>
      <c r="BY984" s="77"/>
      <c r="BZ984" s="77"/>
      <c r="CA984" s="77"/>
      <c r="CB984" s="77"/>
      <c r="CC984" s="77"/>
      <c r="CD984" s="77"/>
      <c r="CE984" s="77"/>
      <c r="CF984" s="77"/>
      <c r="CG984" s="77"/>
      <c r="CH984" s="77"/>
      <c r="CI984" s="77"/>
      <c r="CJ984" s="77"/>
      <c r="CK984" s="77"/>
      <c r="CL984" s="77"/>
      <c r="CM984" s="77"/>
      <c r="CN984" s="77"/>
      <c r="CO984" s="77"/>
      <c r="CP984" s="77"/>
      <c r="CQ984" s="77"/>
      <c r="CR984" s="77"/>
      <c r="CS984" s="77"/>
      <c r="CT984" s="77"/>
      <c r="CU984" s="77"/>
      <c r="CV984" s="77"/>
      <c r="CW984" s="77"/>
    </row>
    <row r="985" spans="1:101" ht="16.5" x14ac:dyDescent="0.45">
      <c r="A985" s="76"/>
      <c r="B985" s="77"/>
      <c r="C985" s="77"/>
      <c r="D985" s="78"/>
      <c r="E985" s="80"/>
      <c r="F985" s="80"/>
      <c r="G985" s="81"/>
      <c r="H985" s="81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82"/>
      <c r="Z985" s="82"/>
      <c r="AA985" s="82"/>
      <c r="AB985" s="80"/>
      <c r="AC985" s="77"/>
      <c r="AD985" s="77"/>
      <c r="AE985" s="77"/>
      <c r="AF985" s="77"/>
      <c r="AG985" s="77"/>
      <c r="AH985" s="77"/>
      <c r="AI985" s="92"/>
      <c r="AJ985" s="77"/>
      <c r="AK985" s="77"/>
      <c r="AL985" s="77"/>
      <c r="AM985" s="77"/>
      <c r="AN985" s="77"/>
      <c r="AO985" s="77"/>
      <c r="AP985" s="76"/>
      <c r="AQ985" s="81"/>
      <c r="AR985" s="76"/>
      <c r="AS985" s="81"/>
      <c r="AT985" s="76"/>
      <c r="AU985" s="81"/>
      <c r="AV985" s="77"/>
      <c r="AW985" s="81"/>
      <c r="AX985" s="77"/>
      <c r="AY985" s="81"/>
      <c r="AZ985" s="77"/>
      <c r="BA985" s="81"/>
      <c r="BB985" s="77"/>
      <c r="BC985" s="81"/>
      <c r="BD985" s="77"/>
      <c r="BE985" s="81"/>
      <c r="BF985" s="77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77"/>
      <c r="BU985" s="77"/>
      <c r="BV985" s="77"/>
      <c r="BW985" s="77"/>
      <c r="BX985" s="77"/>
      <c r="BY985" s="77"/>
      <c r="BZ985" s="77"/>
      <c r="CA985" s="77"/>
      <c r="CB985" s="77"/>
      <c r="CC985" s="77"/>
      <c r="CD985" s="77"/>
      <c r="CE985" s="77"/>
      <c r="CF985" s="77"/>
      <c r="CG985" s="77"/>
      <c r="CH985" s="77"/>
      <c r="CI985" s="77"/>
      <c r="CJ985" s="77"/>
      <c r="CK985" s="77"/>
      <c r="CL985" s="77"/>
      <c r="CM985" s="77"/>
      <c r="CN985" s="77"/>
      <c r="CO985" s="77"/>
      <c r="CP985" s="77"/>
      <c r="CQ985" s="77"/>
      <c r="CR985" s="77"/>
      <c r="CS985" s="77"/>
      <c r="CT985" s="77"/>
      <c r="CU985" s="77"/>
      <c r="CV985" s="77"/>
      <c r="CW985" s="77"/>
    </row>
    <row r="986" spans="1:101" ht="16.5" x14ac:dyDescent="0.45">
      <c r="A986" s="76"/>
      <c r="B986" s="77"/>
      <c r="C986" s="77"/>
      <c r="D986" s="78"/>
      <c r="E986" s="80"/>
      <c r="F986" s="80"/>
      <c r="G986" s="81"/>
      <c r="H986" s="81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82"/>
      <c r="Z986" s="82"/>
      <c r="AA986" s="82"/>
      <c r="AB986" s="80"/>
      <c r="AC986" s="77"/>
      <c r="AD986" s="77"/>
      <c r="AE986" s="77"/>
      <c r="AF986" s="77"/>
      <c r="AG986" s="77"/>
      <c r="AH986" s="77"/>
      <c r="AI986" s="92"/>
      <c r="AJ986" s="77"/>
      <c r="AK986" s="77"/>
      <c r="AL986" s="77"/>
      <c r="AM986" s="77"/>
      <c r="AN986" s="77"/>
      <c r="AO986" s="77"/>
      <c r="AP986" s="76"/>
      <c r="AQ986" s="81"/>
      <c r="AR986" s="76"/>
      <c r="AS986" s="81"/>
      <c r="AT986" s="76"/>
      <c r="AU986" s="81"/>
      <c r="AV986" s="77"/>
      <c r="AW986" s="81"/>
      <c r="AX986" s="77"/>
      <c r="AY986" s="81"/>
      <c r="AZ986" s="77"/>
      <c r="BA986" s="81"/>
      <c r="BB986" s="77"/>
      <c r="BC986" s="81"/>
      <c r="BD986" s="77"/>
      <c r="BE986" s="81"/>
      <c r="BF986" s="77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77"/>
      <c r="BU986" s="77"/>
      <c r="BV986" s="77"/>
      <c r="BW986" s="77"/>
      <c r="BX986" s="77"/>
      <c r="BY986" s="77"/>
      <c r="BZ986" s="77"/>
      <c r="CA986" s="77"/>
      <c r="CB986" s="77"/>
      <c r="CC986" s="77"/>
      <c r="CD986" s="77"/>
      <c r="CE986" s="77"/>
      <c r="CF986" s="77"/>
      <c r="CG986" s="77"/>
      <c r="CH986" s="77"/>
      <c r="CI986" s="77"/>
      <c r="CJ986" s="77"/>
      <c r="CK986" s="77"/>
      <c r="CL986" s="77"/>
      <c r="CM986" s="77"/>
      <c r="CN986" s="77"/>
      <c r="CO986" s="77"/>
      <c r="CP986" s="77"/>
      <c r="CQ986" s="77"/>
      <c r="CR986" s="77"/>
      <c r="CS986" s="77"/>
      <c r="CT986" s="77"/>
      <c r="CU986" s="77"/>
      <c r="CV986" s="77"/>
      <c r="CW986" s="77"/>
    </row>
    <row r="987" spans="1:101" ht="16.5" x14ac:dyDescent="0.45">
      <c r="A987" s="76"/>
      <c r="B987" s="77"/>
      <c r="C987" s="77"/>
      <c r="D987" s="78"/>
      <c r="E987" s="80"/>
      <c r="F987" s="80"/>
      <c r="G987" s="81"/>
      <c r="H987" s="81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82"/>
      <c r="Z987" s="82"/>
      <c r="AA987" s="82"/>
      <c r="AB987" s="80"/>
      <c r="AC987" s="77"/>
      <c r="AD987" s="77"/>
      <c r="AE987" s="77"/>
      <c r="AF987" s="77"/>
      <c r="AG987" s="77"/>
      <c r="AH987" s="77"/>
      <c r="AI987" s="92"/>
      <c r="AJ987" s="77"/>
      <c r="AK987" s="77"/>
      <c r="AL987" s="77"/>
      <c r="AM987" s="77"/>
      <c r="AN987" s="77"/>
      <c r="AO987" s="77"/>
      <c r="AP987" s="76"/>
      <c r="AQ987" s="81"/>
      <c r="AR987" s="76"/>
      <c r="AS987" s="81"/>
      <c r="AT987" s="76"/>
      <c r="AU987" s="81"/>
      <c r="AV987" s="77"/>
      <c r="AW987" s="81"/>
      <c r="AX987" s="77"/>
      <c r="AY987" s="81"/>
      <c r="AZ987" s="77"/>
      <c r="BA987" s="81"/>
      <c r="BB987" s="77"/>
      <c r="BC987" s="81"/>
      <c r="BD987" s="77"/>
      <c r="BE987" s="81"/>
      <c r="BF987" s="77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77"/>
      <c r="BU987" s="77"/>
      <c r="BV987" s="77"/>
      <c r="BW987" s="77"/>
      <c r="BX987" s="77"/>
      <c r="BY987" s="77"/>
      <c r="BZ987" s="77"/>
      <c r="CA987" s="77"/>
      <c r="CB987" s="77"/>
      <c r="CC987" s="77"/>
      <c r="CD987" s="77"/>
      <c r="CE987" s="77"/>
      <c r="CF987" s="77"/>
      <c r="CG987" s="77"/>
      <c r="CH987" s="77"/>
      <c r="CI987" s="77"/>
      <c r="CJ987" s="77"/>
      <c r="CK987" s="77"/>
      <c r="CL987" s="77"/>
      <c r="CM987" s="77"/>
      <c r="CN987" s="77"/>
      <c r="CO987" s="77"/>
      <c r="CP987" s="77"/>
      <c r="CQ987" s="77"/>
      <c r="CR987" s="77"/>
      <c r="CS987" s="77"/>
      <c r="CT987" s="77"/>
      <c r="CU987" s="77"/>
      <c r="CV987" s="77"/>
      <c r="CW987" s="77"/>
    </row>
    <row r="988" spans="1:101" ht="16.5" x14ac:dyDescent="0.45">
      <c r="A988" s="76"/>
      <c r="B988" s="77"/>
      <c r="C988" s="77"/>
      <c r="D988" s="78"/>
      <c r="E988" s="80"/>
      <c r="F988" s="80"/>
      <c r="G988" s="81"/>
      <c r="H988" s="81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82"/>
      <c r="Z988" s="82"/>
      <c r="AA988" s="82"/>
      <c r="AB988" s="80"/>
      <c r="AC988" s="77"/>
      <c r="AD988" s="77"/>
      <c r="AE988" s="77"/>
      <c r="AF988" s="77"/>
      <c r="AG988" s="77"/>
      <c r="AH988" s="77"/>
      <c r="AI988" s="92"/>
      <c r="AJ988" s="77"/>
      <c r="AK988" s="77"/>
      <c r="AL988" s="77"/>
      <c r="AM988" s="77"/>
      <c r="AN988" s="77"/>
      <c r="AO988" s="77"/>
      <c r="AP988" s="76"/>
      <c r="AQ988" s="81"/>
      <c r="AR988" s="76"/>
      <c r="AS988" s="81"/>
      <c r="AT988" s="76"/>
      <c r="AU988" s="81"/>
      <c r="AV988" s="77"/>
      <c r="AW988" s="81"/>
      <c r="AX988" s="77"/>
      <c r="AY988" s="81"/>
      <c r="AZ988" s="77"/>
      <c r="BA988" s="81"/>
      <c r="BB988" s="77"/>
      <c r="BC988" s="81"/>
      <c r="BD988" s="77"/>
      <c r="BE988" s="81"/>
      <c r="BF988" s="77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77"/>
      <c r="BU988" s="77"/>
      <c r="BV988" s="77"/>
      <c r="BW988" s="77"/>
      <c r="BX988" s="77"/>
      <c r="BY988" s="77"/>
      <c r="BZ988" s="77"/>
      <c r="CA988" s="77"/>
      <c r="CB988" s="77"/>
      <c r="CC988" s="77"/>
      <c r="CD988" s="77"/>
      <c r="CE988" s="77"/>
      <c r="CF988" s="77"/>
      <c r="CG988" s="77"/>
      <c r="CH988" s="77"/>
      <c r="CI988" s="77"/>
      <c r="CJ988" s="77"/>
      <c r="CK988" s="77"/>
      <c r="CL988" s="77"/>
      <c r="CM988" s="77"/>
      <c r="CN988" s="77"/>
      <c r="CO988" s="77"/>
      <c r="CP988" s="77"/>
      <c r="CQ988" s="77"/>
      <c r="CR988" s="77"/>
      <c r="CS988" s="77"/>
      <c r="CT988" s="77"/>
      <c r="CU988" s="77"/>
      <c r="CV988" s="77"/>
      <c r="CW988" s="77"/>
    </row>
    <row r="989" spans="1:101" ht="16.5" x14ac:dyDescent="0.45">
      <c r="A989" s="76"/>
      <c r="B989" s="77"/>
      <c r="C989" s="77"/>
      <c r="D989" s="78"/>
      <c r="E989" s="80"/>
      <c r="F989" s="80"/>
      <c r="G989" s="81"/>
      <c r="H989" s="81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82"/>
      <c r="Z989" s="82"/>
      <c r="AA989" s="82"/>
      <c r="AB989" s="80"/>
      <c r="AC989" s="77"/>
      <c r="AD989" s="77"/>
      <c r="AE989" s="77"/>
      <c r="AF989" s="77"/>
      <c r="AG989" s="77"/>
      <c r="AH989" s="77"/>
      <c r="AI989" s="92"/>
      <c r="AJ989" s="77"/>
      <c r="AK989" s="77"/>
      <c r="AL989" s="77"/>
      <c r="AM989" s="77"/>
      <c r="AN989" s="77"/>
      <c r="AO989" s="77"/>
      <c r="AP989" s="76"/>
      <c r="AQ989" s="81"/>
      <c r="AR989" s="76"/>
      <c r="AS989" s="81"/>
      <c r="AT989" s="76"/>
      <c r="AU989" s="81"/>
      <c r="AV989" s="77"/>
      <c r="AW989" s="81"/>
      <c r="AX989" s="77"/>
      <c r="AY989" s="81"/>
      <c r="AZ989" s="77"/>
      <c r="BA989" s="81"/>
      <c r="BB989" s="77"/>
      <c r="BC989" s="81"/>
      <c r="BD989" s="77"/>
      <c r="BE989" s="81"/>
      <c r="BF989" s="77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77"/>
      <c r="BU989" s="77"/>
      <c r="BV989" s="77"/>
      <c r="BW989" s="77"/>
      <c r="BX989" s="77"/>
      <c r="BY989" s="77"/>
      <c r="BZ989" s="77"/>
      <c r="CA989" s="77"/>
      <c r="CB989" s="77"/>
      <c r="CC989" s="77"/>
      <c r="CD989" s="77"/>
      <c r="CE989" s="77"/>
      <c r="CF989" s="77"/>
      <c r="CG989" s="77"/>
      <c r="CH989" s="77"/>
      <c r="CI989" s="77"/>
      <c r="CJ989" s="77"/>
      <c r="CK989" s="77"/>
      <c r="CL989" s="77"/>
      <c r="CM989" s="77"/>
      <c r="CN989" s="77"/>
      <c r="CO989" s="77"/>
      <c r="CP989" s="77"/>
      <c r="CQ989" s="77"/>
      <c r="CR989" s="77"/>
      <c r="CS989" s="77"/>
      <c r="CT989" s="77"/>
      <c r="CU989" s="77"/>
      <c r="CV989" s="77"/>
      <c r="CW989" s="77"/>
    </row>
    <row r="990" spans="1:101" ht="16.5" x14ac:dyDescent="0.45">
      <c r="A990" s="76"/>
      <c r="B990" s="77"/>
      <c r="C990" s="77"/>
      <c r="D990" s="78"/>
      <c r="E990" s="80"/>
      <c r="F990" s="80"/>
      <c r="G990" s="81"/>
      <c r="H990" s="81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82"/>
      <c r="Z990" s="82"/>
      <c r="AA990" s="82"/>
      <c r="AB990" s="80"/>
      <c r="AC990" s="77"/>
      <c r="AD990" s="77"/>
      <c r="AE990" s="77"/>
      <c r="AF990" s="77"/>
      <c r="AG990" s="77"/>
      <c r="AH990" s="77"/>
      <c r="AI990" s="92"/>
      <c r="AJ990" s="77"/>
      <c r="AK990" s="77"/>
      <c r="AL990" s="77"/>
      <c r="AM990" s="77"/>
      <c r="AN990" s="77"/>
      <c r="AO990" s="77"/>
      <c r="AP990" s="76"/>
      <c r="AQ990" s="81"/>
      <c r="AR990" s="76"/>
      <c r="AS990" s="81"/>
      <c r="AT990" s="76"/>
      <c r="AU990" s="81"/>
      <c r="AV990" s="77"/>
      <c r="AW990" s="81"/>
      <c r="AX990" s="77"/>
      <c r="AY990" s="81"/>
      <c r="AZ990" s="77"/>
      <c r="BA990" s="81"/>
      <c r="BB990" s="77"/>
      <c r="BC990" s="81"/>
      <c r="BD990" s="77"/>
      <c r="BE990" s="81"/>
      <c r="BF990" s="77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77"/>
      <c r="BU990" s="77"/>
      <c r="BV990" s="77"/>
      <c r="BW990" s="77"/>
      <c r="BX990" s="77"/>
      <c r="BY990" s="77"/>
      <c r="BZ990" s="77"/>
      <c r="CA990" s="77"/>
      <c r="CB990" s="77"/>
      <c r="CC990" s="77"/>
      <c r="CD990" s="77"/>
      <c r="CE990" s="77"/>
      <c r="CF990" s="77"/>
      <c r="CG990" s="77"/>
      <c r="CH990" s="77"/>
      <c r="CI990" s="77"/>
      <c r="CJ990" s="77"/>
      <c r="CK990" s="77"/>
      <c r="CL990" s="77"/>
      <c r="CM990" s="77"/>
      <c r="CN990" s="77"/>
      <c r="CO990" s="77"/>
      <c r="CP990" s="77"/>
      <c r="CQ990" s="77"/>
      <c r="CR990" s="77"/>
      <c r="CS990" s="77"/>
      <c r="CT990" s="77"/>
      <c r="CU990" s="77"/>
      <c r="CV990" s="77"/>
      <c r="CW990" s="77"/>
    </row>
    <row r="991" spans="1:101" ht="16.5" x14ac:dyDescent="0.45">
      <c r="A991" s="76"/>
      <c r="B991" s="77"/>
      <c r="C991" s="77"/>
      <c r="D991" s="78"/>
      <c r="E991" s="80"/>
      <c r="F991" s="80"/>
      <c r="G991" s="81"/>
      <c r="H991" s="81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82"/>
      <c r="Z991" s="82"/>
      <c r="AA991" s="82"/>
      <c r="AB991" s="80"/>
      <c r="AC991" s="77"/>
      <c r="AD991" s="77"/>
      <c r="AE991" s="77"/>
      <c r="AF991" s="77"/>
      <c r="AG991" s="77"/>
      <c r="AH991" s="77"/>
      <c r="AI991" s="92"/>
      <c r="AJ991" s="77"/>
      <c r="AK991" s="77"/>
      <c r="AL991" s="77"/>
      <c r="AM991" s="77"/>
      <c r="AN991" s="77"/>
      <c r="AO991" s="77"/>
      <c r="AP991" s="76"/>
      <c r="AQ991" s="81"/>
      <c r="AR991" s="76"/>
      <c r="AS991" s="81"/>
      <c r="AT991" s="76"/>
      <c r="AU991" s="81"/>
      <c r="AV991" s="77"/>
      <c r="AW991" s="81"/>
      <c r="AX991" s="77"/>
      <c r="AY991" s="81"/>
      <c r="AZ991" s="77"/>
      <c r="BA991" s="81"/>
      <c r="BB991" s="77"/>
      <c r="BC991" s="81"/>
      <c r="BD991" s="77"/>
      <c r="BE991" s="81"/>
      <c r="BF991" s="77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77"/>
      <c r="BU991" s="77"/>
      <c r="BV991" s="77"/>
      <c r="BW991" s="77"/>
      <c r="BX991" s="77"/>
      <c r="BY991" s="77"/>
      <c r="BZ991" s="77"/>
      <c r="CA991" s="77"/>
      <c r="CB991" s="77"/>
      <c r="CC991" s="77"/>
      <c r="CD991" s="77"/>
      <c r="CE991" s="77"/>
      <c r="CF991" s="77"/>
      <c r="CG991" s="77"/>
      <c r="CH991" s="77"/>
      <c r="CI991" s="77"/>
      <c r="CJ991" s="77"/>
      <c r="CK991" s="77"/>
      <c r="CL991" s="77"/>
      <c r="CM991" s="77"/>
      <c r="CN991" s="77"/>
      <c r="CO991" s="77"/>
      <c r="CP991" s="77"/>
      <c r="CQ991" s="77"/>
      <c r="CR991" s="77"/>
      <c r="CS991" s="77"/>
      <c r="CT991" s="77"/>
      <c r="CU991" s="77"/>
      <c r="CV991" s="77"/>
      <c r="CW991" s="77"/>
    </row>
    <row r="992" spans="1:101" ht="16.5" x14ac:dyDescent="0.45">
      <c r="A992" s="76"/>
      <c r="B992" s="77"/>
      <c r="C992" s="77"/>
      <c r="D992" s="78"/>
      <c r="E992" s="80"/>
      <c r="F992" s="80"/>
      <c r="G992" s="81"/>
      <c r="H992" s="81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82"/>
      <c r="Z992" s="82"/>
      <c r="AA992" s="82"/>
      <c r="AB992" s="80"/>
      <c r="AC992" s="77"/>
      <c r="AD992" s="77"/>
      <c r="AE992" s="77"/>
      <c r="AF992" s="77"/>
      <c r="AG992" s="77"/>
      <c r="AH992" s="77"/>
      <c r="AI992" s="92"/>
      <c r="AJ992" s="77"/>
      <c r="AK992" s="77"/>
      <c r="AL992" s="77"/>
      <c r="AM992" s="77"/>
      <c r="AN992" s="77"/>
      <c r="AO992" s="77"/>
      <c r="AP992" s="76"/>
      <c r="AQ992" s="81"/>
      <c r="AR992" s="76"/>
      <c r="AS992" s="81"/>
      <c r="AT992" s="76"/>
      <c r="AU992" s="81"/>
      <c r="AV992" s="77"/>
      <c r="AW992" s="81"/>
      <c r="AX992" s="77"/>
      <c r="AY992" s="81"/>
      <c r="AZ992" s="77"/>
      <c r="BA992" s="81"/>
      <c r="BB992" s="77"/>
      <c r="BC992" s="81"/>
      <c r="BD992" s="77"/>
      <c r="BE992" s="81"/>
      <c r="BF992" s="77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77"/>
      <c r="BU992" s="77"/>
      <c r="BV992" s="77"/>
      <c r="BW992" s="77"/>
      <c r="BX992" s="77"/>
      <c r="BY992" s="77"/>
      <c r="BZ992" s="77"/>
      <c r="CA992" s="77"/>
      <c r="CB992" s="77"/>
      <c r="CC992" s="77"/>
      <c r="CD992" s="77"/>
      <c r="CE992" s="77"/>
      <c r="CF992" s="77"/>
      <c r="CG992" s="77"/>
      <c r="CH992" s="77"/>
      <c r="CI992" s="77"/>
      <c r="CJ992" s="77"/>
      <c r="CK992" s="77"/>
      <c r="CL992" s="77"/>
      <c r="CM992" s="77"/>
      <c r="CN992" s="77"/>
      <c r="CO992" s="77"/>
      <c r="CP992" s="77"/>
      <c r="CQ992" s="77"/>
      <c r="CR992" s="77"/>
      <c r="CS992" s="77"/>
      <c r="CT992" s="77"/>
      <c r="CU992" s="77"/>
      <c r="CV992" s="77"/>
      <c r="CW992" s="77"/>
    </row>
    <row r="993" spans="1:101" ht="16.5" x14ac:dyDescent="0.45">
      <c r="A993" s="76"/>
      <c r="B993" s="77"/>
      <c r="C993" s="77"/>
      <c r="D993" s="78"/>
      <c r="E993" s="80"/>
      <c r="F993" s="80"/>
      <c r="G993" s="81"/>
      <c r="H993" s="81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82"/>
      <c r="Z993" s="82"/>
      <c r="AA993" s="82"/>
      <c r="AB993" s="80"/>
      <c r="AC993" s="77"/>
      <c r="AD993" s="77"/>
      <c r="AE993" s="77"/>
      <c r="AF993" s="77"/>
      <c r="AG993" s="77"/>
      <c r="AH993" s="77"/>
      <c r="AI993" s="92"/>
      <c r="AJ993" s="77"/>
      <c r="AK993" s="77"/>
      <c r="AL993" s="77"/>
      <c r="AM993" s="77"/>
      <c r="AN993" s="77"/>
      <c r="AO993" s="77"/>
      <c r="AP993" s="76"/>
      <c r="AQ993" s="81"/>
      <c r="AR993" s="76"/>
      <c r="AS993" s="81"/>
      <c r="AT993" s="76"/>
      <c r="AU993" s="81"/>
      <c r="AV993" s="77"/>
      <c r="AW993" s="81"/>
      <c r="AX993" s="77"/>
      <c r="AY993" s="81"/>
      <c r="AZ993" s="77"/>
      <c r="BA993" s="81"/>
      <c r="BB993" s="77"/>
      <c r="BC993" s="81"/>
      <c r="BD993" s="77"/>
      <c r="BE993" s="81"/>
      <c r="BF993" s="77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77"/>
      <c r="BU993" s="77"/>
      <c r="BV993" s="77"/>
      <c r="BW993" s="77"/>
      <c r="BX993" s="77"/>
      <c r="BY993" s="77"/>
      <c r="BZ993" s="77"/>
      <c r="CA993" s="77"/>
      <c r="CB993" s="77"/>
      <c r="CC993" s="77"/>
      <c r="CD993" s="77"/>
      <c r="CE993" s="77"/>
      <c r="CF993" s="77"/>
      <c r="CG993" s="77"/>
      <c r="CH993" s="77"/>
      <c r="CI993" s="77"/>
      <c r="CJ993" s="77"/>
      <c r="CK993" s="77"/>
      <c r="CL993" s="77"/>
      <c r="CM993" s="77"/>
      <c r="CN993" s="77"/>
      <c r="CO993" s="77"/>
      <c r="CP993" s="77"/>
      <c r="CQ993" s="77"/>
      <c r="CR993" s="77"/>
      <c r="CS993" s="77"/>
      <c r="CT993" s="77"/>
      <c r="CU993" s="77"/>
      <c r="CV993" s="77"/>
      <c r="CW993" s="77"/>
    </row>
    <row r="994" spans="1:101" ht="16.5" x14ac:dyDescent="0.45">
      <c r="A994" s="76"/>
      <c r="B994" s="77"/>
      <c r="C994" s="77"/>
      <c r="D994" s="78"/>
      <c r="E994" s="80"/>
      <c r="F994" s="80"/>
      <c r="G994" s="81"/>
      <c r="H994" s="81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82"/>
      <c r="Z994" s="82"/>
      <c r="AA994" s="82"/>
      <c r="AB994" s="80"/>
      <c r="AC994" s="77"/>
      <c r="AD994" s="77"/>
      <c r="AE994" s="77"/>
      <c r="AF994" s="77"/>
      <c r="AG994" s="77"/>
      <c r="AH994" s="77"/>
      <c r="AI994" s="92"/>
      <c r="AJ994" s="77"/>
      <c r="AK994" s="77"/>
      <c r="AL994" s="77"/>
      <c r="AM994" s="77"/>
      <c r="AN994" s="77"/>
      <c r="AO994" s="77"/>
      <c r="AP994" s="76"/>
      <c r="AQ994" s="81"/>
      <c r="AR994" s="76"/>
      <c r="AS994" s="81"/>
      <c r="AT994" s="76"/>
      <c r="AU994" s="81"/>
      <c r="AV994" s="77"/>
      <c r="AW994" s="81"/>
      <c r="AX994" s="77"/>
      <c r="AY994" s="81"/>
      <c r="AZ994" s="77"/>
      <c r="BA994" s="81"/>
      <c r="BB994" s="77"/>
      <c r="BC994" s="81"/>
      <c r="BD994" s="77"/>
      <c r="BE994" s="81"/>
      <c r="BF994" s="77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77"/>
      <c r="BU994" s="77"/>
      <c r="BV994" s="77"/>
      <c r="BW994" s="77"/>
      <c r="BX994" s="77"/>
      <c r="BY994" s="77"/>
      <c r="BZ994" s="77"/>
      <c r="CA994" s="77"/>
      <c r="CB994" s="77"/>
      <c r="CC994" s="77"/>
      <c r="CD994" s="77"/>
      <c r="CE994" s="77"/>
      <c r="CF994" s="77"/>
      <c r="CG994" s="77"/>
      <c r="CH994" s="77"/>
      <c r="CI994" s="77"/>
      <c r="CJ994" s="77"/>
      <c r="CK994" s="77"/>
      <c r="CL994" s="77"/>
      <c r="CM994" s="77"/>
      <c r="CN994" s="77"/>
      <c r="CO994" s="77"/>
      <c r="CP994" s="77"/>
      <c r="CQ994" s="77"/>
      <c r="CR994" s="77"/>
      <c r="CS994" s="77"/>
      <c r="CT994" s="77"/>
      <c r="CU994" s="77"/>
      <c r="CV994" s="77"/>
      <c r="CW994" s="77"/>
    </row>
    <row r="995" spans="1:101" ht="16.5" x14ac:dyDescent="0.45">
      <c r="A995" s="76"/>
      <c r="B995" s="77"/>
      <c r="C995" s="77"/>
      <c r="D995" s="78"/>
      <c r="E995" s="80"/>
      <c r="F995" s="80"/>
      <c r="G995" s="81"/>
      <c r="H995" s="81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82"/>
      <c r="Z995" s="82"/>
      <c r="AA995" s="82"/>
      <c r="AB995" s="80"/>
      <c r="AC995" s="77"/>
      <c r="AD995" s="77"/>
      <c r="AE995" s="77"/>
      <c r="AF995" s="77"/>
      <c r="AG995" s="77"/>
      <c r="AH995" s="77"/>
      <c r="AI995" s="92"/>
      <c r="AJ995" s="77"/>
      <c r="AK995" s="77"/>
      <c r="AL995" s="77"/>
      <c r="AM995" s="77"/>
      <c r="AN995" s="77"/>
      <c r="AO995" s="77"/>
      <c r="AP995" s="76"/>
      <c r="AQ995" s="81"/>
      <c r="AR995" s="76"/>
      <c r="AS995" s="81"/>
      <c r="AT995" s="76"/>
      <c r="AU995" s="81"/>
      <c r="AV995" s="77"/>
      <c r="AW995" s="81"/>
      <c r="AX995" s="77"/>
      <c r="AY995" s="81"/>
      <c r="AZ995" s="77"/>
      <c r="BA995" s="81"/>
      <c r="BB995" s="77"/>
      <c r="BC995" s="81"/>
      <c r="BD995" s="77"/>
      <c r="BE995" s="81"/>
      <c r="BF995" s="77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77"/>
      <c r="BU995" s="77"/>
      <c r="BV995" s="77"/>
      <c r="BW995" s="77"/>
      <c r="BX995" s="77"/>
      <c r="BY995" s="77"/>
      <c r="BZ995" s="77"/>
      <c r="CA995" s="77"/>
      <c r="CB995" s="77"/>
      <c r="CC995" s="77"/>
      <c r="CD995" s="77"/>
      <c r="CE995" s="77"/>
      <c r="CF995" s="77"/>
      <c r="CG995" s="77"/>
      <c r="CH995" s="77"/>
      <c r="CI995" s="77"/>
      <c r="CJ995" s="77"/>
      <c r="CK995" s="77"/>
      <c r="CL995" s="77"/>
      <c r="CM995" s="77"/>
      <c r="CN995" s="77"/>
      <c r="CO995" s="77"/>
      <c r="CP995" s="77"/>
      <c r="CQ995" s="77"/>
      <c r="CR995" s="77"/>
      <c r="CS995" s="77"/>
      <c r="CT995" s="77"/>
      <c r="CU995" s="77"/>
      <c r="CV995" s="77"/>
      <c r="CW995" s="77"/>
    </row>
    <row r="996" spans="1:101" ht="16.5" x14ac:dyDescent="0.45">
      <c r="A996" s="76"/>
      <c r="B996" s="77"/>
      <c r="C996" s="77"/>
      <c r="D996" s="78"/>
      <c r="E996" s="80"/>
      <c r="F996" s="80"/>
      <c r="G996" s="81"/>
      <c r="H996" s="81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82"/>
      <c r="Z996" s="82"/>
      <c r="AA996" s="82"/>
      <c r="AB996" s="80"/>
      <c r="AC996" s="77"/>
      <c r="AD996" s="77"/>
      <c r="AE996" s="77"/>
      <c r="AF996" s="77"/>
      <c r="AG996" s="77"/>
      <c r="AH996" s="77"/>
      <c r="AI996" s="92"/>
      <c r="AJ996" s="77"/>
      <c r="AK996" s="77"/>
      <c r="AL996" s="77"/>
      <c r="AM996" s="77"/>
      <c r="AN996" s="77"/>
      <c r="AO996" s="77"/>
      <c r="AP996" s="76"/>
      <c r="AQ996" s="81"/>
      <c r="AR996" s="76"/>
      <c r="AS996" s="81"/>
      <c r="AT996" s="76"/>
      <c r="AU996" s="81"/>
      <c r="AV996" s="77"/>
      <c r="AW996" s="81"/>
      <c r="AX996" s="77"/>
      <c r="AY996" s="81"/>
      <c r="AZ996" s="77"/>
      <c r="BA996" s="81"/>
      <c r="BB996" s="77"/>
      <c r="BC996" s="81"/>
      <c r="BD996" s="77"/>
      <c r="BE996" s="81"/>
      <c r="BF996" s="77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77"/>
      <c r="BU996" s="77"/>
      <c r="BV996" s="77"/>
      <c r="BW996" s="77"/>
      <c r="BX996" s="77"/>
      <c r="BY996" s="77"/>
      <c r="BZ996" s="77"/>
      <c r="CA996" s="77"/>
      <c r="CB996" s="77"/>
      <c r="CC996" s="77"/>
      <c r="CD996" s="77"/>
      <c r="CE996" s="77"/>
      <c r="CF996" s="77"/>
      <c r="CG996" s="77"/>
      <c r="CH996" s="77"/>
      <c r="CI996" s="77"/>
      <c r="CJ996" s="77"/>
      <c r="CK996" s="77"/>
      <c r="CL996" s="77"/>
      <c r="CM996" s="77"/>
      <c r="CN996" s="77"/>
      <c r="CO996" s="77"/>
      <c r="CP996" s="77"/>
      <c r="CQ996" s="77"/>
      <c r="CR996" s="77"/>
      <c r="CS996" s="77"/>
      <c r="CT996" s="77"/>
      <c r="CU996" s="77"/>
      <c r="CV996" s="77"/>
      <c r="CW996" s="77"/>
    </row>
    <row r="997" spans="1:101" ht="16.5" x14ac:dyDescent="0.45">
      <c r="A997" s="76"/>
      <c r="B997" s="77"/>
      <c r="C997" s="77"/>
      <c r="D997" s="78"/>
      <c r="E997" s="80"/>
      <c r="F997" s="80"/>
      <c r="G997" s="81"/>
      <c r="H997" s="81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82"/>
      <c r="Z997" s="82"/>
      <c r="AA997" s="82"/>
      <c r="AB997" s="80"/>
      <c r="AC997" s="77"/>
      <c r="AD997" s="77"/>
      <c r="AE997" s="77"/>
      <c r="AF997" s="77"/>
      <c r="AG997" s="77"/>
      <c r="AH997" s="77"/>
      <c r="AI997" s="92"/>
      <c r="AJ997" s="77"/>
      <c r="AK997" s="77"/>
      <c r="AL997" s="77"/>
      <c r="AM997" s="77"/>
      <c r="AN997" s="77"/>
      <c r="AO997" s="77"/>
      <c r="AP997" s="76"/>
      <c r="AQ997" s="81"/>
      <c r="AR997" s="76"/>
      <c r="AS997" s="81"/>
      <c r="AT997" s="76"/>
      <c r="AU997" s="81"/>
      <c r="AV997" s="77"/>
      <c r="AW997" s="81"/>
      <c r="AX997" s="77"/>
      <c r="AY997" s="81"/>
      <c r="AZ997" s="77"/>
      <c r="BA997" s="81"/>
      <c r="BB997" s="77"/>
      <c r="BC997" s="81"/>
      <c r="BD997" s="77"/>
      <c r="BE997" s="81"/>
      <c r="BF997" s="77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77"/>
      <c r="BU997" s="77"/>
      <c r="BV997" s="77"/>
      <c r="BW997" s="77"/>
      <c r="BX997" s="77"/>
      <c r="BY997" s="77"/>
      <c r="BZ997" s="77"/>
      <c r="CA997" s="77"/>
      <c r="CB997" s="77"/>
      <c r="CC997" s="77"/>
      <c r="CD997" s="77"/>
      <c r="CE997" s="77"/>
      <c r="CF997" s="77"/>
      <c r="CG997" s="77"/>
      <c r="CH997" s="77"/>
      <c r="CI997" s="77"/>
      <c r="CJ997" s="77"/>
      <c r="CK997" s="77"/>
      <c r="CL997" s="77"/>
      <c r="CM997" s="77"/>
      <c r="CN997" s="77"/>
      <c r="CO997" s="77"/>
      <c r="CP997" s="77"/>
      <c r="CQ997" s="77"/>
      <c r="CR997" s="77"/>
      <c r="CS997" s="77"/>
      <c r="CT997" s="77"/>
      <c r="CU997" s="77"/>
      <c r="CV997" s="77"/>
      <c r="CW997" s="77"/>
    </row>
    <row r="998" spans="1:101" ht="16.5" x14ac:dyDescent="0.45">
      <c r="A998" s="76"/>
      <c r="B998" s="77"/>
      <c r="C998" s="77"/>
      <c r="D998" s="78"/>
      <c r="E998" s="80"/>
      <c r="F998" s="80"/>
      <c r="G998" s="81"/>
      <c r="H998" s="81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82"/>
      <c r="Z998" s="82"/>
      <c r="AA998" s="82"/>
      <c r="AB998" s="80"/>
      <c r="AC998" s="77"/>
      <c r="AD998" s="77"/>
      <c r="AE998" s="77"/>
      <c r="AF998" s="77"/>
      <c r="AG998" s="77"/>
      <c r="AH998" s="77"/>
      <c r="AI998" s="92"/>
      <c r="AJ998" s="77"/>
      <c r="AK998" s="77"/>
      <c r="AL998" s="77"/>
      <c r="AM998" s="77"/>
      <c r="AN998" s="77"/>
      <c r="AO998" s="77"/>
      <c r="AP998" s="76"/>
      <c r="AQ998" s="81"/>
      <c r="AR998" s="76"/>
      <c r="AS998" s="81"/>
      <c r="AT998" s="76"/>
      <c r="AU998" s="81"/>
      <c r="AV998" s="77"/>
      <c r="AW998" s="81"/>
      <c r="AX998" s="77"/>
      <c r="AY998" s="81"/>
      <c r="AZ998" s="77"/>
      <c r="BA998" s="81"/>
      <c r="BB998" s="77"/>
      <c r="BC998" s="81"/>
      <c r="BD998" s="77"/>
      <c r="BE998" s="81"/>
      <c r="BF998" s="77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77"/>
      <c r="BU998" s="77"/>
      <c r="BV998" s="77"/>
      <c r="BW998" s="77"/>
      <c r="BX998" s="77"/>
      <c r="BY998" s="77"/>
      <c r="BZ998" s="77"/>
      <c r="CA998" s="77"/>
      <c r="CB998" s="77"/>
      <c r="CC998" s="77"/>
      <c r="CD998" s="77"/>
      <c r="CE998" s="77"/>
      <c r="CF998" s="77"/>
      <c r="CG998" s="77"/>
      <c r="CH998" s="77"/>
      <c r="CI998" s="77"/>
      <c r="CJ998" s="77"/>
      <c r="CK998" s="77"/>
      <c r="CL998" s="77"/>
      <c r="CM998" s="77"/>
      <c r="CN998" s="77"/>
      <c r="CO998" s="77"/>
      <c r="CP998" s="77"/>
      <c r="CQ998" s="77"/>
      <c r="CR998" s="77"/>
      <c r="CS998" s="77"/>
      <c r="CT998" s="77"/>
      <c r="CU998" s="77"/>
      <c r="CV998" s="77"/>
      <c r="CW998" s="77"/>
    </row>
    <row r="999" spans="1:101" ht="16.5" x14ac:dyDescent="0.45">
      <c r="A999" s="76"/>
      <c r="B999" s="77"/>
      <c r="C999" s="77"/>
      <c r="D999" s="78"/>
      <c r="E999" s="80"/>
      <c r="F999" s="80"/>
      <c r="G999" s="81"/>
      <c r="H999" s="81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82"/>
      <c r="Z999" s="82"/>
      <c r="AA999" s="82"/>
      <c r="AB999" s="80"/>
      <c r="AC999" s="77"/>
      <c r="AD999" s="77"/>
      <c r="AE999" s="77"/>
      <c r="AF999" s="77"/>
      <c r="AG999" s="77"/>
      <c r="AH999" s="77"/>
      <c r="AI999" s="92"/>
      <c r="AJ999" s="77"/>
      <c r="AK999" s="77"/>
      <c r="AL999" s="77"/>
      <c r="AM999" s="77"/>
      <c r="AN999" s="77"/>
      <c r="AO999" s="77"/>
      <c r="AP999" s="76"/>
      <c r="AQ999" s="81"/>
      <c r="AR999" s="76"/>
      <c r="AS999" s="81"/>
      <c r="AT999" s="76"/>
      <c r="AU999" s="81"/>
      <c r="AV999" s="77"/>
      <c r="AW999" s="81"/>
      <c r="AX999" s="77"/>
      <c r="AY999" s="81"/>
      <c r="AZ999" s="77"/>
      <c r="BA999" s="81"/>
      <c r="BB999" s="77"/>
      <c r="BC999" s="81"/>
      <c r="BD999" s="77"/>
      <c r="BE999" s="81"/>
      <c r="BF999" s="77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77"/>
      <c r="BU999" s="77"/>
      <c r="BV999" s="77"/>
      <c r="BW999" s="77"/>
      <c r="BX999" s="77"/>
      <c r="BY999" s="77"/>
      <c r="BZ999" s="77"/>
      <c r="CA999" s="77"/>
      <c r="CB999" s="77"/>
      <c r="CC999" s="77"/>
      <c r="CD999" s="77"/>
      <c r="CE999" s="77"/>
      <c r="CF999" s="77"/>
      <c r="CG999" s="77"/>
      <c r="CH999" s="77"/>
      <c r="CI999" s="77"/>
      <c r="CJ999" s="77"/>
      <c r="CK999" s="77"/>
      <c r="CL999" s="77"/>
      <c r="CM999" s="77"/>
      <c r="CN999" s="77"/>
      <c r="CO999" s="77"/>
      <c r="CP999" s="77"/>
      <c r="CQ999" s="77"/>
      <c r="CR999" s="77"/>
      <c r="CS999" s="77"/>
      <c r="CT999" s="77"/>
      <c r="CU999" s="77"/>
      <c r="CV999" s="77"/>
      <c r="CW999" s="77"/>
    </row>
    <row r="1000" spans="1:101" ht="16.5" x14ac:dyDescent="0.45">
      <c r="A1000" s="76"/>
      <c r="B1000" s="77"/>
      <c r="C1000" s="77"/>
      <c r="D1000" s="78"/>
      <c r="E1000" s="80"/>
      <c r="F1000" s="80"/>
      <c r="G1000" s="81"/>
      <c r="H1000" s="81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82"/>
      <c r="Z1000" s="82"/>
      <c r="AA1000" s="82"/>
      <c r="AB1000" s="80"/>
      <c r="AC1000" s="77"/>
      <c r="AD1000" s="77"/>
      <c r="AE1000" s="77"/>
      <c r="AF1000" s="77"/>
      <c r="AG1000" s="77"/>
      <c r="AH1000" s="77"/>
      <c r="AI1000" s="92"/>
      <c r="AJ1000" s="77"/>
      <c r="AK1000" s="77"/>
      <c r="AL1000" s="77"/>
      <c r="AM1000" s="77"/>
      <c r="AN1000" s="77"/>
      <c r="AO1000" s="77"/>
      <c r="AP1000" s="76"/>
      <c r="AQ1000" s="81"/>
      <c r="AR1000" s="76"/>
      <c r="AS1000" s="81"/>
      <c r="AT1000" s="76"/>
      <c r="AU1000" s="81"/>
      <c r="AV1000" s="77"/>
      <c r="AW1000" s="81"/>
      <c r="AX1000" s="77"/>
      <c r="AY1000" s="81"/>
      <c r="AZ1000" s="77"/>
      <c r="BA1000" s="81"/>
      <c r="BB1000" s="77"/>
      <c r="BC1000" s="81"/>
      <c r="BD1000" s="77"/>
      <c r="BE1000" s="81"/>
      <c r="BF1000" s="77"/>
      <c r="BG1000" s="81"/>
      <c r="BH1000" s="81"/>
      <c r="BI1000" s="81"/>
      <c r="BJ1000" s="81"/>
      <c r="BK1000" s="81"/>
      <c r="BL1000" s="81"/>
      <c r="BM1000" s="81"/>
      <c r="BN1000" s="81"/>
      <c r="BO1000" s="81"/>
      <c r="BP1000" s="81"/>
      <c r="BQ1000" s="81"/>
      <c r="BR1000" s="81"/>
      <c r="BS1000" s="81"/>
      <c r="BT1000" s="77"/>
      <c r="BU1000" s="77"/>
      <c r="BV1000" s="77"/>
      <c r="BW1000" s="77"/>
      <c r="BX1000" s="77"/>
      <c r="BY1000" s="77"/>
      <c r="BZ1000" s="77"/>
      <c r="CA1000" s="77"/>
      <c r="CB1000" s="77"/>
      <c r="CC1000" s="77"/>
      <c r="CD1000" s="77"/>
      <c r="CE1000" s="77"/>
      <c r="CF1000" s="77"/>
      <c r="CG1000" s="77"/>
      <c r="CH1000" s="77"/>
      <c r="CI1000" s="77"/>
      <c r="CJ1000" s="77"/>
      <c r="CK1000" s="77"/>
      <c r="CL1000" s="77"/>
      <c r="CM1000" s="77"/>
      <c r="CN1000" s="77"/>
      <c r="CO1000" s="77"/>
      <c r="CP1000" s="77"/>
      <c r="CQ1000" s="77"/>
      <c r="CR1000" s="77"/>
      <c r="CS1000" s="77"/>
      <c r="CT1000" s="77"/>
      <c r="CU1000" s="77"/>
      <c r="CV1000" s="77"/>
      <c r="CW1000" s="77"/>
    </row>
    <row r="1001" spans="1:101" ht="16.5" x14ac:dyDescent="0.45">
      <c r="A1001" s="76"/>
      <c r="B1001" s="77"/>
      <c r="C1001" s="77"/>
      <c r="D1001" s="78"/>
      <c r="E1001" s="80"/>
      <c r="F1001" s="80"/>
      <c r="G1001" s="81"/>
      <c r="H1001" s="81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82"/>
      <c r="Z1001" s="82"/>
      <c r="AA1001" s="82"/>
      <c r="AB1001" s="80"/>
      <c r="AC1001" s="77"/>
      <c r="AD1001" s="77"/>
      <c r="AE1001" s="77"/>
      <c r="AF1001" s="77"/>
      <c r="AG1001" s="77"/>
      <c r="AH1001" s="77"/>
      <c r="AI1001" s="92"/>
      <c r="AJ1001" s="77"/>
      <c r="AK1001" s="77"/>
      <c r="AL1001" s="77"/>
      <c r="AM1001" s="77"/>
      <c r="AN1001" s="77"/>
      <c r="AO1001" s="77"/>
      <c r="AP1001" s="76"/>
      <c r="AQ1001" s="81"/>
      <c r="AR1001" s="76"/>
      <c r="AS1001" s="81"/>
      <c r="AT1001" s="76"/>
      <c r="AU1001" s="81"/>
      <c r="AV1001" s="77"/>
      <c r="AW1001" s="81"/>
      <c r="AX1001" s="77"/>
      <c r="AY1001" s="81"/>
      <c r="AZ1001" s="77"/>
      <c r="BA1001" s="81"/>
      <c r="BB1001" s="77"/>
      <c r="BC1001" s="81"/>
      <c r="BD1001" s="77"/>
      <c r="BE1001" s="81"/>
      <c r="BF1001" s="77"/>
      <c r="BG1001" s="81"/>
      <c r="BH1001" s="81"/>
      <c r="BI1001" s="81"/>
      <c r="BJ1001" s="81"/>
      <c r="BK1001" s="81"/>
      <c r="BL1001" s="81"/>
      <c r="BM1001" s="81"/>
      <c r="BN1001" s="81"/>
      <c r="BO1001" s="81"/>
      <c r="BP1001" s="81"/>
      <c r="BQ1001" s="81"/>
      <c r="BR1001" s="81"/>
      <c r="BS1001" s="81"/>
      <c r="BT1001" s="77"/>
      <c r="BU1001" s="77"/>
      <c r="BV1001" s="77"/>
      <c r="BW1001" s="77"/>
      <c r="BX1001" s="77"/>
      <c r="BY1001" s="77"/>
      <c r="BZ1001" s="77"/>
      <c r="CA1001" s="77"/>
      <c r="CB1001" s="77"/>
      <c r="CC1001" s="77"/>
      <c r="CD1001" s="77"/>
      <c r="CE1001" s="77"/>
      <c r="CF1001" s="77"/>
      <c r="CG1001" s="77"/>
      <c r="CH1001" s="77"/>
      <c r="CI1001" s="77"/>
      <c r="CJ1001" s="77"/>
      <c r="CK1001" s="77"/>
      <c r="CL1001" s="77"/>
      <c r="CM1001" s="77"/>
      <c r="CN1001" s="77"/>
      <c r="CO1001" s="77"/>
      <c r="CP1001" s="77"/>
      <c r="CQ1001" s="77"/>
      <c r="CR1001" s="77"/>
      <c r="CS1001" s="77"/>
      <c r="CT1001" s="77"/>
      <c r="CU1001" s="77"/>
      <c r="CV1001" s="77"/>
      <c r="CW1001" s="77"/>
    </row>
    <row r="1002" spans="1:101" ht="16.5" x14ac:dyDescent="0.45">
      <c r="A1002" s="76"/>
      <c r="B1002" s="77"/>
      <c r="C1002" s="77"/>
      <c r="D1002" s="78"/>
      <c r="E1002" s="80"/>
      <c r="F1002" s="80"/>
      <c r="G1002" s="81"/>
      <c r="H1002" s="81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82"/>
      <c r="Z1002" s="82"/>
      <c r="AA1002" s="82"/>
      <c r="AB1002" s="80"/>
      <c r="AC1002" s="77"/>
      <c r="AD1002" s="77"/>
      <c r="AE1002" s="77"/>
      <c r="AF1002" s="77"/>
      <c r="AG1002" s="77"/>
      <c r="AH1002" s="77"/>
      <c r="AI1002" s="92"/>
      <c r="AJ1002" s="77"/>
      <c r="AK1002" s="77"/>
      <c r="AL1002" s="77"/>
      <c r="AM1002" s="77"/>
      <c r="AN1002" s="77"/>
      <c r="AO1002" s="77"/>
      <c r="AP1002" s="76"/>
      <c r="AQ1002" s="81"/>
      <c r="AR1002" s="76"/>
      <c r="AS1002" s="81"/>
      <c r="AT1002" s="76"/>
      <c r="AU1002" s="81"/>
      <c r="AV1002" s="77"/>
      <c r="AW1002" s="81"/>
      <c r="AX1002" s="77"/>
      <c r="AY1002" s="81"/>
      <c r="AZ1002" s="77"/>
      <c r="BA1002" s="81"/>
      <c r="BB1002" s="77"/>
      <c r="BC1002" s="81"/>
      <c r="BD1002" s="77"/>
      <c r="BE1002" s="81"/>
      <c r="BF1002" s="77"/>
      <c r="BG1002" s="81"/>
      <c r="BH1002" s="81"/>
      <c r="BI1002" s="81"/>
      <c r="BJ1002" s="81"/>
      <c r="BK1002" s="81"/>
      <c r="BL1002" s="81"/>
      <c r="BM1002" s="81"/>
      <c r="BN1002" s="81"/>
      <c r="BO1002" s="81"/>
      <c r="BP1002" s="81"/>
      <c r="BQ1002" s="81"/>
      <c r="BR1002" s="81"/>
      <c r="BS1002" s="81"/>
      <c r="BT1002" s="77"/>
      <c r="BU1002" s="77"/>
      <c r="BV1002" s="77"/>
      <c r="BW1002" s="77"/>
      <c r="BX1002" s="77"/>
      <c r="BY1002" s="77"/>
      <c r="BZ1002" s="77"/>
      <c r="CA1002" s="77"/>
      <c r="CB1002" s="77"/>
      <c r="CC1002" s="77"/>
      <c r="CD1002" s="77"/>
      <c r="CE1002" s="77"/>
      <c r="CF1002" s="77"/>
      <c r="CG1002" s="77"/>
      <c r="CH1002" s="77"/>
      <c r="CI1002" s="77"/>
      <c r="CJ1002" s="77"/>
      <c r="CK1002" s="77"/>
      <c r="CL1002" s="77"/>
      <c r="CM1002" s="77"/>
      <c r="CN1002" s="77"/>
      <c r="CO1002" s="77"/>
      <c r="CP1002" s="77"/>
      <c r="CQ1002" s="77"/>
      <c r="CR1002" s="77"/>
      <c r="CS1002" s="77"/>
      <c r="CT1002" s="77"/>
      <c r="CU1002" s="77"/>
      <c r="CV1002" s="77"/>
      <c r="CW1002" s="77"/>
    </row>
    <row r="1003" spans="1:101" ht="16.5" x14ac:dyDescent="0.45">
      <c r="A1003" s="76"/>
      <c r="B1003" s="77"/>
      <c r="C1003" s="77"/>
      <c r="D1003" s="78"/>
      <c r="E1003" s="80"/>
      <c r="F1003" s="80"/>
      <c r="G1003" s="81"/>
      <c r="H1003" s="81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82"/>
      <c r="Z1003" s="82"/>
      <c r="AA1003" s="82"/>
      <c r="AB1003" s="80"/>
      <c r="AC1003" s="77"/>
      <c r="AD1003" s="77"/>
      <c r="AE1003" s="77"/>
      <c r="AF1003" s="77"/>
      <c r="AG1003" s="77"/>
      <c r="AH1003" s="77"/>
      <c r="AI1003" s="92"/>
      <c r="AJ1003" s="77"/>
      <c r="AK1003" s="77"/>
      <c r="AL1003" s="77"/>
      <c r="AM1003" s="77"/>
      <c r="AN1003" s="77"/>
      <c r="AO1003" s="77"/>
      <c r="AP1003" s="76"/>
      <c r="AQ1003" s="81"/>
      <c r="AR1003" s="76"/>
      <c r="AS1003" s="81"/>
      <c r="AT1003" s="76"/>
      <c r="AU1003" s="81"/>
      <c r="AV1003" s="77"/>
      <c r="AW1003" s="81"/>
      <c r="AX1003" s="77"/>
      <c r="AY1003" s="81"/>
      <c r="AZ1003" s="77"/>
      <c r="BA1003" s="81"/>
      <c r="BB1003" s="77"/>
      <c r="BC1003" s="81"/>
      <c r="BD1003" s="77"/>
      <c r="BE1003" s="81"/>
      <c r="BF1003" s="77"/>
      <c r="BG1003" s="81"/>
      <c r="BH1003" s="81"/>
      <c r="BI1003" s="81"/>
      <c r="BJ1003" s="81"/>
      <c r="BK1003" s="81"/>
      <c r="BL1003" s="81"/>
      <c r="BM1003" s="81"/>
      <c r="BN1003" s="81"/>
      <c r="BO1003" s="81"/>
      <c r="BP1003" s="81"/>
      <c r="BQ1003" s="81"/>
      <c r="BR1003" s="81"/>
      <c r="BS1003" s="81"/>
      <c r="BT1003" s="77"/>
      <c r="BU1003" s="77"/>
      <c r="BV1003" s="77"/>
      <c r="BW1003" s="77"/>
      <c r="BX1003" s="77"/>
      <c r="BY1003" s="77"/>
      <c r="BZ1003" s="77"/>
      <c r="CA1003" s="77"/>
      <c r="CB1003" s="77"/>
      <c r="CC1003" s="77"/>
      <c r="CD1003" s="77"/>
      <c r="CE1003" s="77"/>
      <c r="CF1003" s="77"/>
      <c r="CG1003" s="77"/>
      <c r="CH1003" s="77"/>
      <c r="CI1003" s="77"/>
      <c r="CJ1003" s="77"/>
      <c r="CK1003" s="77"/>
      <c r="CL1003" s="77"/>
      <c r="CM1003" s="77"/>
      <c r="CN1003" s="77"/>
      <c r="CO1003" s="77"/>
      <c r="CP1003" s="77"/>
      <c r="CQ1003" s="77"/>
      <c r="CR1003" s="77"/>
      <c r="CS1003" s="77"/>
      <c r="CT1003" s="77"/>
      <c r="CU1003" s="77"/>
      <c r="CV1003" s="77"/>
      <c r="CW1003" s="77"/>
    </row>
    <row r="1004" spans="1:101" ht="16.5" x14ac:dyDescent="0.45">
      <c r="A1004" s="76"/>
      <c r="B1004" s="77"/>
      <c r="C1004" s="77"/>
      <c r="D1004" s="78"/>
      <c r="E1004" s="80"/>
      <c r="F1004" s="80"/>
      <c r="G1004" s="81"/>
      <c r="H1004" s="81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82"/>
      <c r="Z1004" s="82"/>
      <c r="AA1004" s="82"/>
      <c r="AB1004" s="80"/>
      <c r="AC1004" s="77"/>
      <c r="AD1004" s="77"/>
      <c r="AE1004" s="77"/>
      <c r="AF1004" s="77"/>
      <c r="AG1004" s="77"/>
      <c r="AH1004" s="77"/>
      <c r="AI1004" s="92"/>
      <c r="AJ1004" s="77"/>
      <c r="AK1004" s="77"/>
      <c r="AL1004" s="77"/>
      <c r="AM1004" s="77"/>
      <c r="AN1004" s="77"/>
      <c r="AO1004" s="77"/>
      <c r="AP1004" s="76"/>
      <c r="AQ1004" s="81"/>
      <c r="AR1004" s="76"/>
      <c r="AS1004" s="81"/>
      <c r="AT1004" s="76"/>
      <c r="AU1004" s="81"/>
      <c r="AV1004" s="77"/>
      <c r="AW1004" s="81"/>
      <c r="AX1004" s="77"/>
      <c r="AY1004" s="81"/>
      <c r="AZ1004" s="77"/>
      <c r="BA1004" s="81"/>
      <c r="BB1004" s="77"/>
      <c r="BC1004" s="81"/>
      <c r="BD1004" s="77"/>
      <c r="BE1004" s="81"/>
      <c r="BF1004" s="77"/>
      <c r="BG1004" s="81"/>
      <c r="BH1004" s="81"/>
      <c r="BI1004" s="81"/>
      <c r="BJ1004" s="81"/>
      <c r="BK1004" s="81"/>
      <c r="BL1004" s="81"/>
      <c r="BM1004" s="81"/>
      <c r="BN1004" s="81"/>
      <c r="BO1004" s="81"/>
      <c r="BP1004" s="81"/>
      <c r="BQ1004" s="81"/>
      <c r="BR1004" s="81"/>
      <c r="BS1004" s="81"/>
      <c r="BT1004" s="77"/>
      <c r="BU1004" s="77"/>
      <c r="BV1004" s="77"/>
      <c r="BW1004" s="77"/>
      <c r="BX1004" s="77"/>
      <c r="BY1004" s="77"/>
      <c r="BZ1004" s="77"/>
      <c r="CA1004" s="77"/>
      <c r="CB1004" s="77"/>
      <c r="CC1004" s="77"/>
      <c r="CD1004" s="77"/>
      <c r="CE1004" s="77"/>
      <c r="CF1004" s="77"/>
      <c r="CG1004" s="77"/>
      <c r="CH1004" s="77"/>
      <c r="CI1004" s="77"/>
      <c r="CJ1004" s="77"/>
      <c r="CK1004" s="77"/>
      <c r="CL1004" s="77"/>
      <c r="CM1004" s="77"/>
      <c r="CN1004" s="77"/>
      <c r="CO1004" s="77"/>
      <c r="CP1004" s="77"/>
      <c r="CQ1004" s="77"/>
      <c r="CR1004" s="77"/>
      <c r="CS1004" s="77"/>
      <c r="CT1004" s="77"/>
      <c r="CU1004" s="77"/>
      <c r="CV1004" s="77"/>
      <c r="CW1004" s="77"/>
    </row>
    <row r="1005" spans="1:101" ht="16.5" x14ac:dyDescent="0.45">
      <c r="A1005" s="76"/>
      <c r="B1005" s="77"/>
      <c r="C1005" s="77"/>
      <c r="D1005" s="78"/>
      <c r="E1005" s="80"/>
      <c r="F1005" s="80"/>
      <c r="G1005" s="81"/>
      <c r="H1005" s="81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82"/>
      <c r="Z1005" s="82"/>
      <c r="AA1005" s="82"/>
      <c r="AB1005" s="80"/>
      <c r="AC1005" s="77"/>
      <c r="AD1005" s="77"/>
      <c r="AE1005" s="77"/>
      <c r="AF1005" s="77"/>
      <c r="AG1005" s="77"/>
      <c r="AH1005" s="77"/>
      <c r="AI1005" s="92"/>
      <c r="AJ1005" s="77"/>
      <c r="AK1005" s="77"/>
      <c r="AL1005" s="77"/>
      <c r="AM1005" s="77"/>
      <c r="AN1005" s="77"/>
      <c r="AO1005" s="77"/>
      <c r="AP1005" s="76"/>
      <c r="AQ1005" s="81"/>
      <c r="AR1005" s="76"/>
      <c r="AS1005" s="81"/>
      <c r="AT1005" s="76"/>
      <c r="AU1005" s="81"/>
      <c r="AV1005" s="77"/>
      <c r="AW1005" s="81"/>
      <c r="AX1005" s="77"/>
      <c r="AY1005" s="81"/>
      <c r="AZ1005" s="77"/>
      <c r="BA1005" s="81"/>
      <c r="BB1005" s="77"/>
      <c r="BC1005" s="81"/>
      <c r="BD1005" s="77"/>
      <c r="BE1005" s="81"/>
      <c r="BF1005" s="77"/>
      <c r="BG1005" s="81"/>
      <c r="BH1005" s="81"/>
      <c r="BI1005" s="81"/>
      <c r="BJ1005" s="81"/>
      <c r="BK1005" s="81"/>
      <c r="BL1005" s="81"/>
      <c r="BM1005" s="81"/>
      <c r="BN1005" s="81"/>
      <c r="BO1005" s="81"/>
      <c r="BP1005" s="81"/>
      <c r="BQ1005" s="81"/>
      <c r="BR1005" s="81"/>
      <c r="BS1005" s="81"/>
      <c r="BT1005" s="77"/>
      <c r="BU1005" s="77"/>
      <c r="BV1005" s="77"/>
      <c r="BW1005" s="77"/>
      <c r="BX1005" s="77"/>
      <c r="BY1005" s="77"/>
      <c r="BZ1005" s="77"/>
      <c r="CA1005" s="77"/>
      <c r="CB1005" s="77"/>
      <c r="CC1005" s="77"/>
      <c r="CD1005" s="77"/>
      <c r="CE1005" s="77"/>
      <c r="CF1005" s="77"/>
      <c r="CG1005" s="77"/>
      <c r="CH1005" s="77"/>
      <c r="CI1005" s="77"/>
      <c r="CJ1005" s="77"/>
      <c r="CK1005" s="77"/>
      <c r="CL1005" s="77"/>
      <c r="CM1005" s="77"/>
      <c r="CN1005" s="77"/>
      <c r="CO1005" s="77"/>
      <c r="CP1005" s="77"/>
      <c r="CQ1005" s="77"/>
      <c r="CR1005" s="77"/>
      <c r="CS1005" s="77"/>
      <c r="CT1005" s="77"/>
      <c r="CU1005" s="77"/>
      <c r="CV1005" s="77"/>
      <c r="CW1005" s="77"/>
    </row>
    <row r="1006" spans="1:101" ht="16.5" x14ac:dyDescent="0.45">
      <c r="A1006" s="76"/>
      <c r="B1006" s="77"/>
      <c r="C1006" s="77"/>
      <c r="D1006" s="78"/>
      <c r="E1006" s="80"/>
      <c r="F1006" s="80"/>
      <c r="G1006" s="81"/>
      <c r="H1006" s="81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82"/>
      <c r="Z1006" s="82"/>
      <c r="AA1006" s="82"/>
      <c r="AB1006" s="80"/>
      <c r="AC1006" s="77"/>
      <c r="AD1006" s="77"/>
      <c r="AE1006" s="77"/>
      <c r="AF1006" s="77"/>
      <c r="AG1006" s="77"/>
      <c r="AH1006" s="77"/>
      <c r="AI1006" s="92"/>
      <c r="AJ1006" s="77"/>
      <c r="AK1006" s="77"/>
      <c r="AL1006" s="77"/>
      <c r="AM1006" s="77"/>
      <c r="AN1006" s="77"/>
      <c r="AO1006" s="77"/>
      <c r="AP1006" s="76"/>
      <c r="AQ1006" s="81"/>
      <c r="AR1006" s="76"/>
      <c r="AS1006" s="81"/>
      <c r="AT1006" s="76"/>
      <c r="AU1006" s="81"/>
      <c r="AV1006" s="77"/>
      <c r="AW1006" s="81"/>
      <c r="AX1006" s="77"/>
      <c r="AY1006" s="81"/>
      <c r="AZ1006" s="77"/>
      <c r="BA1006" s="81"/>
      <c r="BB1006" s="77"/>
      <c r="BC1006" s="81"/>
      <c r="BD1006" s="77"/>
      <c r="BE1006" s="81"/>
      <c r="BF1006" s="77"/>
      <c r="BG1006" s="81"/>
      <c r="BH1006" s="81"/>
      <c r="BI1006" s="81"/>
      <c r="BJ1006" s="81"/>
      <c r="BK1006" s="81"/>
      <c r="BL1006" s="81"/>
      <c r="BM1006" s="81"/>
      <c r="BN1006" s="81"/>
      <c r="BO1006" s="81"/>
      <c r="BP1006" s="81"/>
      <c r="BQ1006" s="81"/>
      <c r="BR1006" s="81"/>
      <c r="BS1006" s="81"/>
      <c r="BT1006" s="77"/>
      <c r="BU1006" s="77"/>
      <c r="BV1006" s="77"/>
      <c r="BW1006" s="77"/>
      <c r="BX1006" s="77"/>
      <c r="BY1006" s="77"/>
      <c r="BZ1006" s="77"/>
      <c r="CA1006" s="77"/>
      <c r="CB1006" s="77"/>
      <c r="CC1006" s="77"/>
      <c r="CD1006" s="77"/>
      <c r="CE1006" s="77"/>
      <c r="CF1006" s="77"/>
      <c r="CG1006" s="77"/>
      <c r="CH1006" s="77"/>
      <c r="CI1006" s="77"/>
      <c r="CJ1006" s="77"/>
      <c r="CK1006" s="77"/>
      <c r="CL1006" s="77"/>
      <c r="CM1006" s="77"/>
      <c r="CN1006" s="77"/>
      <c r="CO1006" s="77"/>
      <c r="CP1006" s="77"/>
      <c r="CQ1006" s="77"/>
      <c r="CR1006" s="77"/>
      <c r="CS1006" s="77"/>
      <c r="CT1006" s="77"/>
      <c r="CU1006" s="77"/>
      <c r="CV1006" s="77"/>
      <c r="CW1006" s="77"/>
    </row>
    <row r="1007" spans="1:101" ht="16.5" x14ac:dyDescent="0.45">
      <c r="A1007" s="76"/>
      <c r="B1007" s="77"/>
      <c r="C1007" s="77"/>
      <c r="D1007" s="78"/>
      <c r="E1007" s="80"/>
      <c r="F1007" s="80"/>
      <c r="G1007" s="81"/>
      <c r="H1007" s="81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82"/>
      <c r="Z1007" s="82"/>
      <c r="AA1007" s="82"/>
      <c r="AB1007" s="80"/>
      <c r="AC1007" s="77"/>
      <c r="AD1007" s="77"/>
      <c r="AE1007" s="77"/>
      <c r="AF1007" s="77"/>
      <c r="AG1007" s="77"/>
      <c r="AH1007" s="77"/>
      <c r="AI1007" s="92"/>
      <c r="AJ1007" s="77"/>
      <c r="AK1007" s="77"/>
      <c r="AL1007" s="77"/>
      <c r="AM1007" s="77"/>
      <c r="AN1007" s="77"/>
      <c r="AO1007" s="77"/>
      <c r="AP1007" s="76"/>
      <c r="AQ1007" s="81"/>
      <c r="AR1007" s="76"/>
      <c r="AS1007" s="81"/>
      <c r="AT1007" s="76"/>
      <c r="AU1007" s="81"/>
      <c r="AV1007" s="77"/>
      <c r="AW1007" s="81"/>
      <c r="AX1007" s="77"/>
      <c r="AY1007" s="81"/>
      <c r="AZ1007" s="77"/>
      <c r="BA1007" s="81"/>
      <c r="BB1007" s="77"/>
      <c r="BC1007" s="81"/>
      <c r="BD1007" s="77"/>
      <c r="BE1007" s="81"/>
      <c r="BF1007" s="77"/>
      <c r="BG1007" s="81"/>
      <c r="BH1007" s="81"/>
      <c r="BI1007" s="81"/>
      <c r="BJ1007" s="81"/>
      <c r="BK1007" s="81"/>
      <c r="BL1007" s="81"/>
      <c r="BM1007" s="81"/>
      <c r="BN1007" s="81"/>
      <c r="BO1007" s="81"/>
      <c r="BP1007" s="81"/>
      <c r="BQ1007" s="81"/>
      <c r="BR1007" s="81"/>
      <c r="BS1007" s="81"/>
      <c r="BT1007" s="77"/>
      <c r="BU1007" s="77"/>
      <c r="BV1007" s="77"/>
      <c r="BW1007" s="77"/>
      <c r="BX1007" s="77"/>
      <c r="BY1007" s="77"/>
      <c r="BZ1007" s="77"/>
      <c r="CA1007" s="77"/>
      <c r="CB1007" s="77"/>
      <c r="CC1007" s="77"/>
      <c r="CD1007" s="77"/>
      <c r="CE1007" s="77"/>
      <c r="CF1007" s="77"/>
      <c r="CG1007" s="77"/>
      <c r="CH1007" s="77"/>
      <c r="CI1007" s="77"/>
      <c r="CJ1007" s="77"/>
      <c r="CK1007" s="77"/>
      <c r="CL1007" s="77"/>
      <c r="CM1007" s="77"/>
      <c r="CN1007" s="77"/>
      <c r="CO1007" s="77"/>
      <c r="CP1007" s="77"/>
      <c r="CQ1007" s="77"/>
      <c r="CR1007" s="77"/>
      <c r="CS1007" s="77"/>
      <c r="CT1007" s="77"/>
      <c r="CU1007" s="77"/>
      <c r="CV1007" s="77"/>
      <c r="CW1007" s="77"/>
    </row>
    <row r="1008" spans="1:101" ht="16.5" x14ac:dyDescent="0.45">
      <c r="A1008" s="76"/>
      <c r="B1008" s="77"/>
      <c r="C1008" s="77"/>
      <c r="D1008" s="78"/>
      <c r="E1008" s="80"/>
      <c r="F1008" s="80"/>
      <c r="G1008" s="81"/>
      <c r="H1008" s="81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82"/>
      <c r="Z1008" s="82"/>
      <c r="AA1008" s="82"/>
      <c r="AB1008" s="80"/>
      <c r="AC1008" s="77"/>
      <c r="AD1008" s="77"/>
      <c r="AE1008" s="77"/>
      <c r="AF1008" s="77"/>
      <c r="AG1008" s="77"/>
      <c r="AH1008" s="77"/>
      <c r="AI1008" s="92"/>
      <c r="AJ1008" s="77"/>
      <c r="AK1008" s="77"/>
      <c r="AL1008" s="77"/>
      <c r="AM1008" s="77"/>
      <c r="AN1008" s="77"/>
      <c r="AO1008" s="77"/>
      <c r="AP1008" s="76"/>
      <c r="AQ1008" s="81"/>
      <c r="AR1008" s="76"/>
      <c r="AS1008" s="81"/>
      <c r="AT1008" s="76"/>
      <c r="AU1008" s="81"/>
      <c r="AV1008" s="77"/>
      <c r="AW1008" s="81"/>
      <c r="AX1008" s="77"/>
      <c r="AY1008" s="81"/>
      <c r="AZ1008" s="77"/>
      <c r="BA1008" s="81"/>
      <c r="BB1008" s="77"/>
      <c r="BC1008" s="81"/>
      <c r="BD1008" s="77"/>
      <c r="BE1008" s="81"/>
      <c r="BF1008" s="77"/>
      <c r="BG1008" s="81"/>
      <c r="BH1008" s="81"/>
      <c r="BI1008" s="81"/>
      <c r="BJ1008" s="81"/>
      <c r="BK1008" s="81"/>
      <c r="BL1008" s="81"/>
      <c r="BM1008" s="81"/>
      <c r="BN1008" s="81"/>
      <c r="BO1008" s="81"/>
      <c r="BP1008" s="81"/>
      <c r="BQ1008" s="81"/>
      <c r="BR1008" s="81"/>
      <c r="BS1008" s="81"/>
      <c r="BT1008" s="77"/>
      <c r="BU1008" s="77"/>
      <c r="BV1008" s="77"/>
      <c r="BW1008" s="77"/>
      <c r="BX1008" s="77"/>
      <c r="BY1008" s="77"/>
      <c r="BZ1008" s="77"/>
      <c r="CA1008" s="77"/>
      <c r="CB1008" s="77"/>
      <c r="CC1008" s="77"/>
      <c r="CD1008" s="77"/>
      <c r="CE1008" s="77"/>
      <c r="CF1008" s="77"/>
      <c r="CG1008" s="77"/>
      <c r="CH1008" s="77"/>
      <c r="CI1008" s="77"/>
      <c r="CJ1008" s="77"/>
      <c r="CK1008" s="77"/>
      <c r="CL1008" s="77"/>
      <c r="CM1008" s="77"/>
      <c r="CN1008" s="77"/>
      <c r="CO1008" s="77"/>
      <c r="CP1008" s="77"/>
      <c r="CQ1008" s="77"/>
      <c r="CR1008" s="77"/>
      <c r="CS1008" s="77"/>
      <c r="CT1008" s="77"/>
      <c r="CU1008" s="77"/>
      <c r="CV1008" s="77"/>
      <c r="CW1008" s="77"/>
    </row>
    <row r="1009" spans="1:101" ht="16.5" x14ac:dyDescent="0.45">
      <c r="A1009" s="76"/>
      <c r="B1009" s="77"/>
      <c r="C1009" s="77"/>
      <c r="D1009" s="78"/>
      <c r="E1009" s="80"/>
      <c r="F1009" s="80"/>
      <c r="G1009" s="81"/>
      <c r="H1009" s="81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82"/>
      <c r="Z1009" s="82"/>
      <c r="AA1009" s="82"/>
      <c r="AB1009" s="80"/>
      <c r="AC1009" s="77"/>
      <c r="AD1009" s="77"/>
      <c r="AE1009" s="77"/>
      <c r="AF1009" s="77"/>
      <c r="AG1009" s="77"/>
      <c r="AH1009" s="77"/>
      <c r="AI1009" s="92"/>
      <c r="AJ1009" s="77"/>
      <c r="AK1009" s="77"/>
      <c r="AL1009" s="77"/>
      <c r="AM1009" s="77"/>
      <c r="AN1009" s="77"/>
      <c r="AO1009" s="77"/>
      <c r="AP1009" s="76"/>
      <c r="AQ1009" s="81"/>
      <c r="AR1009" s="76"/>
      <c r="AS1009" s="81"/>
      <c r="AT1009" s="76"/>
      <c r="AU1009" s="81"/>
      <c r="AV1009" s="77"/>
      <c r="AW1009" s="81"/>
      <c r="AX1009" s="77"/>
      <c r="AY1009" s="81"/>
      <c r="AZ1009" s="77"/>
      <c r="BA1009" s="81"/>
      <c r="BB1009" s="77"/>
      <c r="BC1009" s="81"/>
      <c r="BD1009" s="77"/>
      <c r="BE1009" s="81"/>
      <c r="BF1009" s="77"/>
      <c r="BG1009" s="81"/>
      <c r="BH1009" s="81"/>
      <c r="BI1009" s="81"/>
      <c r="BJ1009" s="81"/>
      <c r="BK1009" s="81"/>
      <c r="BL1009" s="81"/>
      <c r="BM1009" s="81"/>
      <c r="BN1009" s="81"/>
      <c r="BO1009" s="81"/>
      <c r="BP1009" s="81"/>
      <c r="BQ1009" s="81"/>
      <c r="BR1009" s="81"/>
      <c r="BS1009" s="81"/>
      <c r="BT1009" s="77"/>
      <c r="BU1009" s="77"/>
      <c r="BV1009" s="77"/>
      <c r="BW1009" s="77"/>
      <c r="BX1009" s="77"/>
      <c r="BY1009" s="77"/>
      <c r="BZ1009" s="77"/>
      <c r="CA1009" s="77"/>
      <c r="CB1009" s="77"/>
      <c r="CC1009" s="77"/>
      <c r="CD1009" s="77"/>
      <c r="CE1009" s="77"/>
      <c r="CF1009" s="77"/>
      <c r="CG1009" s="77"/>
      <c r="CH1009" s="77"/>
      <c r="CI1009" s="77"/>
      <c r="CJ1009" s="77"/>
      <c r="CK1009" s="77"/>
      <c r="CL1009" s="77"/>
      <c r="CM1009" s="77"/>
      <c r="CN1009" s="77"/>
      <c r="CO1009" s="77"/>
      <c r="CP1009" s="77"/>
      <c r="CQ1009" s="77"/>
      <c r="CR1009" s="77"/>
      <c r="CS1009" s="77"/>
      <c r="CT1009" s="77"/>
      <c r="CU1009" s="77"/>
      <c r="CV1009" s="77"/>
      <c r="CW1009" s="77"/>
    </row>
    <row r="1010" spans="1:101" ht="16.5" x14ac:dyDescent="0.45">
      <c r="A1010" s="76"/>
      <c r="B1010" s="77"/>
      <c r="C1010" s="77"/>
      <c r="D1010" s="78"/>
      <c r="E1010" s="80"/>
      <c r="F1010" s="80"/>
      <c r="G1010" s="81"/>
      <c r="H1010" s="81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82"/>
      <c r="Z1010" s="82"/>
      <c r="AA1010" s="82"/>
      <c r="AB1010" s="80"/>
      <c r="AC1010" s="77"/>
      <c r="AD1010" s="77"/>
      <c r="AE1010" s="77"/>
      <c r="AF1010" s="77"/>
      <c r="AG1010" s="77"/>
      <c r="AH1010" s="77"/>
      <c r="AI1010" s="92"/>
      <c r="AJ1010" s="77"/>
      <c r="AK1010" s="77"/>
      <c r="AL1010" s="77"/>
      <c r="AM1010" s="77"/>
      <c r="AN1010" s="77"/>
      <c r="AO1010" s="77"/>
      <c r="AP1010" s="76"/>
      <c r="AQ1010" s="81"/>
      <c r="AR1010" s="76"/>
      <c r="AS1010" s="81"/>
      <c r="AT1010" s="76"/>
      <c r="AU1010" s="81"/>
      <c r="AV1010" s="77"/>
      <c r="AW1010" s="81"/>
      <c r="AX1010" s="77"/>
      <c r="AY1010" s="81"/>
      <c r="AZ1010" s="77"/>
      <c r="BA1010" s="81"/>
      <c r="BB1010" s="77"/>
      <c r="BC1010" s="81"/>
      <c r="BD1010" s="77"/>
      <c r="BE1010" s="81"/>
      <c r="BF1010" s="77"/>
      <c r="BG1010" s="81"/>
      <c r="BH1010" s="81"/>
      <c r="BI1010" s="81"/>
      <c r="BJ1010" s="81"/>
      <c r="BK1010" s="81"/>
      <c r="BL1010" s="81"/>
      <c r="BM1010" s="81"/>
      <c r="BN1010" s="81"/>
      <c r="BO1010" s="81"/>
      <c r="BP1010" s="81"/>
      <c r="BQ1010" s="81"/>
      <c r="BR1010" s="81"/>
      <c r="BS1010" s="81"/>
      <c r="BT1010" s="77"/>
      <c r="BU1010" s="77"/>
      <c r="BV1010" s="77"/>
      <c r="BW1010" s="77"/>
      <c r="BX1010" s="77"/>
      <c r="BY1010" s="77"/>
      <c r="BZ1010" s="77"/>
      <c r="CA1010" s="77"/>
      <c r="CB1010" s="77"/>
      <c r="CC1010" s="77"/>
      <c r="CD1010" s="77"/>
      <c r="CE1010" s="77"/>
      <c r="CF1010" s="77"/>
      <c r="CG1010" s="77"/>
      <c r="CH1010" s="77"/>
      <c r="CI1010" s="77"/>
      <c r="CJ1010" s="77"/>
      <c r="CK1010" s="77"/>
      <c r="CL1010" s="77"/>
      <c r="CM1010" s="77"/>
      <c r="CN1010" s="77"/>
      <c r="CO1010" s="77"/>
      <c r="CP1010" s="77"/>
      <c r="CQ1010" s="77"/>
      <c r="CR1010" s="77"/>
      <c r="CS1010" s="77"/>
      <c r="CT1010" s="77"/>
      <c r="CU1010" s="77"/>
      <c r="CV1010" s="77"/>
      <c r="CW1010" s="77"/>
    </row>
    <row r="1011" spans="1:101" ht="16.5" x14ac:dyDescent="0.45">
      <c r="A1011" s="76"/>
      <c r="B1011" s="77"/>
      <c r="C1011" s="77"/>
      <c r="D1011" s="78"/>
      <c r="E1011" s="80"/>
      <c r="F1011" s="80"/>
      <c r="G1011" s="81"/>
      <c r="H1011" s="81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82"/>
      <c r="Z1011" s="82"/>
      <c r="AA1011" s="82"/>
      <c r="AB1011" s="80"/>
      <c r="AC1011" s="77"/>
      <c r="AD1011" s="77"/>
      <c r="AE1011" s="77"/>
      <c r="AF1011" s="77"/>
      <c r="AG1011" s="77"/>
      <c r="AH1011" s="77"/>
      <c r="AI1011" s="92"/>
      <c r="AJ1011" s="77"/>
      <c r="AK1011" s="77"/>
      <c r="AL1011" s="77"/>
      <c r="AM1011" s="77"/>
      <c r="AN1011" s="77"/>
      <c r="AO1011" s="77"/>
      <c r="AP1011" s="76"/>
      <c r="AQ1011" s="81"/>
      <c r="AR1011" s="76"/>
      <c r="AS1011" s="81"/>
      <c r="AT1011" s="76"/>
      <c r="AU1011" s="81"/>
      <c r="AV1011" s="77"/>
      <c r="AW1011" s="81"/>
      <c r="AX1011" s="77"/>
      <c r="AY1011" s="81"/>
      <c r="AZ1011" s="77"/>
      <c r="BA1011" s="81"/>
      <c r="BB1011" s="77"/>
      <c r="BC1011" s="81"/>
      <c r="BD1011" s="77"/>
      <c r="BE1011" s="81"/>
      <c r="BF1011" s="77"/>
      <c r="BG1011" s="81"/>
      <c r="BH1011" s="81"/>
      <c r="BI1011" s="81"/>
      <c r="BJ1011" s="81"/>
      <c r="BK1011" s="81"/>
      <c r="BL1011" s="81"/>
      <c r="BM1011" s="81"/>
      <c r="BN1011" s="81"/>
      <c r="BO1011" s="81"/>
      <c r="BP1011" s="81"/>
      <c r="BQ1011" s="81"/>
      <c r="BR1011" s="81"/>
      <c r="BS1011" s="81"/>
      <c r="BT1011" s="77"/>
      <c r="BU1011" s="77"/>
      <c r="BV1011" s="77"/>
      <c r="BW1011" s="77"/>
      <c r="BX1011" s="77"/>
      <c r="BY1011" s="77"/>
      <c r="BZ1011" s="77"/>
      <c r="CA1011" s="77"/>
      <c r="CB1011" s="77"/>
      <c r="CC1011" s="77"/>
      <c r="CD1011" s="77"/>
      <c r="CE1011" s="77"/>
      <c r="CF1011" s="77"/>
      <c r="CG1011" s="77"/>
      <c r="CH1011" s="77"/>
      <c r="CI1011" s="77"/>
      <c r="CJ1011" s="77"/>
      <c r="CK1011" s="77"/>
      <c r="CL1011" s="77"/>
      <c r="CM1011" s="77"/>
      <c r="CN1011" s="77"/>
      <c r="CO1011" s="77"/>
      <c r="CP1011" s="77"/>
      <c r="CQ1011" s="77"/>
      <c r="CR1011" s="77"/>
      <c r="CS1011" s="77"/>
      <c r="CT1011" s="77"/>
      <c r="CU1011" s="77"/>
      <c r="CV1011" s="77"/>
      <c r="CW1011" s="77"/>
    </row>
    <row r="1012" spans="1:101" ht="16.5" x14ac:dyDescent="0.45">
      <c r="A1012" s="76"/>
      <c r="B1012" s="77"/>
      <c r="C1012" s="77"/>
      <c r="D1012" s="78"/>
      <c r="E1012" s="80"/>
      <c r="F1012" s="80"/>
      <c r="G1012" s="81"/>
      <c r="H1012" s="81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82"/>
      <c r="Z1012" s="82"/>
      <c r="AA1012" s="82"/>
      <c r="AB1012" s="80"/>
      <c r="AC1012" s="77"/>
      <c r="AD1012" s="77"/>
      <c r="AE1012" s="77"/>
      <c r="AF1012" s="77"/>
      <c r="AG1012" s="77"/>
      <c r="AH1012" s="77"/>
      <c r="AI1012" s="92"/>
      <c r="AJ1012" s="77"/>
      <c r="AK1012" s="77"/>
      <c r="AL1012" s="77"/>
      <c r="AM1012" s="77"/>
      <c r="AN1012" s="77"/>
      <c r="AO1012" s="77"/>
      <c r="AP1012" s="76"/>
      <c r="AQ1012" s="81"/>
      <c r="AR1012" s="76"/>
      <c r="AS1012" s="81"/>
      <c r="AT1012" s="76"/>
      <c r="AU1012" s="81"/>
      <c r="AV1012" s="77"/>
      <c r="AW1012" s="81"/>
      <c r="AX1012" s="77"/>
      <c r="AY1012" s="81"/>
      <c r="AZ1012" s="77"/>
      <c r="BA1012" s="81"/>
      <c r="BB1012" s="77"/>
      <c r="BC1012" s="81"/>
      <c r="BD1012" s="77"/>
      <c r="BE1012" s="81"/>
      <c r="BF1012" s="77"/>
      <c r="BG1012" s="81"/>
      <c r="BH1012" s="81"/>
      <c r="BI1012" s="81"/>
      <c r="BJ1012" s="81"/>
      <c r="BK1012" s="81"/>
      <c r="BL1012" s="81"/>
      <c r="BM1012" s="81"/>
      <c r="BN1012" s="81"/>
      <c r="BO1012" s="81"/>
      <c r="BP1012" s="81"/>
      <c r="BQ1012" s="81"/>
      <c r="BR1012" s="81"/>
      <c r="BS1012" s="81"/>
      <c r="BT1012" s="77"/>
      <c r="BU1012" s="77"/>
      <c r="BV1012" s="77"/>
      <c r="BW1012" s="77"/>
      <c r="BX1012" s="77"/>
      <c r="BY1012" s="77"/>
      <c r="BZ1012" s="77"/>
      <c r="CA1012" s="77"/>
      <c r="CB1012" s="77"/>
      <c r="CC1012" s="77"/>
      <c r="CD1012" s="77"/>
      <c r="CE1012" s="77"/>
      <c r="CF1012" s="77"/>
      <c r="CG1012" s="77"/>
      <c r="CH1012" s="77"/>
      <c r="CI1012" s="77"/>
      <c r="CJ1012" s="77"/>
      <c r="CK1012" s="77"/>
      <c r="CL1012" s="77"/>
      <c r="CM1012" s="77"/>
      <c r="CN1012" s="77"/>
      <c r="CO1012" s="77"/>
      <c r="CP1012" s="77"/>
      <c r="CQ1012" s="77"/>
      <c r="CR1012" s="77"/>
      <c r="CS1012" s="77"/>
      <c r="CT1012" s="77"/>
      <c r="CU1012" s="77"/>
      <c r="CV1012" s="77"/>
      <c r="CW1012" s="77"/>
    </row>
    <row r="1013" spans="1:101" ht="16.5" x14ac:dyDescent="0.45">
      <c r="A1013" s="76"/>
      <c r="B1013" s="77"/>
      <c r="C1013" s="77"/>
      <c r="D1013" s="78"/>
      <c r="E1013" s="80"/>
      <c r="F1013" s="80"/>
      <c r="G1013" s="81"/>
      <c r="H1013" s="81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82"/>
      <c r="Z1013" s="82"/>
      <c r="AA1013" s="82"/>
      <c r="AB1013" s="80"/>
      <c r="AC1013" s="77"/>
      <c r="AD1013" s="77"/>
      <c r="AE1013" s="77"/>
      <c r="AF1013" s="77"/>
      <c r="AG1013" s="77"/>
      <c r="AH1013" s="77"/>
      <c r="AI1013" s="92"/>
      <c r="AJ1013" s="77"/>
      <c r="AK1013" s="77"/>
      <c r="AL1013" s="77"/>
      <c r="AM1013" s="77"/>
      <c r="AN1013" s="77"/>
      <c r="AO1013" s="77"/>
      <c r="AP1013" s="76"/>
      <c r="AQ1013" s="81"/>
      <c r="AR1013" s="76"/>
      <c r="AS1013" s="81"/>
      <c r="AT1013" s="76"/>
      <c r="AU1013" s="81"/>
      <c r="AV1013" s="77"/>
      <c r="AW1013" s="81"/>
      <c r="AX1013" s="77"/>
      <c r="AY1013" s="81"/>
      <c r="AZ1013" s="77"/>
      <c r="BA1013" s="81"/>
      <c r="BB1013" s="77"/>
      <c r="BC1013" s="81"/>
      <c r="BD1013" s="77"/>
      <c r="BE1013" s="81"/>
      <c r="BF1013" s="77"/>
      <c r="BG1013" s="81"/>
      <c r="BH1013" s="81"/>
      <c r="BI1013" s="81"/>
      <c r="BJ1013" s="81"/>
      <c r="BK1013" s="81"/>
      <c r="BL1013" s="81"/>
      <c r="BM1013" s="81"/>
      <c r="BN1013" s="81"/>
      <c r="BO1013" s="81"/>
      <c r="BP1013" s="81"/>
      <c r="BQ1013" s="81"/>
      <c r="BR1013" s="81"/>
      <c r="BS1013" s="81"/>
      <c r="BT1013" s="77"/>
      <c r="BU1013" s="77"/>
      <c r="BV1013" s="77"/>
      <c r="BW1013" s="77"/>
      <c r="BX1013" s="77"/>
      <c r="BY1013" s="77"/>
      <c r="BZ1013" s="77"/>
      <c r="CA1013" s="77"/>
      <c r="CB1013" s="77"/>
      <c r="CC1013" s="77"/>
      <c r="CD1013" s="77"/>
      <c r="CE1013" s="77"/>
      <c r="CF1013" s="77"/>
      <c r="CG1013" s="77"/>
      <c r="CH1013" s="77"/>
      <c r="CI1013" s="77"/>
      <c r="CJ1013" s="77"/>
      <c r="CK1013" s="77"/>
      <c r="CL1013" s="77"/>
      <c r="CM1013" s="77"/>
      <c r="CN1013" s="77"/>
      <c r="CO1013" s="77"/>
      <c r="CP1013" s="77"/>
      <c r="CQ1013" s="77"/>
      <c r="CR1013" s="77"/>
      <c r="CS1013" s="77"/>
      <c r="CT1013" s="77"/>
      <c r="CU1013" s="77"/>
      <c r="CV1013" s="77"/>
      <c r="CW1013" s="77"/>
    </row>
    <row r="1014" spans="1:101" ht="16.5" x14ac:dyDescent="0.45">
      <c r="A1014" s="76"/>
      <c r="B1014" s="77"/>
      <c r="C1014" s="77"/>
      <c r="D1014" s="78"/>
      <c r="E1014" s="80"/>
      <c r="F1014" s="80"/>
      <c r="G1014" s="81"/>
      <c r="H1014" s="81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82"/>
      <c r="Z1014" s="82"/>
      <c r="AA1014" s="82"/>
      <c r="AB1014" s="80"/>
      <c r="AC1014" s="77"/>
      <c r="AD1014" s="77"/>
      <c r="AE1014" s="77"/>
      <c r="AF1014" s="77"/>
      <c r="AG1014" s="77"/>
      <c r="AH1014" s="77"/>
      <c r="AI1014" s="92"/>
      <c r="AJ1014" s="77"/>
      <c r="AK1014" s="77"/>
      <c r="AL1014" s="77"/>
      <c r="AM1014" s="77"/>
      <c r="AN1014" s="77"/>
      <c r="AO1014" s="77"/>
      <c r="AP1014" s="76"/>
      <c r="AQ1014" s="81"/>
      <c r="AR1014" s="76"/>
      <c r="AS1014" s="81"/>
      <c r="AT1014" s="76"/>
      <c r="AU1014" s="81"/>
      <c r="AV1014" s="77"/>
      <c r="AW1014" s="81"/>
      <c r="AX1014" s="77"/>
      <c r="AY1014" s="81"/>
      <c r="AZ1014" s="77"/>
      <c r="BA1014" s="81"/>
      <c r="BB1014" s="77"/>
      <c r="BC1014" s="81"/>
      <c r="BD1014" s="77"/>
      <c r="BE1014" s="81"/>
      <c r="BF1014" s="77"/>
      <c r="BG1014" s="81"/>
      <c r="BH1014" s="81"/>
      <c r="BI1014" s="81"/>
      <c r="BJ1014" s="81"/>
      <c r="BK1014" s="81"/>
      <c r="BL1014" s="81"/>
      <c r="BM1014" s="81"/>
      <c r="BN1014" s="81"/>
      <c r="BO1014" s="81"/>
      <c r="BP1014" s="81"/>
      <c r="BQ1014" s="81"/>
      <c r="BR1014" s="81"/>
      <c r="BS1014" s="81"/>
      <c r="BT1014" s="77"/>
      <c r="BU1014" s="77"/>
      <c r="BV1014" s="77"/>
      <c r="BW1014" s="77"/>
      <c r="BX1014" s="77"/>
      <c r="BY1014" s="77"/>
      <c r="BZ1014" s="77"/>
      <c r="CA1014" s="77"/>
      <c r="CB1014" s="77"/>
      <c r="CC1014" s="77"/>
      <c r="CD1014" s="77"/>
      <c r="CE1014" s="77"/>
      <c r="CF1014" s="77"/>
      <c r="CG1014" s="77"/>
      <c r="CH1014" s="77"/>
      <c r="CI1014" s="77"/>
      <c r="CJ1014" s="77"/>
      <c r="CK1014" s="77"/>
      <c r="CL1014" s="77"/>
      <c r="CM1014" s="77"/>
      <c r="CN1014" s="77"/>
      <c r="CO1014" s="77"/>
      <c r="CP1014" s="77"/>
      <c r="CQ1014" s="77"/>
      <c r="CR1014" s="77"/>
      <c r="CS1014" s="77"/>
      <c r="CT1014" s="77"/>
      <c r="CU1014" s="77"/>
      <c r="CV1014" s="77"/>
      <c r="CW1014" s="77"/>
    </row>
    <row r="1015" spans="1:101" ht="16.5" x14ac:dyDescent="0.45">
      <c r="A1015" s="76"/>
      <c r="B1015" s="77"/>
      <c r="C1015" s="77"/>
      <c r="D1015" s="78"/>
      <c r="E1015" s="80"/>
      <c r="F1015" s="80"/>
      <c r="G1015" s="81"/>
      <c r="H1015" s="81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82"/>
      <c r="Z1015" s="82"/>
      <c r="AA1015" s="82"/>
      <c r="AB1015" s="80"/>
      <c r="AC1015" s="77"/>
      <c r="AD1015" s="77"/>
      <c r="AE1015" s="77"/>
      <c r="AF1015" s="77"/>
      <c r="AG1015" s="77"/>
      <c r="AH1015" s="77"/>
      <c r="AI1015" s="92"/>
      <c r="AJ1015" s="77"/>
      <c r="AK1015" s="77"/>
      <c r="AL1015" s="77"/>
      <c r="AM1015" s="77"/>
      <c r="AN1015" s="77"/>
      <c r="AO1015" s="77"/>
      <c r="AP1015" s="76"/>
      <c r="AQ1015" s="81"/>
      <c r="AR1015" s="76"/>
      <c r="AS1015" s="81"/>
      <c r="AT1015" s="76"/>
      <c r="AU1015" s="81"/>
      <c r="AV1015" s="77"/>
      <c r="AW1015" s="81"/>
      <c r="AX1015" s="77"/>
      <c r="AY1015" s="81"/>
      <c r="AZ1015" s="77"/>
      <c r="BA1015" s="81"/>
      <c r="BB1015" s="77"/>
      <c r="BC1015" s="81"/>
      <c r="BD1015" s="77"/>
      <c r="BE1015" s="81"/>
      <c r="BF1015" s="77"/>
      <c r="BG1015" s="81"/>
      <c r="BH1015" s="81"/>
      <c r="BI1015" s="81"/>
      <c r="BJ1015" s="81"/>
      <c r="BK1015" s="81"/>
      <c r="BL1015" s="81"/>
      <c r="BM1015" s="81"/>
      <c r="BN1015" s="81"/>
      <c r="BO1015" s="81"/>
      <c r="BP1015" s="81"/>
      <c r="BQ1015" s="81"/>
      <c r="BR1015" s="81"/>
      <c r="BS1015" s="81"/>
      <c r="BT1015" s="77"/>
      <c r="BU1015" s="77"/>
      <c r="BV1015" s="77"/>
      <c r="BW1015" s="77"/>
      <c r="BX1015" s="77"/>
      <c r="BY1015" s="77"/>
      <c r="BZ1015" s="77"/>
      <c r="CA1015" s="77"/>
      <c r="CB1015" s="77"/>
      <c r="CC1015" s="77"/>
      <c r="CD1015" s="77"/>
      <c r="CE1015" s="77"/>
      <c r="CF1015" s="77"/>
      <c r="CG1015" s="77"/>
      <c r="CH1015" s="77"/>
      <c r="CI1015" s="77"/>
      <c r="CJ1015" s="77"/>
      <c r="CK1015" s="77"/>
      <c r="CL1015" s="77"/>
      <c r="CM1015" s="77"/>
      <c r="CN1015" s="77"/>
      <c r="CO1015" s="77"/>
      <c r="CP1015" s="77"/>
      <c r="CQ1015" s="77"/>
      <c r="CR1015" s="77"/>
      <c r="CS1015" s="77"/>
      <c r="CT1015" s="77"/>
      <c r="CU1015" s="77"/>
      <c r="CV1015" s="77"/>
      <c r="CW1015" s="77"/>
    </row>
    <row r="1016" spans="1:101" ht="16.5" x14ac:dyDescent="0.45">
      <c r="A1016" s="76"/>
      <c r="B1016" s="77"/>
      <c r="C1016" s="77"/>
      <c r="D1016" s="78"/>
      <c r="E1016" s="80"/>
      <c r="F1016" s="80"/>
      <c r="G1016" s="81"/>
      <c r="H1016" s="81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82"/>
      <c r="Z1016" s="82"/>
      <c r="AA1016" s="82"/>
      <c r="AB1016" s="80"/>
      <c r="AC1016" s="77"/>
      <c r="AD1016" s="77"/>
      <c r="AE1016" s="77"/>
      <c r="AF1016" s="77"/>
      <c r="AG1016" s="77"/>
      <c r="AH1016" s="77"/>
      <c r="AI1016" s="92"/>
      <c r="AJ1016" s="77"/>
      <c r="AK1016" s="77"/>
      <c r="AL1016" s="77"/>
      <c r="AM1016" s="77"/>
      <c r="AN1016" s="77"/>
      <c r="AO1016" s="77"/>
      <c r="AP1016" s="76"/>
      <c r="AQ1016" s="81"/>
      <c r="AR1016" s="76"/>
      <c r="AS1016" s="81"/>
      <c r="AT1016" s="76"/>
      <c r="AU1016" s="81"/>
      <c r="AV1016" s="77"/>
      <c r="AW1016" s="81"/>
      <c r="AX1016" s="77"/>
      <c r="AY1016" s="81"/>
      <c r="AZ1016" s="77"/>
      <c r="BA1016" s="81"/>
      <c r="BB1016" s="77"/>
      <c r="BC1016" s="81"/>
      <c r="BD1016" s="77"/>
      <c r="BE1016" s="81"/>
      <c r="BF1016" s="77"/>
      <c r="BG1016" s="81"/>
      <c r="BH1016" s="81"/>
      <c r="BI1016" s="81"/>
      <c r="BJ1016" s="81"/>
      <c r="BK1016" s="81"/>
      <c r="BL1016" s="81"/>
      <c r="BM1016" s="81"/>
      <c r="BN1016" s="81"/>
      <c r="BO1016" s="81"/>
      <c r="BP1016" s="81"/>
      <c r="BQ1016" s="81"/>
      <c r="BR1016" s="81"/>
      <c r="BS1016" s="81"/>
      <c r="BT1016" s="77"/>
      <c r="BU1016" s="77"/>
      <c r="BV1016" s="77"/>
      <c r="BW1016" s="77"/>
      <c r="BX1016" s="77"/>
      <c r="BY1016" s="77"/>
      <c r="BZ1016" s="77"/>
      <c r="CA1016" s="77"/>
      <c r="CB1016" s="77"/>
      <c r="CC1016" s="77"/>
      <c r="CD1016" s="77"/>
      <c r="CE1016" s="77"/>
      <c r="CF1016" s="77"/>
      <c r="CG1016" s="77"/>
      <c r="CH1016" s="77"/>
      <c r="CI1016" s="77"/>
      <c r="CJ1016" s="77"/>
      <c r="CK1016" s="77"/>
      <c r="CL1016" s="77"/>
      <c r="CM1016" s="77"/>
      <c r="CN1016" s="77"/>
      <c r="CO1016" s="77"/>
      <c r="CP1016" s="77"/>
      <c r="CQ1016" s="77"/>
      <c r="CR1016" s="77"/>
      <c r="CS1016" s="77"/>
      <c r="CT1016" s="77"/>
      <c r="CU1016" s="77"/>
      <c r="CV1016" s="77"/>
      <c r="CW1016" s="77"/>
    </row>
    <row r="1017" spans="1:101" ht="16.5" x14ac:dyDescent="0.45">
      <c r="A1017" s="76"/>
      <c r="B1017" s="77"/>
      <c r="C1017" s="77"/>
      <c r="D1017" s="78"/>
      <c r="E1017" s="80"/>
      <c r="F1017" s="80"/>
      <c r="G1017" s="81"/>
      <c r="H1017" s="81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82"/>
      <c r="Z1017" s="82"/>
      <c r="AA1017" s="82"/>
      <c r="AB1017" s="80"/>
      <c r="AC1017" s="77"/>
      <c r="AD1017" s="77"/>
      <c r="AE1017" s="77"/>
      <c r="AF1017" s="77"/>
      <c r="AG1017" s="77"/>
      <c r="AH1017" s="77"/>
      <c r="AI1017" s="92"/>
      <c r="AJ1017" s="77"/>
      <c r="AK1017" s="77"/>
      <c r="AL1017" s="77"/>
      <c r="AM1017" s="77"/>
      <c r="AN1017" s="77"/>
      <c r="AO1017" s="77"/>
      <c r="AP1017" s="76"/>
      <c r="AQ1017" s="81"/>
      <c r="AR1017" s="76"/>
      <c r="AS1017" s="81"/>
      <c r="AT1017" s="76"/>
      <c r="AU1017" s="81"/>
      <c r="AV1017" s="77"/>
      <c r="AW1017" s="81"/>
      <c r="AX1017" s="77"/>
      <c r="AY1017" s="81"/>
      <c r="AZ1017" s="77"/>
      <c r="BA1017" s="81"/>
      <c r="BB1017" s="77"/>
      <c r="BC1017" s="81"/>
      <c r="BD1017" s="77"/>
      <c r="BE1017" s="81"/>
      <c r="BF1017" s="77"/>
      <c r="BG1017" s="81"/>
      <c r="BH1017" s="81"/>
      <c r="BI1017" s="81"/>
      <c r="BJ1017" s="81"/>
      <c r="BK1017" s="81"/>
      <c r="BL1017" s="81"/>
      <c r="BM1017" s="81"/>
      <c r="BN1017" s="81"/>
      <c r="BO1017" s="81"/>
      <c r="BP1017" s="81"/>
      <c r="BQ1017" s="81"/>
      <c r="BR1017" s="81"/>
      <c r="BS1017" s="81"/>
      <c r="BT1017" s="77"/>
      <c r="BU1017" s="77"/>
      <c r="BV1017" s="77"/>
      <c r="BW1017" s="77"/>
      <c r="BX1017" s="77"/>
      <c r="BY1017" s="77"/>
      <c r="BZ1017" s="77"/>
      <c r="CA1017" s="77"/>
      <c r="CB1017" s="77"/>
      <c r="CC1017" s="77"/>
      <c r="CD1017" s="77"/>
      <c r="CE1017" s="77"/>
      <c r="CF1017" s="77"/>
      <c r="CG1017" s="77"/>
      <c r="CH1017" s="77"/>
      <c r="CI1017" s="77"/>
      <c r="CJ1017" s="77"/>
      <c r="CK1017" s="77"/>
      <c r="CL1017" s="77"/>
      <c r="CM1017" s="77"/>
      <c r="CN1017" s="77"/>
      <c r="CO1017" s="77"/>
      <c r="CP1017" s="77"/>
      <c r="CQ1017" s="77"/>
      <c r="CR1017" s="77"/>
      <c r="CS1017" s="77"/>
      <c r="CT1017" s="77"/>
      <c r="CU1017" s="77"/>
      <c r="CV1017" s="77"/>
      <c r="CW1017" s="77"/>
    </row>
    <row r="1018" spans="1:101" ht="16.5" x14ac:dyDescent="0.45">
      <c r="A1018" s="76"/>
      <c r="B1018" s="77"/>
      <c r="C1018" s="77"/>
      <c r="D1018" s="78"/>
      <c r="E1018" s="80"/>
      <c r="F1018" s="80"/>
      <c r="G1018" s="81"/>
      <c r="H1018" s="81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82"/>
      <c r="Z1018" s="82"/>
      <c r="AA1018" s="82"/>
      <c r="AB1018" s="80"/>
      <c r="AC1018" s="77"/>
      <c r="AD1018" s="77"/>
      <c r="AE1018" s="77"/>
      <c r="AF1018" s="77"/>
      <c r="AG1018" s="77"/>
      <c r="AH1018" s="77"/>
      <c r="AI1018" s="92"/>
      <c r="AJ1018" s="77"/>
      <c r="AK1018" s="77"/>
      <c r="AL1018" s="77"/>
      <c r="AM1018" s="77"/>
      <c r="AN1018" s="77"/>
      <c r="AO1018" s="77"/>
      <c r="AP1018" s="76"/>
      <c r="AQ1018" s="81"/>
      <c r="AR1018" s="76"/>
      <c r="AS1018" s="81"/>
      <c r="AT1018" s="76"/>
      <c r="AU1018" s="81"/>
      <c r="AV1018" s="77"/>
      <c r="AW1018" s="81"/>
      <c r="AX1018" s="77"/>
      <c r="AY1018" s="81"/>
      <c r="AZ1018" s="77"/>
      <c r="BA1018" s="81"/>
      <c r="BB1018" s="77"/>
      <c r="BC1018" s="81"/>
      <c r="BD1018" s="77"/>
      <c r="BE1018" s="81"/>
      <c r="BF1018" s="77"/>
      <c r="BG1018" s="81"/>
      <c r="BH1018" s="81"/>
      <c r="BI1018" s="81"/>
      <c r="BJ1018" s="81"/>
      <c r="BK1018" s="81"/>
      <c r="BL1018" s="81"/>
      <c r="BM1018" s="81"/>
      <c r="BN1018" s="81"/>
      <c r="BO1018" s="81"/>
      <c r="BP1018" s="81"/>
      <c r="BQ1018" s="81"/>
      <c r="BR1018" s="81"/>
      <c r="BS1018" s="81"/>
      <c r="BT1018" s="77"/>
      <c r="BU1018" s="77"/>
      <c r="BV1018" s="77"/>
      <c r="BW1018" s="77"/>
      <c r="BX1018" s="77"/>
      <c r="BY1018" s="77"/>
      <c r="BZ1018" s="77"/>
      <c r="CA1018" s="77"/>
      <c r="CB1018" s="77"/>
      <c r="CC1018" s="77"/>
      <c r="CD1018" s="77"/>
      <c r="CE1018" s="77"/>
      <c r="CF1018" s="77"/>
      <c r="CG1018" s="77"/>
      <c r="CH1018" s="77"/>
      <c r="CI1018" s="77"/>
      <c r="CJ1018" s="77"/>
      <c r="CK1018" s="77"/>
      <c r="CL1018" s="77"/>
      <c r="CM1018" s="77"/>
      <c r="CN1018" s="77"/>
      <c r="CO1018" s="77"/>
      <c r="CP1018" s="77"/>
      <c r="CQ1018" s="77"/>
      <c r="CR1018" s="77"/>
      <c r="CS1018" s="77"/>
      <c r="CT1018" s="77"/>
      <c r="CU1018" s="77"/>
      <c r="CV1018" s="77"/>
      <c r="CW1018" s="77"/>
    </row>
    <row r="1019" spans="1:101" ht="16.5" x14ac:dyDescent="0.45">
      <c r="A1019" s="76"/>
      <c r="B1019" s="77"/>
      <c r="C1019" s="77"/>
      <c r="D1019" s="78"/>
      <c r="E1019" s="80"/>
      <c r="F1019" s="80"/>
      <c r="G1019" s="81"/>
      <c r="H1019" s="81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82"/>
      <c r="Z1019" s="82"/>
      <c r="AA1019" s="82"/>
      <c r="AB1019" s="80"/>
      <c r="AC1019" s="77"/>
      <c r="AD1019" s="77"/>
      <c r="AE1019" s="77"/>
      <c r="AF1019" s="77"/>
      <c r="AG1019" s="77"/>
      <c r="AH1019" s="77"/>
      <c r="AI1019" s="92"/>
      <c r="AJ1019" s="77"/>
      <c r="AK1019" s="77"/>
      <c r="AL1019" s="77"/>
      <c r="AM1019" s="77"/>
      <c r="AN1019" s="77"/>
      <c r="AO1019" s="77"/>
      <c r="AP1019" s="76"/>
      <c r="AQ1019" s="81"/>
      <c r="AR1019" s="76"/>
      <c r="AS1019" s="81"/>
      <c r="AT1019" s="76"/>
      <c r="AU1019" s="81"/>
      <c r="AV1019" s="77"/>
      <c r="AW1019" s="81"/>
      <c r="AX1019" s="77"/>
      <c r="AY1019" s="81"/>
      <c r="AZ1019" s="77"/>
      <c r="BA1019" s="81"/>
      <c r="BB1019" s="77"/>
      <c r="BC1019" s="81"/>
      <c r="BD1019" s="77"/>
      <c r="BE1019" s="81"/>
      <c r="BF1019" s="77"/>
      <c r="BG1019" s="81"/>
      <c r="BH1019" s="81"/>
      <c r="BI1019" s="81"/>
      <c r="BJ1019" s="81"/>
      <c r="BK1019" s="81"/>
      <c r="BL1019" s="81"/>
      <c r="BM1019" s="81"/>
      <c r="BN1019" s="81"/>
      <c r="BO1019" s="81"/>
      <c r="BP1019" s="81"/>
      <c r="BQ1019" s="81"/>
      <c r="BR1019" s="81"/>
      <c r="BS1019" s="81"/>
      <c r="BT1019" s="77"/>
      <c r="BU1019" s="77"/>
      <c r="BV1019" s="77"/>
      <c r="BW1019" s="77"/>
      <c r="BX1019" s="77"/>
      <c r="BY1019" s="77"/>
      <c r="BZ1019" s="77"/>
      <c r="CA1019" s="77"/>
      <c r="CB1019" s="77"/>
      <c r="CC1019" s="77"/>
      <c r="CD1019" s="77"/>
      <c r="CE1019" s="77"/>
      <c r="CF1019" s="77"/>
      <c r="CG1019" s="77"/>
      <c r="CH1019" s="77"/>
      <c r="CI1019" s="77"/>
      <c r="CJ1019" s="77"/>
      <c r="CK1019" s="77"/>
      <c r="CL1019" s="77"/>
      <c r="CM1019" s="77"/>
      <c r="CN1019" s="77"/>
      <c r="CO1019" s="77"/>
      <c r="CP1019" s="77"/>
      <c r="CQ1019" s="77"/>
      <c r="CR1019" s="77"/>
      <c r="CS1019" s="77"/>
      <c r="CT1019" s="77"/>
      <c r="CU1019" s="77"/>
      <c r="CV1019" s="77"/>
      <c r="CW1019" s="77"/>
    </row>
    <row r="1020" spans="1:101" ht="16.5" x14ac:dyDescent="0.45">
      <c r="A1020" s="76"/>
      <c r="B1020" s="77"/>
      <c r="C1020" s="77"/>
      <c r="D1020" s="78"/>
      <c r="E1020" s="80"/>
      <c r="F1020" s="80"/>
      <c r="G1020" s="81"/>
      <c r="H1020" s="81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82"/>
      <c r="Z1020" s="82"/>
      <c r="AA1020" s="82"/>
      <c r="AB1020" s="80"/>
      <c r="AC1020" s="77"/>
      <c r="AD1020" s="77"/>
      <c r="AE1020" s="77"/>
      <c r="AF1020" s="77"/>
      <c r="AG1020" s="77"/>
      <c r="AH1020" s="77"/>
      <c r="AI1020" s="92"/>
      <c r="AJ1020" s="77"/>
      <c r="AK1020" s="77"/>
      <c r="AL1020" s="77"/>
      <c r="AM1020" s="77"/>
      <c r="AN1020" s="77"/>
      <c r="AO1020" s="77"/>
      <c r="AP1020" s="76"/>
      <c r="AQ1020" s="81"/>
      <c r="AR1020" s="76"/>
      <c r="AS1020" s="81"/>
      <c r="AT1020" s="76"/>
      <c r="AU1020" s="81"/>
      <c r="AV1020" s="77"/>
      <c r="AW1020" s="81"/>
      <c r="AX1020" s="77"/>
      <c r="AY1020" s="81"/>
      <c r="AZ1020" s="77"/>
      <c r="BA1020" s="81"/>
      <c r="BB1020" s="77"/>
      <c r="BC1020" s="81"/>
      <c r="BD1020" s="77"/>
      <c r="BE1020" s="81"/>
      <c r="BF1020" s="77"/>
      <c r="BG1020" s="81"/>
      <c r="BH1020" s="81"/>
      <c r="BI1020" s="81"/>
      <c r="BJ1020" s="81"/>
      <c r="BK1020" s="81"/>
      <c r="BL1020" s="81"/>
      <c r="BM1020" s="81"/>
      <c r="BN1020" s="81"/>
      <c r="BO1020" s="81"/>
      <c r="BP1020" s="81"/>
      <c r="BQ1020" s="81"/>
      <c r="BR1020" s="81"/>
      <c r="BS1020" s="81"/>
      <c r="BT1020" s="77"/>
      <c r="BU1020" s="77"/>
      <c r="BV1020" s="77"/>
      <c r="BW1020" s="77"/>
      <c r="BX1020" s="77"/>
      <c r="BY1020" s="77"/>
      <c r="BZ1020" s="77"/>
      <c r="CA1020" s="77"/>
      <c r="CB1020" s="77"/>
      <c r="CC1020" s="77"/>
      <c r="CD1020" s="77"/>
      <c r="CE1020" s="77"/>
      <c r="CF1020" s="77"/>
      <c r="CG1020" s="77"/>
      <c r="CH1020" s="77"/>
      <c r="CI1020" s="77"/>
      <c r="CJ1020" s="77"/>
      <c r="CK1020" s="77"/>
      <c r="CL1020" s="77"/>
      <c r="CM1020" s="77"/>
      <c r="CN1020" s="77"/>
      <c r="CO1020" s="77"/>
      <c r="CP1020" s="77"/>
      <c r="CQ1020" s="77"/>
      <c r="CR1020" s="77"/>
      <c r="CS1020" s="77"/>
      <c r="CT1020" s="77"/>
      <c r="CU1020" s="77"/>
      <c r="CV1020" s="77"/>
      <c r="CW1020" s="77"/>
    </row>
  </sheetData>
  <autoFilter ref="A1:CW329" xr:uid="{00000000-0009-0000-0000-000004000000}"/>
  <customSheetViews>
    <customSheetView guid="{31534B24-ACB9-4BBE-8192-1FB1E9293A14}" filter="1" showAutoFilter="1">
      <pageMargins left="0.7" right="0.7" top="0.75" bottom="0.75" header="0.3" footer="0.3"/>
      <autoFilter ref="A1:CM1020" xr:uid="{F259EF55-86AA-4B46-B8EF-6BFB933AF6E1}">
        <filterColumn colId="36">
          <filters>
            <filter val="TRUE"/>
          </filters>
        </filterColumn>
        <filterColumn colId="87">
          <filters blank="1">
            <filter val="139"/>
          </filters>
        </filterColumn>
      </autoFilter>
    </customSheetView>
    <customSheetView guid="{3FD154CB-797A-45E9-9C24-6A146075C072}" filter="1" showAutoFilter="1">
      <pageMargins left="0.7" right="0.7" top="0.75" bottom="0.75" header="0.3" footer="0.3"/>
      <autoFilter ref="A1:CM1020" xr:uid="{2B496EAC-CCEC-4759-98B6-D3B8AEC41621}">
        <filterColumn colId="4">
          <colorFilter dxfId="0"/>
        </filterColumn>
        <filterColumn colId="30">
          <filters>
            <filter val="TRUE"/>
          </filters>
        </filterColumn>
        <filterColumn colId="49">
          <filters blank="1">
            <filter val="158"/>
          </filters>
        </filterColumn>
        <filterColumn colId="51">
          <filters blank="1">
            <filter val="30"/>
          </filters>
        </filterColumn>
        <filterColumn colId="53">
          <filters blank="1">
            <filter val="60"/>
          </filters>
        </filterColumn>
        <filterColumn colId="55">
          <filters blank="1">
            <filter val="18"/>
          </filters>
        </filterColumn>
        <filterColumn colId="57">
          <filters blank="1">
            <filter val="12"/>
          </filters>
        </filterColumn>
        <filterColumn colId="59">
          <filters blank="1">
            <filter val="14"/>
          </filters>
        </filterColumn>
        <filterColumn colId="61">
          <filters blank="1">
            <filter val="9"/>
          </filters>
        </filterColumn>
      </autoFilter>
    </customSheetView>
    <customSheetView guid="{03A604D0-50AC-400B-BD81-24B507816911}" filter="1" showAutoFilter="1">
      <pageMargins left="0.7" right="0.7" top="0.75" bottom="0.75" header="0.3" footer="0.3"/>
      <autoFilter ref="A1:CM1020" xr:uid="{F6B6DC3E-DF31-46F4-A629-01D914E94E25}">
        <filterColumn colId="33">
          <filters>
            <filter val="TRUE"/>
          </filters>
        </filterColumn>
        <filterColumn colId="71">
          <filters blank="1">
            <filter val="133"/>
          </filters>
        </filterColumn>
        <filterColumn colId="73">
          <filters blank="1">
            <filter val="86"/>
          </filters>
        </filterColumn>
        <filterColumn colId="75">
          <filters blank="1">
            <filter val="49"/>
          </filters>
        </filterColumn>
      </autoFilter>
    </customSheetView>
    <customSheetView guid="{149CC71F-BF55-4C1B-919A-15AB5F55BFE7}" filter="1" showAutoFilter="1">
      <pageMargins left="0.7" right="0.7" top="0.75" bottom="0.75" header="0.3" footer="0.3"/>
      <autoFilter ref="A1:AX329" xr:uid="{C156CF53-15ED-4F8B-89AA-947C68F85C2F}">
        <filterColumn colId="1">
          <filters>
            <filter val="SMK"/>
          </filters>
        </filterColumn>
      </autoFilter>
    </customSheetView>
  </customSheetViews>
  <mergeCells count="1">
    <mergeCell ref="L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0"/>
  <sheetViews>
    <sheetView workbookViewId="0"/>
  </sheetViews>
  <sheetFormatPr defaultColWidth="12.6328125" defaultRowHeight="15.75" customHeight="1" x14ac:dyDescent="0.25"/>
  <cols>
    <col min="2" max="2" width="46.08984375" customWidth="1"/>
  </cols>
  <sheetData>
    <row r="1" spans="1:8" ht="15.75" customHeight="1" x14ac:dyDescent="0.25">
      <c r="A1" s="93" t="s">
        <v>1983</v>
      </c>
      <c r="B1" s="65" t="s">
        <v>3</v>
      </c>
      <c r="C1" s="65" t="s">
        <v>1984</v>
      </c>
      <c r="D1" s="65" t="s">
        <v>5</v>
      </c>
      <c r="E1" s="65" t="s">
        <v>1985</v>
      </c>
      <c r="F1" s="65" t="s">
        <v>1986</v>
      </c>
      <c r="G1" s="65" t="s">
        <v>11</v>
      </c>
      <c r="H1" s="65" t="s">
        <v>1987</v>
      </c>
    </row>
    <row r="2" spans="1:8" ht="15.75" customHeight="1" x14ac:dyDescent="0.25">
      <c r="A2" s="93" t="s">
        <v>152</v>
      </c>
      <c r="B2" s="65" t="s">
        <v>153</v>
      </c>
      <c r="C2" s="65" t="s">
        <v>151</v>
      </c>
      <c r="D2" s="65">
        <v>81</v>
      </c>
      <c r="E2" s="65" t="s">
        <v>1988</v>
      </c>
      <c r="F2" s="65" t="s">
        <v>1989</v>
      </c>
      <c r="G2" s="65" t="s">
        <v>1990</v>
      </c>
      <c r="H2" s="65" t="s">
        <v>1991</v>
      </c>
    </row>
    <row r="3" spans="1:8" ht="15.75" customHeight="1" x14ac:dyDescent="0.25">
      <c r="A3" s="93" t="s">
        <v>1685</v>
      </c>
      <c r="B3" s="65" t="s">
        <v>1686</v>
      </c>
      <c r="C3" s="65" t="s">
        <v>151</v>
      </c>
      <c r="D3" s="65">
        <v>28</v>
      </c>
      <c r="E3" s="65" t="s">
        <v>1988</v>
      </c>
      <c r="F3" s="65" t="s">
        <v>1992</v>
      </c>
      <c r="G3" s="65" t="s">
        <v>1990</v>
      </c>
      <c r="H3" s="65" t="s">
        <v>1991</v>
      </c>
    </row>
    <row r="4" spans="1:8" ht="15.75" customHeight="1" x14ac:dyDescent="0.25">
      <c r="A4" s="93" t="s">
        <v>874</v>
      </c>
      <c r="B4" s="65" t="s">
        <v>875</v>
      </c>
      <c r="C4" s="65" t="s">
        <v>151</v>
      </c>
      <c r="D4" s="65">
        <v>12</v>
      </c>
      <c r="E4" s="65" t="s">
        <v>1988</v>
      </c>
      <c r="F4" s="65" t="s">
        <v>1993</v>
      </c>
      <c r="G4" s="65" t="s">
        <v>1990</v>
      </c>
      <c r="H4" s="65" t="s">
        <v>1991</v>
      </c>
    </row>
    <row r="5" spans="1:8" ht="15.75" customHeight="1" x14ac:dyDescent="0.25">
      <c r="A5" s="93" t="s">
        <v>518</v>
      </c>
      <c r="B5" s="65" t="s">
        <v>519</v>
      </c>
      <c r="C5" s="65" t="s">
        <v>151</v>
      </c>
      <c r="D5" s="65">
        <v>33</v>
      </c>
      <c r="E5" s="65" t="s">
        <v>1988</v>
      </c>
      <c r="F5" s="65" t="s">
        <v>1994</v>
      </c>
      <c r="G5" s="65" t="s">
        <v>1995</v>
      </c>
      <c r="H5" s="65" t="s">
        <v>1991</v>
      </c>
    </row>
    <row r="6" spans="1:8" ht="15.75" customHeight="1" x14ac:dyDescent="0.25">
      <c r="A6" s="93" t="s">
        <v>890</v>
      </c>
      <c r="B6" s="65" t="s">
        <v>891</v>
      </c>
      <c r="C6" s="65" t="s">
        <v>151</v>
      </c>
      <c r="D6" s="65">
        <v>47</v>
      </c>
      <c r="E6" s="65" t="s">
        <v>1988</v>
      </c>
      <c r="F6" s="65" t="s">
        <v>1993</v>
      </c>
      <c r="G6" s="65" t="s">
        <v>1990</v>
      </c>
      <c r="H6" s="65" t="s">
        <v>1991</v>
      </c>
    </row>
    <row r="7" spans="1:8" ht="15.75" customHeight="1" x14ac:dyDescent="0.25">
      <c r="A7" s="93" t="s">
        <v>867</v>
      </c>
      <c r="B7" s="65" t="s">
        <v>868</v>
      </c>
      <c r="C7" s="65" t="s">
        <v>151</v>
      </c>
      <c r="D7" s="65">
        <v>44</v>
      </c>
      <c r="E7" s="65" t="s">
        <v>1988</v>
      </c>
      <c r="F7" s="65" t="s">
        <v>1993</v>
      </c>
      <c r="G7" s="65" t="s">
        <v>1990</v>
      </c>
      <c r="H7" s="65" t="s">
        <v>1991</v>
      </c>
    </row>
    <row r="8" spans="1:8" ht="15.75" customHeight="1" x14ac:dyDescent="0.25">
      <c r="A8" s="93" t="s">
        <v>1183</v>
      </c>
      <c r="B8" s="65" t="s">
        <v>1184</v>
      </c>
      <c r="C8" s="65" t="s">
        <v>151</v>
      </c>
      <c r="D8" s="65">
        <v>11</v>
      </c>
      <c r="E8" s="65" t="s">
        <v>1988</v>
      </c>
      <c r="F8" s="65" t="s">
        <v>1996</v>
      </c>
      <c r="G8" s="65" t="s">
        <v>1990</v>
      </c>
      <c r="H8" s="65" t="s">
        <v>1991</v>
      </c>
    </row>
    <row r="9" spans="1:8" ht="15.75" customHeight="1" x14ac:dyDescent="0.25">
      <c r="A9" s="93" t="s">
        <v>507</v>
      </c>
      <c r="B9" s="65" t="s">
        <v>508</v>
      </c>
      <c r="C9" s="65" t="s">
        <v>151</v>
      </c>
      <c r="D9" s="65">
        <v>11</v>
      </c>
      <c r="E9" s="65" t="s">
        <v>1988</v>
      </c>
      <c r="F9" s="65" t="s">
        <v>1994</v>
      </c>
      <c r="G9" s="65" t="s">
        <v>1990</v>
      </c>
      <c r="H9" s="65" t="s">
        <v>1991</v>
      </c>
    </row>
    <row r="10" spans="1:8" ht="15.75" customHeight="1" x14ac:dyDescent="0.25">
      <c r="A10" s="93" t="s">
        <v>1699</v>
      </c>
      <c r="B10" s="65" t="s">
        <v>1700</v>
      </c>
      <c r="C10" s="65" t="s">
        <v>151</v>
      </c>
      <c r="D10" s="65">
        <v>72</v>
      </c>
      <c r="E10" s="65" t="s">
        <v>1988</v>
      </c>
      <c r="F10" s="65" t="s">
        <v>1992</v>
      </c>
      <c r="G10" s="65" t="s">
        <v>1990</v>
      </c>
      <c r="H10" s="65" t="s">
        <v>1991</v>
      </c>
    </row>
    <row r="11" spans="1:8" ht="15.75" customHeight="1" x14ac:dyDescent="0.25">
      <c r="A11" s="93" t="s">
        <v>1704</v>
      </c>
      <c r="B11" s="65" t="s">
        <v>1705</v>
      </c>
      <c r="C11" s="65" t="s">
        <v>151</v>
      </c>
      <c r="D11" s="65">
        <v>59</v>
      </c>
      <c r="E11" s="65" t="s">
        <v>1988</v>
      </c>
      <c r="F11" s="65" t="s">
        <v>1992</v>
      </c>
      <c r="G11" s="65" t="s">
        <v>1990</v>
      </c>
      <c r="H11" s="65" t="s">
        <v>1991</v>
      </c>
    </row>
    <row r="12" spans="1:8" ht="15.75" customHeight="1" x14ac:dyDescent="0.25">
      <c r="A12" s="93" t="s">
        <v>1695</v>
      </c>
      <c r="B12" s="65" t="s">
        <v>1696</v>
      </c>
      <c r="C12" s="65" t="s">
        <v>151</v>
      </c>
      <c r="D12" s="65">
        <v>51</v>
      </c>
      <c r="E12" s="65" t="s">
        <v>1988</v>
      </c>
      <c r="F12" s="65" t="s">
        <v>1992</v>
      </c>
      <c r="G12" s="65" t="s">
        <v>1990</v>
      </c>
      <c r="H12" s="65" t="s">
        <v>1991</v>
      </c>
    </row>
    <row r="13" spans="1:8" ht="15.75" customHeight="1" x14ac:dyDescent="0.25">
      <c r="A13" s="93" t="s">
        <v>1670</v>
      </c>
      <c r="B13" s="65" t="s">
        <v>1671</v>
      </c>
      <c r="C13" s="65" t="s">
        <v>151</v>
      </c>
      <c r="D13" s="65">
        <v>48</v>
      </c>
      <c r="E13" s="65" t="s">
        <v>1988</v>
      </c>
      <c r="F13" s="65" t="s">
        <v>1992</v>
      </c>
      <c r="G13" s="65" t="s">
        <v>1990</v>
      </c>
      <c r="H13" s="65" t="s">
        <v>1991</v>
      </c>
    </row>
    <row r="14" spans="1:8" ht="15.75" customHeight="1" x14ac:dyDescent="0.25">
      <c r="A14" s="93" t="s">
        <v>529</v>
      </c>
      <c r="B14" s="65" t="s">
        <v>530</v>
      </c>
      <c r="C14" s="65" t="s">
        <v>151</v>
      </c>
      <c r="D14" s="65">
        <v>33</v>
      </c>
      <c r="E14" s="65" t="s">
        <v>1988</v>
      </c>
      <c r="F14" s="65" t="s">
        <v>1994</v>
      </c>
      <c r="G14" s="65" t="s">
        <v>1990</v>
      </c>
      <c r="H14" s="65" t="s">
        <v>1991</v>
      </c>
    </row>
    <row r="15" spans="1:8" ht="15.75" customHeight="1" x14ac:dyDescent="0.25">
      <c r="A15" s="93" t="s">
        <v>524</v>
      </c>
      <c r="B15" s="65" t="s">
        <v>525</v>
      </c>
      <c r="C15" s="65" t="s">
        <v>151</v>
      </c>
      <c r="D15" s="65">
        <v>28</v>
      </c>
      <c r="E15" s="65" t="s">
        <v>1988</v>
      </c>
      <c r="F15" s="65" t="s">
        <v>1994</v>
      </c>
      <c r="G15" s="65" t="s">
        <v>1990</v>
      </c>
      <c r="H15" s="65" t="s">
        <v>1991</v>
      </c>
    </row>
    <row r="16" spans="1:8" ht="15.75" customHeight="1" x14ac:dyDescent="0.25">
      <c r="A16" s="93" t="s">
        <v>159</v>
      </c>
      <c r="B16" s="65" t="s">
        <v>160</v>
      </c>
      <c r="C16" s="65" t="s">
        <v>151</v>
      </c>
      <c r="D16" s="65">
        <v>130</v>
      </c>
      <c r="E16" s="65" t="s">
        <v>1988</v>
      </c>
      <c r="F16" s="65" t="s">
        <v>1989</v>
      </c>
      <c r="G16" s="65" t="s">
        <v>1990</v>
      </c>
      <c r="H16" s="65" t="s">
        <v>1991</v>
      </c>
    </row>
    <row r="17" spans="1:8" ht="15.75" customHeight="1" x14ac:dyDescent="0.25">
      <c r="A17" s="93" t="s">
        <v>1690</v>
      </c>
      <c r="B17" s="65" t="s">
        <v>1691</v>
      </c>
      <c r="C17" s="65" t="s">
        <v>151</v>
      </c>
      <c r="D17" s="65">
        <v>44</v>
      </c>
      <c r="E17" s="65" t="s">
        <v>1988</v>
      </c>
      <c r="F17" s="65" t="s">
        <v>1992</v>
      </c>
      <c r="G17" s="65" t="s">
        <v>1990</v>
      </c>
      <c r="H17" s="65" t="s">
        <v>1991</v>
      </c>
    </row>
    <row r="18" spans="1:8" ht="15.75" customHeight="1" x14ac:dyDescent="0.25">
      <c r="A18" s="93" t="s">
        <v>1665</v>
      </c>
      <c r="B18" s="65" t="s">
        <v>1666</v>
      </c>
      <c r="C18" s="65" t="s">
        <v>151</v>
      </c>
      <c r="D18" s="65">
        <v>22</v>
      </c>
      <c r="E18" s="65" t="s">
        <v>1988</v>
      </c>
      <c r="F18" s="65" t="s">
        <v>1992</v>
      </c>
      <c r="G18" s="65" t="s">
        <v>1990</v>
      </c>
      <c r="H18" s="65" t="s">
        <v>1991</v>
      </c>
    </row>
    <row r="19" spans="1:8" ht="15.75" customHeight="1" x14ac:dyDescent="0.25">
      <c r="A19" s="93" t="s">
        <v>165</v>
      </c>
      <c r="B19" s="65" t="s">
        <v>166</v>
      </c>
      <c r="C19" s="65" t="s">
        <v>151</v>
      </c>
      <c r="D19" s="65">
        <v>84</v>
      </c>
      <c r="E19" s="65" t="s">
        <v>1988</v>
      </c>
      <c r="F19" s="65" t="s">
        <v>1989</v>
      </c>
      <c r="G19" s="65" t="s">
        <v>1990</v>
      </c>
      <c r="H19" s="65" t="s">
        <v>1991</v>
      </c>
    </row>
    <row r="20" spans="1:8" ht="15.75" customHeight="1" x14ac:dyDescent="0.25">
      <c r="A20" s="93" t="s">
        <v>1680</v>
      </c>
      <c r="B20" s="65" t="s">
        <v>1681</v>
      </c>
      <c r="C20" s="65" t="s">
        <v>151</v>
      </c>
      <c r="D20" s="65">
        <v>43</v>
      </c>
      <c r="E20" s="65" t="s">
        <v>1988</v>
      </c>
      <c r="F20" s="65" t="s">
        <v>1992</v>
      </c>
      <c r="G20" s="65" t="s">
        <v>1990</v>
      </c>
      <c r="H20" s="65" t="s">
        <v>1991</v>
      </c>
    </row>
    <row r="21" spans="1:8" ht="15.75" customHeight="1" x14ac:dyDescent="0.25">
      <c r="A21" s="93" t="s">
        <v>513</v>
      </c>
      <c r="B21" s="65" t="s">
        <v>514</v>
      </c>
      <c r="C21" s="65" t="s">
        <v>151</v>
      </c>
      <c r="D21" s="65">
        <v>11</v>
      </c>
      <c r="E21" s="65" t="s">
        <v>1988</v>
      </c>
      <c r="F21" s="65" t="s">
        <v>1994</v>
      </c>
      <c r="G21" s="65" t="s">
        <v>1990</v>
      </c>
      <c r="H21" s="65" t="s">
        <v>1991</v>
      </c>
    </row>
    <row r="22" spans="1:8" ht="15.75" customHeight="1" x14ac:dyDescent="0.25">
      <c r="A22" s="93" t="s">
        <v>1675</v>
      </c>
      <c r="B22" s="65" t="s">
        <v>1676</v>
      </c>
      <c r="C22" s="65" t="s">
        <v>151</v>
      </c>
      <c r="D22" s="65">
        <v>23</v>
      </c>
      <c r="E22" s="65" t="s">
        <v>1988</v>
      </c>
      <c r="F22" s="65" t="s">
        <v>1992</v>
      </c>
      <c r="G22" s="65" t="s">
        <v>1990</v>
      </c>
      <c r="H22" s="65" t="s">
        <v>1991</v>
      </c>
    </row>
    <row r="23" spans="1:8" ht="15.75" customHeight="1" x14ac:dyDescent="0.25">
      <c r="A23" s="93" t="s">
        <v>880</v>
      </c>
      <c r="B23" s="65" t="s">
        <v>881</v>
      </c>
      <c r="C23" s="65" t="s">
        <v>151</v>
      </c>
      <c r="D23" s="65">
        <v>40</v>
      </c>
      <c r="E23" s="65" t="s">
        <v>1988</v>
      </c>
      <c r="F23" s="65" t="s">
        <v>1993</v>
      </c>
      <c r="G23" s="65" t="s">
        <v>1990</v>
      </c>
      <c r="H23" s="65" t="s">
        <v>1991</v>
      </c>
    </row>
    <row r="24" spans="1:8" ht="15.75" customHeight="1" x14ac:dyDescent="0.25">
      <c r="A24" s="93" t="s">
        <v>885</v>
      </c>
      <c r="B24" s="65" t="s">
        <v>886</v>
      </c>
      <c r="C24" s="65" t="s">
        <v>151</v>
      </c>
      <c r="D24" s="65">
        <v>9</v>
      </c>
      <c r="E24" s="65" t="s">
        <v>1988</v>
      </c>
      <c r="F24" s="65" t="s">
        <v>1993</v>
      </c>
      <c r="G24" s="65" t="s">
        <v>1990</v>
      </c>
      <c r="H24" s="65" t="s">
        <v>1991</v>
      </c>
    </row>
    <row r="25" spans="1:8" ht="15.75" customHeight="1" x14ac:dyDescent="0.25">
      <c r="A25" s="93" t="s">
        <v>1189</v>
      </c>
      <c r="B25" s="65" t="s">
        <v>1190</v>
      </c>
      <c r="C25" s="65" t="s">
        <v>151</v>
      </c>
      <c r="D25" s="65">
        <v>56</v>
      </c>
      <c r="E25" s="65" t="s">
        <v>1988</v>
      </c>
      <c r="F25" s="65" t="s">
        <v>1996</v>
      </c>
      <c r="G25" s="65" t="s">
        <v>1990</v>
      </c>
      <c r="H25" s="65" t="s">
        <v>1991</v>
      </c>
    </row>
    <row r="26" spans="1:8" ht="15.75" customHeight="1" x14ac:dyDescent="0.25">
      <c r="A26" s="93" t="s">
        <v>1997</v>
      </c>
      <c r="B26" s="65" t="s">
        <v>1998</v>
      </c>
      <c r="C26" s="65" t="s">
        <v>151</v>
      </c>
      <c r="D26" s="65">
        <v>60</v>
      </c>
      <c r="E26" s="65" t="s">
        <v>1988</v>
      </c>
      <c r="F26" s="65" t="s">
        <v>1992</v>
      </c>
      <c r="G26" s="65" t="s">
        <v>1999</v>
      </c>
      <c r="H26" s="65" t="s">
        <v>1999</v>
      </c>
    </row>
    <row r="27" spans="1:8" ht="15.75" customHeight="1" x14ac:dyDescent="0.25">
      <c r="A27" s="93" t="s">
        <v>2000</v>
      </c>
      <c r="B27" s="65" t="s">
        <v>2001</v>
      </c>
      <c r="C27" s="65" t="s">
        <v>151</v>
      </c>
      <c r="D27" s="65">
        <v>97</v>
      </c>
      <c r="E27" s="65" t="s">
        <v>1988</v>
      </c>
      <c r="F27" s="65" t="s">
        <v>1992</v>
      </c>
      <c r="G27" s="65" t="s">
        <v>1999</v>
      </c>
      <c r="H27" s="65" t="s">
        <v>1999</v>
      </c>
    </row>
    <row r="28" spans="1:8" ht="15.75" customHeight="1" x14ac:dyDescent="0.25">
      <c r="A28" s="93" t="s">
        <v>2002</v>
      </c>
      <c r="B28" s="65" t="s">
        <v>2003</v>
      </c>
      <c r="C28" s="65" t="s">
        <v>151</v>
      </c>
      <c r="D28" s="65">
        <v>60</v>
      </c>
      <c r="E28" s="65" t="s">
        <v>1988</v>
      </c>
      <c r="F28" s="65" t="s">
        <v>1992</v>
      </c>
      <c r="G28" s="65" t="s">
        <v>1999</v>
      </c>
      <c r="H28" s="65" t="s">
        <v>1999</v>
      </c>
    </row>
    <row r="29" spans="1:8" ht="15.75" customHeight="1" x14ac:dyDescent="0.25">
      <c r="A29" s="93" t="s">
        <v>434</v>
      </c>
      <c r="B29" s="65" t="s">
        <v>435</v>
      </c>
      <c r="C29" s="65" t="s">
        <v>134</v>
      </c>
      <c r="D29" s="65">
        <v>96</v>
      </c>
      <c r="E29" s="65" t="s">
        <v>1988</v>
      </c>
      <c r="F29" s="65" t="s">
        <v>2004</v>
      </c>
      <c r="G29" s="65" t="s">
        <v>1990</v>
      </c>
      <c r="H29" s="65" t="s">
        <v>1991</v>
      </c>
    </row>
    <row r="30" spans="1:8" ht="15.75" customHeight="1" x14ac:dyDescent="0.25">
      <c r="A30" s="93" t="s">
        <v>440</v>
      </c>
      <c r="B30" s="65" t="s">
        <v>441</v>
      </c>
      <c r="C30" s="65" t="s">
        <v>134</v>
      </c>
      <c r="D30" s="65">
        <v>322</v>
      </c>
      <c r="E30" s="65" t="s">
        <v>1988</v>
      </c>
      <c r="F30" s="65" t="s">
        <v>2004</v>
      </c>
      <c r="G30" s="65" t="s">
        <v>1990</v>
      </c>
      <c r="H30" s="65" t="s">
        <v>1991</v>
      </c>
    </row>
    <row r="31" spans="1:8" ht="15.75" customHeight="1" x14ac:dyDescent="0.25">
      <c r="A31" s="93" t="s">
        <v>659</v>
      </c>
      <c r="B31" s="65" t="s">
        <v>660</v>
      </c>
      <c r="C31" s="65" t="s">
        <v>134</v>
      </c>
      <c r="D31" s="65">
        <v>8</v>
      </c>
      <c r="E31" s="65" t="s">
        <v>1988</v>
      </c>
      <c r="F31" s="65" t="s">
        <v>2005</v>
      </c>
      <c r="G31" s="65" t="s">
        <v>1990</v>
      </c>
      <c r="H31" s="65" t="s">
        <v>1991</v>
      </c>
    </row>
    <row r="32" spans="1:8" ht="15.75" customHeight="1" x14ac:dyDescent="0.25">
      <c r="A32" s="93" t="s">
        <v>665</v>
      </c>
      <c r="B32" s="65" t="s">
        <v>666</v>
      </c>
      <c r="C32" s="65" t="s">
        <v>134</v>
      </c>
      <c r="D32" s="65">
        <v>31</v>
      </c>
      <c r="E32" s="65" t="s">
        <v>1988</v>
      </c>
      <c r="F32" s="65" t="s">
        <v>2005</v>
      </c>
      <c r="G32" s="65" t="s">
        <v>1990</v>
      </c>
      <c r="H32" s="65" t="s">
        <v>1991</v>
      </c>
    </row>
    <row r="33" spans="1:8" ht="15.75" customHeight="1" x14ac:dyDescent="0.25">
      <c r="A33" s="93" t="s">
        <v>909</v>
      </c>
      <c r="B33" s="65" t="s">
        <v>910</v>
      </c>
      <c r="C33" s="65" t="s">
        <v>134</v>
      </c>
      <c r="D33" s="65">
        <v>99</v>
      </c>
      <c r="E33" s="65" t="s">
        <v>1988</v>
      </c>
      <c r="F33" s="65" t="s">
        <v>1993</v>
      </c>
      <c r="G33" s="65" t="s">
        <v>1990</v>
      </c>
      <c r="H33" s="65" t="s">
        <v>1991</v>
      </c>
    </row>
    <row r="34" spans="1:8" ht="15.75" customHeight="1" x14ac:dyDescent="0.25">
      <c r="A34" s="93" t="s">
        <v>951</v>
      </c>
      <c r="B34" s="65" t="s">
        <v>952</v>
      </c>
      <c r="C34" s="65" t="s">
        <v>134</v>
      </c>
      <c r="D34" s="65">
        <v>59</v>
      </c>
      <c r="E34" s="65" t="s">
        <v>1988</v>
      </c>
      <c r="F34" s="65" t="s">
        <v>1993</v>
      </c>
      <c r="G34" s="65" t="s">
        <v>1990</v>
      </c>
      <c r="H34" s="65" t="s">
        <v>1991</v>
      </c>
    </row>
    <row r="35" spans="1:8" ht="15.75" customHeight="1" x14ac:dyDescent="0.25">
      <c r="A35" s="93" t="s">
        <v>928</v>
      </c>
      <c r="B35" s="65" t="s">
        <v>929</v>
      </c>
      <c r="C35" s="65" t="s">
        <v>134</v>
      </c>
      <c r="D35" s="65">
        <v>74</v>
      </c>
      <c r="E35" s="65" t="s">
        <v>1988</v>
      </c>
      <c r="F35" s="65" t="s">
        <v>1993</v>
      </c>
      <c r="G35" s="65" t="s">
        <v>1995</v>
      </c>
      <c r="H35" s="65" t="s">
        <v>1991</v>
      </c>
    </row>
    <row r="36" spans="1:8" ht="12.5" x14ac:dyDescent="0.25">
      <c r="A36" s="93" t="s">
        <v>945</v>
      </c>
      <c r="B36" s="65" t="s">
        <v>946</v>
      </c>
      <c r="C36" s="65" t="s">
        <v>134</v>
      </c>
      <c r="D36" s="65">
        <v>57</v>
      </c>
      <c r="E36" s="65" t="s">
        <v>1988</v>
      </c>
      <c r="F36" s="65" t="s">
        <v>1993</v>
      </c>
      <c r="G36" s="65" t="s">
        <v>1990</v>
      </c>
      <c r="H36" s="65" t="s">
        <v>1991</v>
      </c>
    </row>
    <row r="37" spans="1:8" ht="12.5" x14ac:dyDescent="0.25">
      <c r="A37" s="93" t="s">
        <v>923</v>
      </c>
      <c r="B37" s="65" t="s">
        <v>924</v>
      </c>
      <c r="C37" s="65" t="s">
        <v>134</v>
      </c>
      <c r="D37" s="65">
        <v>265</v>
      </c>
      <c r="E37" s="65" t="s">
        <v>1988</v>
      </c>
      <c r="F37" s="65" t="s">
        <v>1993</v>
      </c>
      <c r="G37" s="65" t="s">
        <v>1990</v>
      </c>
      <c r="H37" s="65" t="s">
        <v>1991</v>
      </c>
    </row>
    <row r="38" spans="1:8" ht="12.5" x14ac:dyDescent="0.25">
      <c r="A38" s="93" t="s">
        <v>956</v>
      </c>
      <c r="B38" s="65" t="s">
        <v>957</v>
      </c>
      <c r="C38" s="65" t="s">
        <v>134</v>
      </c>
      <c r="D38" s="65">
        <v>81</v>
      </c>
      <c r="E38" s="65" t="s">
        <v>1988</v>
      </c>
      <c r="F38" s="65" t="s">
        <v>1993</v>
      </c>
      <c r="G38" s="65" t="s">
        <v>1990</v>
      </c>
      <c r="H38" s="65" t="s">
        <v>1991</v>
      </c>
    </row>
    <row r="39" spans="1:8" ht="12.5" x14ac:dyDescent="0.25">
      <c r="A39" s="93" t="s">
        <v>940</v>
      </c>
      <c r="B39" s="65" t="s">
        <v>941</v>
      </c>
      <c r="C39" s="65" t="s">
        <v>134</v>
      </c>
      <c r="D39" s="65">
        <v>59</v>
      </c>
      <c r="E39" s="65" t="s">
        <v>1988</v>
      </c>
      <c r="F39" s="65" t="s">
        <v>1993</v>
      </c>
      <c r="G39" s="65" t="s">
        <v>1990</v>
      </c>
      <c r="H39" s="65" t="s">
        <v>1991</v>
      </c>
    </row>
    <row r="40" spans="1:8" ht="12.5" x14ac:dyDescent="0.25">
      <c r="A40" s="93" t="s">
        <v>1216</v>
      </c>
      <c r="B40" s="65" t="s">
        <v>1217</v>
      </c>
      <c r="C40" s="65" t="s">
        <v>134</v>
      </c>
      <c r="D40" s="65">
        <v>141</v>
      </c>
      <c r="E40" s="65" t="s">
        <v>1988</v>
      </c>
      <c r="F40" s="65" t="s">
        <v>1996</v>
      </c>
      <c r="G40" s="65" t="s">
        <v>1995</v>
      </c>
      <c r="H40" s="65" t="s">
        <v>1991</v>
      </c>
    </row>
    <row r="41" spans="1:8" ht="12.5" x14ac:dyDescent="0.25">
      <c r="A41" s="93" t="s">
        <v>1209</v>
      </c>
      <c r="B41" s="65" t="s">
        <v>1210</v>
      </c>
      <c r="C41" s="65" t="s">
        <v>134</v>
      </c>
      <c r="D41" s="65">
        <v>283</v>
      </c>
      <c r="E41" s="65" t="s">
        <v>1988</v>
      </c>
      <c r="F41" s="65" t="s">
        <v>1996</v>
      </c>
      <c r="G41" s="65" t="s">
        <v>1990</v>
      </c>
      <c r="H41" s="65" t="s">
        <v>1991</v>
      </c>
    </row>
    <row r="42" spans="1:8" ht="12.5" x14ac:dyDescent="0.25">
      <c r="A42" s="93" t="s">
        <v>1421</v>
      </c>
      <c r="B42" s="65" t="s">
        <v>175</v>
      </c>
      <c r="C42" s="65" t="s">
        <v>134</v>
      </c>
      <c r="D42" s="65">
        <v>41</v>
      </c>
      <c r="E42" s="65" t="s">
        <v>1988</v>
      </c>
      <c r="F42" s="65" t="s">
        <v>2006</v>
      </c>
      <c r="G42" s="65" t="s">
        <v>1990</v>
      </c>
      <c r="H42" s="65" t="s">
        <v>1991</v>
      </c>
    </row>
    <row r="43" spans="1:8" ht="12.5" x14ac:dyDescent="0.25">
      <c r="A43" s="93" t="s">
        <v>235</v>
      </c>
      <c r="B43" s="65" t="s">
        <v>236</v>
      </c>
      <c r="C43" s="65" t="s">
        <v>134</v>
      </c>
      <c r="D43" s="65">
        <v>220</v>
      </c>
      <c r="E43" s="65" t="s">
        <v>1988</v>
      </c>
      <c r="F43" s="65" t="s">
        <v>1989</v>
      </c>
      <c r="G43" s="65" t="s">
        <v>1990</v>
      </c>
      <c r="H43" s="65" t="s">
        <v>1991</v>
      </c>
    </row>
    <row r="44" spans="1:8" ht="12.5" x14ac:dyDescent="0.25">
      <c r="A44" s="93" t="s">
        <v>179</v>
      </c>
      <c r="B44" s="65" t="s">
        <v>180</v>
      </c>
      <c r="C44" s="65" t="s">
        <v>134</v>
      </c>
      <c r="D44" s="65">
        <v>222</v>
      </c>
      <c r="E44" s="65" t="s">
        <v>1988</v>
      </c>
      <c r="F44" s="65" t="s">
        <v>1989</v>
      </c>
      <c r="G44" s="65" t="s">
        <v>1995</v>
      </c>
      <c r="H44" s="65" t="s">
        <v>1991</v>
      </c>
    </row>
    <row r="45" spans="1:8" ht="12.5" x14ac:dyDescent="0.25">
      <c r="A45" s="93" t="s">
        <v>191</v>
      </c>
      <c r="B45" s="65" t="s">
        <v>192</v>
      </c>
      <c r="C45" s="65" t="s">
        <v>134</v>
      </c>
      <c r="D45" s="65">
        <v>99</v>
      </c>
      <c r="E45" s="65" t="s">
        <v>1988</v>
      </c>
      <c r="F45" s="65" t="s">
        <v>1989</v>
      </c>
      <c r="G45" s="65" t="s">
        <v>1990</v>
      </c>
      <c r="H45" s="65" t="s">
        <v>1991</v>
      </c>
    </row>
    <row r="46" spans="1:8" ht="12.5" x14ac:dyDescent="0.25">
      <c r="A46" s="93" t="s">
        <v>204</v>
      </c>
      <c r="B46" s="65" t="s">
        <v>205</v>
      </c>
      <c r="C46" s="65" t="s">
        <v>134</v>
      </c>
      <c r="D46" s="65">
        <v>145</v>
      </c>
      <c r="E46" s="65" t="s">
        <v>1988</v>
      </c>
      <c r="F46" s="65" t="s">
        <v>1989</v>
      </c>
      <c r="G46" s="65" t="s">
        <v>1990</v>
      </c>
      <c r="H46" s="65" t="s">
        <v>1991</v>
      </c>
    </row>
    <row r="47" spans="1:8" ht="12.5" x14ac:dyDescent="0.25">
      <c r="A47" s="93" t="s">
        <v>566</v>
      </c>
      <c r="B47" s="65" t="s">
        <v>567</v>
      </c>
      <c r="C47" s="65" t="s">
        <v>134</v>
      </c>
      <c r="D47" s="65">
        <v>676</v>
      </c>
      <c r="E47" s="65" t="s">
        <v>1988</v>
      </c>
      <c r="F47" s="65" t="s">
        <v>1994</v>
      </c>
      <c r="G47" s="65" t="s">
        <v>1990</v>
      </c>
      <c r="H47" s="65" t="s">
        <v>1991</v>
      </c>
    </row>
    <row r="48" spans="1:8" ht="12.5" x14ac:dyDescent="0.25">
      <c r="A48" s="93" t="s">
        <v>572</v>
      </c>
      <c r="B48" s="65" t="s">
        <v>573</v>
      </c>
      <c r="C48" s="65" t="s">
        <v>134</v>
      </c>
      <c r="D48" s="65">
        <v>37</v>
      </c>
      <c r="E48" s="65" t="s">
        <v>1988</v>
      </c>
      <c r="F48" s="65" t="s">
        <v>1994</v>
      </c>
      <c r="G48" s="65" t="s">
        <v>1990</v>
      </c>
      <c r="H48" s="65" t="s">
        <v>1991</v>
      </c>
    </row>
    <row r="49" spans="1:8" ht="12.5" x14ac:dyDescent="0.25">
      <c r="A49" s="93" t="s">
        <v>544</v>
      </c>
      <c r="B49" s="65" t="s">
        <v>545</v>
      </c>
      <c r="C49" s="65" t="s">
        <v>134</v>
      </c>
      <c r="D49" s="65">
        <v>266</v>
      </c>
      <c r="E49" s="65" t="s">
        <v>1988</v>
      </c>
      <c r="F49" s="65" t="s">
        <v>1994</v>
      </c>
      <c r="G49" s="65" t="s">
        <v>1990</v>
      </c>
      <c r="H49" s="65" t="s">
        <v>1991</v>
      </c>
    </row>
    <row r="50" spans="1:8" ht="12.5" x14ac:dyDescent="0.25">
      <c r="A50" s="93" t="s">
        <v>538</v>
      </c>
      <c r="B50" s="65" t="s">
        <v>539</v>
      </c>
      <c r="C50" s="65" t="s">
        <v>134</v>
      </c>
      <c r="D50" s="65">
        <v>185</v>
      </c>
      <c r="E50" s="65" t="s">
        <v>1988</v>
      </c>
      <c r="F50" s="65" t="s">
        <v>1994</v>
      </c>
      <c r="G50" s="65" t="s">
        <v>1990</v>
      </c>
      <c r="H50" s="65" t="s">
        <v>1991</v>
      </c>
    </row>
    <row r="51" spans="1:8" ht="12.5" x14ac:dyDescent="0.25">
      <c r="A51" s="93" t="s">
        <v>534</v>
      </c>
      <c r="B51" s="65" t="s">
        <v>535</v>
      </c>
      <c r="C51" s="65" t="s">
        <v>134</v>
      </c>
      <c r="D51" s="65">
        <v>225</v>
      </c>
      <c r="E51" s="65" t="s">
        <v>1988</v>
      </c>
      <c r="F51" s="65" t="s">
        <v>1994</v>
      </c>
      <c r="G51" s="65" t="s">
        <v>1990</v>
      </c>
      <c r="H51" s="65" t="s">
        <v>1991</v>
      </c>
    </row>
    <row r="52" spans="1:8" ht="12.5" x14ac:dyDescent="0.25">
      <c r="A52" s="93" t="s">
        <v>1744</v>
      </c>
      <c r="B52" s="65" t="s">
        <v>1745</v>
      </c>
      <c r="C52" s="65" t="s">
        <v>134</v>
      </c>
      <c r="D52" s="65">
        <v>94</v>
      </c>
      <c r="E52" s="65" t="s">
        <v>1988</v>
      </c>
      <c r="F52" s="65" t="s">
        <v>1992</v>
      </c>
      <c r="G52" s="65" t="s">
        <v>1990</v>
      </c>
      <c r="H52" s="65" t="s">
        <v>1991</v>
      </c>
    </row>
    <row r="53" spans="1:8" ht="12.5" x14ac:dyDescent="0.25">
      <c r="A53" s="93" t="s">
        <v>1808</v>
      </c>
      <c r="B53" s="65" t="s">
        <v>1809</v>
      </c>
      <c r="C53" s="65" t="s">
        <v>134</v>
      </c>
      <c r="D53" s="65">
        <v>491</v>
      </c>
      <c r="E53" s="65" t="s">
        <v>1988</v>
      </c>
      <c r="F53" s="65" t="s">
        <v>1992</v>
      </c>
      <c r="G53" s="65" t="s">
        <v>1990</v>
      </c>
      <c r="H53" s="65" t="s">
        <v>1991</v>
      </c>
    </row>
    <row r="54" spans="1:8" ht="12.5" x14ac:dyDescent="0.25">
      <c r="A54" s="93" t="s">
        <v>1733</v>
      </c>
      <c r="B54" s="65" t="s">
        <v>1734</v>
      </c>
      <c r="C54" s="65" t="s">
        <v>134</v>
      </c>
      <c r="D54" s="65">
        <v>60</v>
      </c>
      <c r="E54" s="65" t="s">
        <v>1988</v>
      </c>
      <c r="F54" s="65" t="s">
        <v>1992</v>
      </c>
      <c r="G54" s="65" t="s">
        <v>1990</v>
      </c>
      <c r="H54" s="65" t="s">
        <v>1991</v>
      </c>
    </row>
    <row r="55" spans="1:8" ht="12.5" x14ac:dyDescent="0.25">
      <c r="A55" s="93" t="s">
        <v>1756</v>
      </c>
      <c r="B55" s="65" t="s">
        <v>1757</v>
      </c>
      <c r="C55" s="65" t="s">
        <v>134</v>
      </c>
      <c r="D55" s="65">
        <v>20</v>
      </c>
      <c r="E55" s="65" t="s">
        <v>1988</v>
      </c>
      <c r="F55" s="65" t="s">
        <v>1992</v>
      </c>
      <c r="G55" s="65" t="s">
        <v>1990</v>
      </c>
      <c r="H55" s="65" t="s">
        <v>1991</v>
      </c>
    </row>
    <row r="56" spans="1:8" ht="12.5" x14ac:dyDescent="0.25">
      <c r="A56" s="93" t="s">
        <v>1433</v>
      </c>
      <c r="B56" s="65" t="s">
        <v>1434</v>
      </c>
      <c r="C56" s="65" t="s">
        <v>134</v>
      </c>
      <c r="D56" s="65">
        <v>47</v>
      </c>
      <c r="E56" s="65" t="s">
        <v>1988</v>
      </c>
      <c r="F56" s="65" t="s">
        <v>2006</v>
      </c>
      <c r="G56" s="65" t="s">
        <v>1995</v>
      </c>
      <c r="H56" s="65" t="s">
        <v>1991</v>
      </c>
    </row>
    <row r="57" spans="1:8" ht="12.5" x14ac:dyDescent="0.25">
      <c r="A57" s="93" t="s">
        <v>174</v>
      </c>
      <c r="B57" s="65" t="s">
        <v>175</v>
      </c>
      <c r="C57" s="65" t="s">
        <v>134</v>
      </c>
      <c r="D57" s="65">
        <v>56</v>
      </c>
      <c r="E57" s="65" t="s">
        <v>1988</v>
      </c>
      <c r="F57" s="65" t="s">
        <v>1989</v>
      </c>
      <c r="G57" s="65" t="s">
        <v>1995</v>
      </c>
      <c r="H57" s="65" t="s">
        <v>1991</v>
      </c>
    </row>
    <row r="58" spans="1:8" ht="12.5" x14ac:dyDescent="0.25">
      <c r="A58" s="93" t="s">
        <v>246</v>
      </c>
      <c r="B58" s="65" t="s">
        <v>247</v>
      </c>
      <c r="C58" s="65" t="s">
        <v>134</v>
      </c>
      <c r="D58" s="94">
        <v>117</v>
      </c>
      <c r="E58" s="65" t="s">
        <v>1988</v>
      </c>
      <c r="F58" s="65" t="s">
        <v>1989</v>
      </c>
      <c r="G58" s="65" t="s">
        <v>1990</v>
      </c>
      <c r="H58" s="65" t="s">
        <v>1991</v>
      </c>
    </row>
    <row r="59" spans="1:8" ht="12.5" x14ac:dyDescent="0.25">
      <c r="A59" s="93" t="s">
        <v>1538</v>
      </c>
      <c r="B59" s="65" t="s">
        <v>1539</v>
      </c>
      <c r="C59" s="65" t="s">
        <v>134</v>
      </c>
      <c r="D59" s="65">
        <v>256</v>
      </c>
      <c r="E59" s="65" t="s">
        <v>1988</v>
      </c>
      <c r="F59" s="65" t="s">
        <v>2007</v>
      </c>
      <c r="G59" s="65" t="s">
        <v>1990</v>
      </c>
      <c r="H59" s="65" t="s">
        <v>1991</v>
      </c>
    </row>
    <row r="60" spans="1:8" ht="12.5" x14ac:dyDescent="0.25">
      <c r="A60" s="93" t="s">
        <v>209</v>
      </c>
      <c r="B60" s="65" t="s">
        <v>210</v>
      </c>
      <c r="C60" s="65" t="s">
        <v>134</v>
      </c>
      <c r="D60" s="65">
        <v>129</v>
      </c>
      <c r="E60" s="65" t="s">
        <v>1988</v>
      </c>
      <c r="F60" s="65" t="s">
        <v>1989</v>
      </c>
      <c r="G60" s="65" t="s">
        <v>1990</v>
      </c>
      <c r="H60" s="65" t="s">
        <v>1991</v>
      </c>
    </row>
    <row r="61" spans="1:8" ht="12.5" x14ac:dyDescent="0.25">
      <c r="A61" s="93" t="s">
        <v>213</v>
      </c>
      <c r="B61" s="65" t="s">
        <v>214</v>
      </c>
      <c r="C61" s="65" t="s">
        <v>134</v>
      </c>
      <c r="D61" s="65">
        <v>91</v>
      </c>
      <c r="E61" s="65" t="s">
        <v>1988</v>
      </c>
      <c r="F61" s="65" t="s">
        <v>1989</v>
      </c>
      <c r="G61" s="65" t="s">
        <v>1990</v>
      </c>
      <c r="H61" s="65" t="s">
        <v>1991</v>
      </c>
    </row>
    <row r="62" spans="1:8" ht="12.5" x14ac:dyDescent="0.25">
      <c r="A62" s="93" t="s">
        <v>195</v>
      </c>
      <c r="B62" s="65" t="s">
        <v>196</v>
      </c>
      <c r="C62" s="65" t="s">
        <v>134</v>
      </c>
      <c r="D62" s="65">
        <v>374</v>
      </c>
      <c r="E62" s="65" t="s">
        <v>1988</v>
      </c>
      <c r="F62" s="65" t="s">
        <v>1989</v>
      </c>
      <c r="G62" s="65" t="s">
        <v>1990</v>
      </c>
      <c r="H62" s="65" t="s">
        <v>1991</v>
      </c>
    </row>
    <row r="63" spans="1:8" ht="12.5" x14ac:dyDescent="0.25">
      <c r="A63" s="93" t="s">
        <v>556</v>
      </c>
      <c r="B63" s="65" t="s">
        <v>557</v>
      </c>
      <c r="C63" s="65" t="s">
        <v>134</v>
      </c>
      <c r="D63" s="65">
        <v>43</v>
      </c>
      <c r="E63" s="65" t="s">
        <v>1988</v>
      </c>
      <c r="F63" s="65" t="s">
        <v>1994</v>
      </c>
      <c r="G63" s="65" t="s">
        <v>1990</v>
      </c>
      <c r="H63" s="65" t="s">
        <v>1991</v>
      </c>
    </row>
    <row r="64" spans="1:8" ht="12.5" x14ac:dyDescent="0.25">
      <c r="A64" s="93" t="s">
        <v>1797</v>
      </c>
      <c r="B64" s="65" t="s">
        <v>1798</v>
      </c>
      <c r="C64" s="65" t="s">
        <v>134</v>
      </c>
      <c r="D64" s="65">
        <v>105</v>
      </c>
      <c r="E64" s="65" t="s">
        <v>1988</v>
      </c>
      <c r="F64" s="65" t="s">
        <v>1992</v>
      </c>
      <c r="G64" s="65" t="s">
        <v>1990</v>
      </c>
      <c r="H64" s="65" t="s">
        <v>1991</v>
      </c>
    </row>
    <row r="65" spans="1:8" ht="12.5" x14ac:dyDescent="0.25">
      <c r="A65" s="93" t="s">
        <v>1708</v>
      </c>
      <c r="B65" s="65" t="s">
        <v>1709</v>
      </c>
      <c r="C65" s="65" t="s">
        <v>134</v>
      </c>
      <c r="D65" s="65">
        <v>292</v>
      </c>
      <c r="E65" s="65" t="s">
        <v>1988</v>
      </c>
      <c r="F65" s="65" t="s">
        <v>1992</v>
      </c>
      <c r="G65" s="65" t="s">
        <v>1990</v>
      </c>
      <c r="H65" s="65" t="s">
        <v>1991</v>
      </c>
    </row>
    <row r="66" spans="1:8" ht="12.5" x14ac:dyDescent="0.25">
      <c r="A66" s="93" t="s">
        <v>1738</v>
      </c>
      <c r="B66" s="65" t="s">
        <v>1739</v>
      </c>
      <c r="C66" s="65" t="s">
        <v>134</v>
      </c>
      <c r="D66" s="65">
        <v>63</v>
      </c>
      <c r="E66" s="65" t="s">
        <v>1988</v>
      </c>
      <c r="F66" s="65" t="s">
        <v>1992</v>
      </c>
      <c r="G66" s="65" t="s">
        <v>1990</v>
      </c>
      <c r="H66" s="65" t="s">
        <v>1991</v>
      </c>
    </row>
    <row r="67" spans="1:8" ht="12.5" x14ac:dyDescent="0.25">
      <c r="A67" s="93" t="s">
        <v>1718</v>
      </c>
      <c r="B67" s="65" t="s">
        <v>1719</v>
      </c>
      <c r="C67" s="65" t="s">
        <v>134</v>
      </c>
      <c r="D67" s="65">
        <v>348</v>
      </c>
      <c r="E67" s="65" t="s">
        <v>1988</v>
      </c>
      <c r="F67" s="65" t="s">
        <v>1992</v>
      </c>
      <c r="G67" s="65" t="s">
        <v>1990</v>
      </c>
      <c r="H67" s="65" t="s">
        <v>1991</v>
      </c>
    </row>
    <row r="68" spans="1:8" ht="12.5" x14ac:dyDescent="0.25">
      <c r="A68" s="93" t="s">
        <v>1790</v>
      </c>
      <c r="B68" s="65" t="s">
        <v>1791</v>
      </c>
      <c r="C68" s="65" t="s">
        <v>134</v>
      </c>
      <c r="D68" s="65">
        <v>199</v>
      </c>
      <c r="E68" s="65" t="s">
        <v>1988</v>
      </c>
      <c r="F68" s="65" t="s">
        <v>1992</v>
      </c>
      <c r="G68" s="65" t="s">
        <v>1990</v>
      </c>
      <c r="H68" s="65" t="s">
        <v>1991</v>
      </c>
    </row>
    <row r="69" spans="1:8" ht="12.5" x14ac:dyDescent="0.25">
      <c r="A69" s="93" t="s">
        <v>135</v>
      </c>
      <c r="B69" s="65" t="s">
        <v>136</v>
      </c>
      <c r="C69" s="65" t="s">
        <v>134</v>
      </c>
      <c r="D69" s="65">
        <v>456</v>
      </c>
      <c r="E69" s="65" t="s">
        <v>1988</v>
      </c>
      <c r="F69" s="65" t="s">
        <v>1989</v>
      </c>
      <c r="G69" s="65" t="s">
        <v>1990</v>
      </c>
      <c r="H69" s="65" t="s">
        <v>1991</v>
      </c>
    </row>
    <row r="70" spans="1:8" ht="12.5" x14ac:dyDescent="0.25">
      <c r="A70" s="93" t="s">
        <v>186</v>
      </c>
      <c r="B70" s="65" t="s">
        <v>187</v>
      </c>
      <c r="C70" s="65" t="s">
        <v>134</v>
      </c>
      <c r="D70" s="65">
        <v>23</v>
      </c>
      <c r="E70" s="65" t="s">
        <v>1988</v>
      </c>
      <c r="F70" s="65" t="s">
        <v>1989</v>
      </c>
      <c r="G70" s="65" t="s">
        <v>1990</v>
      </c>
      <c r="H70" s="65" t="s">
        <v>1991</v>
      </c>
    </row>
    <row r="71" spans="1:8" ht="12.5" x14ac:dyDescent="0.25">
      <c r="A71" s="93" t="s">
        <v>420</v>
      </c>
      <c r="B71" s="65" t="s">
        <v>421</v>
      </c>
      <c r="C71" s="65" t="s">
        <v>134</v>
      </c>
      <c r="D71" s="65">
        <v>14</v>
      </c>
      <c r="E71" s="65" t="s">
        <v>1988</v>
      </c>
      <c r="F71" s="65" t="s">
        <v>2004</v>
      </c>
      <c r="G71" s="65" t="s">
        <v>1990</v>
      </c>
      <c r="H71" s="65" t="s">
        <v>1991</v>
      </c>
    </row>
    <row r="72" spans="1:8" ht="12.5" x14ac:dyDescent="0.25">
      <c r="A72" s="93" t="s">
        <v>428</v>
      </c>
      <c r="B72" s="65" t="s">
        <v>429</v>
      </c>
      <c r="C72" s="65" t="s">
        <v>134</v>
      </c>
      <c r="D72" s="65">
        <v>74</v>
      </c>
      <c r="E72" s="65" t="s">
        <v>1988</v>
      </c>
      <c r="F72" s="65" t="s">
        <v>2004</v>
      </c>
      <c r="G72" s="65" t="s">
        <v>1990</v>
      </c>
      <c r="H72" s="65" t="s">
        <v>1991</v>
      </c>
    </row>
    <row r="73" spans="1:8" ht="12.5" x14ac:dyDescent="0.25">
      <c r="A73" s="93" t="s">
        <v>447</v>
      </c>
      <c r="B73" s="65" t="s">
        <v>448</v>
      </c>
      <c r="C73" s="65" t="s">
        <v>134</v>
      </c>
      <c r="D73" s="65">
        <v>410</v>
      </c>
      <c r="E73" s="65" t="s">
        <v>1988</v>
      </c>
      <c r="F73" s="65" t="s">
        <v>2004</v>
      </c>
      <c r="G73" s="65" t="s">
        <v>1990</v>
      </c>
      <c r="H73" s="65" t="s">
        <v>1991</v>
      </c>
    </row>
    <row r="74" spans="1:8" ht="12.5" x14ac:dyDescent="0.25">
      <c r="A74" s="93" t="s">
        <v>678</v>
      </c>
      <c r="B74" s="65" t="s">
        <v>679</v>
      </c>
      <c r="C74" s="65" t="s">
        <v>134</v>
      </c>
      <c r="D74" s="65">
        <v>33</v>
      </c>
      <c r="E74" s="65" t="s">
        <v>1988</v>
      </c>
      <c r="F74" s="65" t="s">
        <v>2005</v>
      </c>
      <c r="G74" s="65" t="s">
        <v>1990</v>
      </c>
      <c r="H74" s="65" t="s">
        <v>1991</v>
      </c>
    </row>
    <row r="75" spans="1:8" ht="12.5" x14ac:dyDescent="0.25">
      <c r="A75" s="93" t="s">
        <v>987</v>
      </c>
      <c r="B75" s="65" t="s">
        <v>988</v>
      </c>
      <c r="C75" s="65" t="s">
        <v>134</v>
      </c>
      <c r="D75" s="65">
        <v>119</v>
      </c>
      <c r="E75" s="65" t="s">
        <v>1988</v>
      </c>
      <c r="F75" s="65" t="s">
        <v>1993</v>
      </c>
      <c r="G75" s="65" t="s">
        <v>1990</v>
      </c>
      <c r="H75" s="65" t="s">
        <v>1991</v>
      </c>
    </row>
    <row r="76" spans="1:8" ht="12.5" x14ac:dyDescent="0.25">
      <c r="A76" s="93" t="s">
        <v>898</v>
      </c>
      <c r="B76" s="65" t="s">
        <v>899</v>
      </c>
      <c r="C76" s="65" t="s">
        <v>134</v>
      </c>
      <c r="D76" s="65">
        <v>68</v>
      </c>
      <c r="E76" s="65" t="s">
        <v>1988</v>
      </c>
      <c r="F76" s="65" t="s">
        <v>1993</v>
      </c>
      <c r="G76" s="65" t="s">
        <v>1990</v>
      </c>
      <c r="H76" s="65" t="s">
        <v>1991</v>
      </c>
    </row>
    <row r="77" spans="1:8" ht="12.5" x14ac:dyDescent="0.25">
      <c r="A77" s="93" t="s">
        <v>983</v>
      </c>
      <c r="B77" s="65" t="s">
        <v>984</v>
      </c>
      <c r="C77" s="65" t="s">
        <v>134</v>
      </c>
      <c r="D77" s="65">
        <v>85</v>
      </c>
      <c r="E77" s="65" t="s">
        <v>1988</v>
      </c>
      <c r="F77" s="65" t="s">
        <v>1993</v>
      </c>
      <c r="G77" s="65" t="s">
        <v>1990</v>
      </c>
      <c r="H77" s="65" t="s">
        <v>1991</v>
      </c>
    </row>
    <row r="78" spans="1:8" ht="12.5" x14ac:dyDescent="0.25">
      <c r="A78" s="93" t="s">
        <v>967</v>
      </c>
      <c r="B78" s="65" t="s">
        <v>968</v>
      </c>
      <c r="C78" s="65" t="s">
        <v>134</v>
      </c>
      <c r="D78" s="65">
        <v>119</v>
      </c>
      <c r="E78" s="65" t="s">
        <v>1988</v>
      </c>
      <c r="F78" s="65" t="s">
        <v>1993</v>
      </c>
      <c r="G78" s="65" t="s">
        <v>1990</v>
      </c>
      <c r="H78" s="65" t="s">
        <v>1991</v>
      </c>
    </row>
    <row r="79" spans="1:8" ht="12.5" x14ac:dyDescent="0.25">
      <c r="A79" s="93" t="s">
        <v>972</v>
      </c>
      <c r="B79" s="65" t="s">
        <v>973</v>
      </c>
      <c r="C79" s="65" t="s">
        <v>134</v>
      </c>
      <c r="D79" s="65">
        <v>99</v>
      </c>
      <c r="E79" s="65" t="s">
        <v>1988</v>
      </c>
      <c r="F79" s="65" t="s">
        <v>1993</v>
      </c>
      <c r="G79" s="65" t="s">
        <v>1990</v>
      </c>
      <c r="H79" s="65" t="s">
        <v>1991</v>
      </c>
    </row>
    <row r="80" spans="1:8" ht="12.5" x14ac:dyDescent="0.25">
      <c r="A80" s="93" t="s">
        <v>1426</v>
      </c>
      <c r="B80" s="65" t="s">
        <v>1427</v>
      </c>
      <c r="C80" s="65" t="s">
        <v>134</v>
      </c>
      <c r="D80" s="65">
        <v>65</v>
      </c>
      <c r="E80" s="65" t="s">
        <v>1988</v>
      </c>
      <c r="F80" s="65" t="s">
        <v>2006</v>
      </c>
      <c r="G80" s="65" t="s">
        <v>1990</v>
      </c>
      <c r="H80" s="65" t="s">
        <v>1991</v>
      </c>
    </row>
    <row r="81" spans="1:8" ht="12.5" x14ac:dyDescent="0.25">
      <c r="A81" s="93" t="s">
        <v>1440</v>
      </c>
      <c r="B81" s="65" t="s">
        <v>1441</v>
      </c>
      <c r="C81" s="65" t="s">
        <v>134</v>
      </c>
      <c r="D81" s="65">
        <v>197</v>
      </c>
      <c r="E81" s="65" t="s">
        <v>1988</v>
      </c>
      <c r="F81" s="65" t="s">
        <v>2006</v>
      </c>
      <c r="G81" s="65" t="s">
        <v>1990</v>
      </c>
      <c r="H81" s="65" t="s">
        <v>1991</v>
      </c>
    </row>
    <row r="82" spans="1:8" ht="12.5" x14ac:dyDescent="0.25">
      <c r="A82" s="93" t="s">
        <v>169</v>
      </c>
      <c r="B82" s="65" t="s">
        <v>170</v>
      </c>
      <c r="C82" s="65" t="s">
        <v>134</v>
      </c>
      <c r="D82" s="65">
        <v>24</v>
      </c>
      <c r="E82" s="65" t="s">
        <v>1988</v>
      </c>
      <c r="F82" s="65" t="s">
        <v>1989</v>
      </c>
      <c r="G82" s="65" t="s">
        <v>1995</v>
      </c>
      <c r="H82" s="65" t="s">
        <v>1991</v>
      </c>
    </row>
    <row r="83" spans="1:8" ht="12.5" x14ac:dyDescent="0.25">
      <c r="A83" s="93" t="s">
        <v>549</v>
      </c>
      <c r="B83" s="65" t="s">
        <v>550</v>
      </c>
      <c r="C83" s="65" t="s">
        <v>134</v>
      </c>
      <c r="D83" s="65">
        <v>335</v>
      </c>
      <c r="E83" s="65" t="s">
        <v>1988</v>
      </c>
      <c r="F83" s="65" t="s">
        <v>1994</v>
      </c>
      <c r="G83" s="65" t="s">
        <v>1990</v>
      </c>
      <c r="H83" s="65" t="s">
        <v>1991</v>
      </c>
    </row>
    <row r="84" spans="1:8" ht="12.5" x14ac:dyDescent="0.25">
      <c r="A84" s="93" t="s">
        <v>1803</v>
      </c>
      <c r="B84" s="65" t="s">
        <v>1804</v>
      </c>
      <c r="C84" s="65" t="s">
        <v>134</v>
      </c>
      <c r="D84" s="65">
        <v>281</v>
      </c>
      <c r="E84" s="65" t="s">
        <v>1988</v>
      </c>
      <c r="F84" s="65" t="s">
        <v>1992</v>
      </c>
      <c r="G84" s="65" t="s">
        <v>1990</v>
      </c>
      <c r="H84" s="65" t="s">
        <v>1991</v>
      </c>
    </row>
    <row r="85" spans="1:8" ht="12.5" x14ac:dyDescent="0.25">
      <c r="A85" s="93" t="s">
        <v>1780</v>
      </c>
      <c r="B85" s="65" t="s">
        <v>1781</v>
      </c>
      <c r="C85" s="65" t="s">
        <v>134</v>
      </c>
      <c r="D85" s="94">
        <v>53</v>
      </c>
      <c r="E85" s="65" t="s">
        <v>1988</v>
      </c>
      <c r="F85" s="65" t="s">
        <v>1992</v>
      </c>
      <c r="G85" s="65" t="s">
        <v>1990</v>
      </c>
      <c r="H85" s="65" t="s">
        <v>1991</v>
      </c>
    </row>
    <row r="86" spans="1:8" ht="12.5" x14ac:dyDescent="0.25">
      <c r="A86" s="93" t="s">
        <v>1773</v>
      </c>
      <c r="B86" s="65" t="s">
        <v>1774</v>
      </c>
      <c r="C86" s="65" t="s">
        <v>134</v>
      </c>
      <c r="D86" s="65">
        <v>350</v>
      </c>
      <c r="E86" s="65" t="s">
        <v>1988</v>
      </c>
      <c r="F86" s="65" t="s">
        <v>1992</v>
      </c>
      <c r="G86" s="65" t="s">
        <v>1990</v>
      </c>
      <c r="H86" s="65" t="s">
        <v>1991</v>
      </c>
    </row>
    <row r="87" spans="1:8" ht="12.5" x14ac:dyDescent="0.25">
      <c r="A87" s="93" t="s">
        <v>1724</v>
      </c>
      <c r="B87" s="65" t="s">
        <v>1725</v>
      </c>
      <c r="C87" s="65" t="s">
        <v>134</v>
      </c>
      <c r="D87" s="94">
        <v>217</v>
      </c>
      <c r="E87" s="65" t="s">
        <v>1988</v>
      </c>
      <c r="F87" s="65" t="s">
        <v>1992</v>
      </c>
      <c r="G87" s="65" t="s">
        <v>1990</v>
      </c>
      <c r="H87" s="65" t="s">
        <v>1991</v>
      </c>
    </row>
    <row r="88" spans="1:8" ht="12.5" x14ac:dyDescent="0.25">
      <c r="A88" s="93" t="s">
        <v>1813</v>
      </c>
      <c r="B88" s="65" t="s">
        <v>1814</v>
      </c>
      <c r="C88" s="65" t="s">
        <v>134</v>
      </c>
      <c r="D88" s="65">
        <v>274</v>
      </c>
      <c r="E88" s="65" t="s">
        <v>1988</v>
      </c>
      <c r="F88" s="65" t="s">
        <v>1992</v>
      </c>
      <c r="G88" s="65" t="s">
        <v>1990</v>
      </c>
      <c r="H88" s="65" t="s">
        <v>1991</v>
      </c>
    </row>
    <row r="89" spans="1:8" ht="12.5" x14ac:dyDescent="0.25">
      <c r="A89" s="93" t="s">
        <v>1825</v>
      </c>
      <c r="B89" s="65" t="s">
        <v>1826</v>
      </c>
      <c r="C89" s="65" t="s">
        <v>134</v>
      </c>
      <c r="D89" s="65">
        <v>62</v>
      </c>
      <c r="E89" s="65" t="s">
        <v>1988</v>
      </c>
      <c r="F89" s="65" t="s">
        <v>1992</v>
      </c>
      <c r="G89" s="65" t="s">
        <v>1990</v>
      </c>
      <c r="H89" s="65" t="s">
        <v>1991</v>
      </c>
    </row>
    <row r="90" spans="1:8" ht="12.5" x14ac:dyDescent="0.25">
      <c r="A90" s="93" t="s">
        <v>1818</v>
      </c>
      <c r="B90" s="65" t="s">
        <v>1819</v>
      </c>
      <c r="C90" s="65" t="s">
        <v>134</v>
      </c>
      <c r="D90" s="65">
        <v>225</v>
      </c>
      <c r="E90" s="65" t="s">
        <v>1988</v>
      </c>
      <c r="F90" s="65" t="s">
        <v>1992</v>
      </c>
      <c r="G90" s="65" t="s">
        <v>1990</v>
      </c>
      <c r="H90" s="65" t="s">
        <v>1991</v>
      </c>
    </row>
    <row r="91" spans="1:8" ht="12.5" x14ac:dyDescent="0.25">
      <c r="A91" s="93" t="s">
        <v>218</v>
      </c>
      <c r="B91" s="65" t="s">
        <v>219</v>
      </c>
      <c r="C91" s="65" t="s">
        <v>134</v>
      </c>
      <c r="D91" s="65">
        <v>67</v>
      </c>
      <c r="E91" s="65" t="s">
        <v>1988</v>
      </c>
      <c r="F91" s="65" t="s">
        <v>1989</v>
      </c>
      <c r="G91" s="65" t="s">
        <v>1990</v>
      </c>
      <c r="H91" s="65" t="s">
        <v>1991</v>
      </c>
    </row>
    <row r="92" spans="1:8" ht="12.5" x14ac:dyDescent="0.25">
      <c r="A92" s="93" t="s">
        <v>1728</v>
      </c>
      <c r="B92" s="65" t="s">
        <v>1729</v>
      </c>
      <c r="C92" s="65" t="s">
        <v>134</v>
      </c>
      <c r="D92" s="65">
        <v>44</v>
      </c>
      <c r="E92" s="65" t="s">
        <v>1988</v>
      </c>
      <c r="F92" s="65" t="s">
        <v>1992</v>
      </c>
      <c r="G92" s="65" t="s">
        <v>1990</v>
      </c>
      <c r="H92" s="65" t="s">
        <v>1991</v>
      </c>
    </row>
    <row r="93" spans="1:8" ht="12.5" x14ac:dyDescent="0.25">
      <c r="A93" s="93" t="s">
        <v>1203</v>
      </c>
      <c r="B93" s="65" t="s">
        <v>1204</v>
      </c>
      <c r="C93" s="65" t="s">
        <v>134</v>
      </c>
      <c r="D93" s="65">
        <v>90</v>
      </c>
      <c r="E93" s="65" t="s">
        <v>1988</v>
      </c>
      <c r="F93" s="65" t="s">
        <v>1996</v>
      </c>
      <c r="G93" s="65" t="s">
        <v>1990</v>
      </c>
      <c r="H93" s="65" t="s">
        <v>1991</v>
      </c>
    </row>
    <row r="94" spans="1:8" ht="12.5" x14ac:dyDescent="0.25">
      <c r="A94" s="93" t="s">
        <v>1750</v>
      </c>
      <c r="B94" s="65" t="s">
        <v>1751</v>
      </c>
      <c r="C94" s="65" t="s">
        <v>134</v>
      </c>
      <c r="D94" s="65">
        <v>34</v>
      </c>
      <c r="E94" s="65" t="s">
        <v>1988</v>
      </c>
      <c r="F94" s="65" t="s">
        <v>1992</v>
      </c>
      <c r="G94" s="65" t="s">
        <v>1990</v>
      </c>
      <c r="H94" s="65" t="s">
        <v>1991</v>
      </c>
    </row>
    <row r="95" spans="1:8" ht="12.5" x14ac:dyDescent="0.25">
      <c r="A95" s="93" t="s">
        <v>1766</v>
      </c>
      <c r="B95" s="65" t="s">
        <v>1767</v>
      </c>
      <c r="C95" s="65" t="s">
        <v>134</v>
      </c>
      <c r="D95" s="65">
        <v>289</v>
      </c>
      <c r="E95" s="65" t="s">
        <v>1988</v>
      </c>
      <c r="F95" s="65" t="s">
        <v>1992</v>
      </c>
      <c r="G95" s="65" t="s">
        <v>1990</v>
      </c>
      <c r="H95" s="65" t="s">
        <v>1991</v>
      </c>
    </row>
    <row r="96" spans="1:8" ht="12.5" x14ac:dyDescent="0.25">
      <c r="A96" s="93" t="s">
        <v>671</v>
      </c>
      <c r="B96" s="65" t="s">
        <v>672</v>
      </c>
      <c r="C96" s="65" t="s">
        <v>134</v>
      </c>
      <c r="D96" s="65">
        <v>22</v>
      </c>
      <c r="E96" s="65" t="s">
        <v>1988</v>
      </c>
      <c r="F96" s="65" t="s">
        <v>2005</v>
      </c>
      <c r="G96" s="65" t="s">
        <v>1990</v>
      </c>
      <c r="H96" s="65" t="s">
        <v>1991</v>
      </c>
    </row>
    <row r="97" spans="1:8" ht="12.5" x14ac:dyDescent="0.25">
      <c r="A97" s="93" t="s">
        <v>919</v>
      </c>
      <c r="B97" s="65" t="s">
        <v>920</v>
      </c>
      <c r="C97" s="65" t="s">
        <v>134</v>
      </c>
      <c r="D97" s="94">
        <v>69</v>
      </c>
      <c r="E97" s="65" t="s">
        <v>1988</v>
      </c>
      <c r="F97" s="65" t="s">
        <v>1993</v>
      </c>
      <c r="G97" s="65" t="s">
        <v>1990</v>
      </c>
      <c r="H97" s="65" t="s">
        <v>1991</v>
      </c>
    </row>
    <row r="98" spans="1:8" ht="12.5" x14ac:dyDescent="0.25">
      <c r="A98" s="93" t="s">
        <v>1195</v>
      </c>
      <c r="B98" s="65" t="s">
        <v>1196</v>
      </c>
      <c r="C98" s="65" t="s">
        <v>134</v>
      </c>
      <c r="D98" s="65">
        <v>65</v>
      </c>
      <c r="E98" s="65" t="s">
        <v>1988</v>
      </c>
      <c r="F98" s="65" t="s">
        <v>1996</v>
      </c>
      <c r="G98" s="65" t="s">
        <v>1990</v>
      </c>
      <c r="H98" s="65" t="s">
        <v>1991</v>
      </c>
    </row>
    <row r="99" spans="1:8" ht="12.5" x14ac:dyDescent="0.25">
      <c r="A99" s="93" t="s">
        <v>561</v>
      </c>
      <c r="B99" s="65" t="s">
        <v>562</v>
      </c>
      <c r="C99" s="65" t="s">
        <v>134</v>
      </c>
      <c r="D99" s="65">
        <v>349</v>
      </c>
      <c r="E99" s="65" t="s">
        <v>1988</v>
      </c>
      <c r="F99" s="65" t="s">
        <v>1994</v>
      </c>
      <c r="G99" s="65" t="s">
        <v>1995</v>
      </c>
      <c r="H99" s="65" t="s">
        <v>1991</v>
      </c>
    </row>
    <row r="100" spans="1:8" ht="12.5" x14ac:dyDescent="0.25">
      <c r="A100" s="93" t="s">
        <v>1761</v>
      </c>
      <c r="B100" s="65" t="s">
        <v>1762</v>
      </c>
      <c r="C100" s="65" t="s">
        <v>134</v>
      </c>
      <c r="D100" s="65">
        <v>25</v>
      </c>
      <c r="E100" s="65" t="s">
        <v>1988</v>
      </c>
      <c r="F100" s="65" t="s">
        <v>1992</v>
      </c>
      <c r="G100" s="65" t="s">
        <v>1990</v>
      </c>
      <c r="H100" s="65" t="s">
        <v>1991</v>
      </c>
    </row>
    <row r="101" spans="1:8" ht="12.5" x14ac:dyDescent="0.25">
      <c r="A101" s="93" t="s">
        <v>1785</v>
      </c>
      <c r="B101" s="65" t="s">
        <v>1786</v>
      </c>
      <c r="C101" s="65" t="s">
        <v>134</v>
      </c>
      <c r="D101" s="65">
        <v>44</v>
      </c>
      <c r="E101" s="65" t="s">
        <v>1988</v>
      </c>
      <c r="F101" s="65" t="s">
        <v>1992</v>
      </c>
      <c r="G101" s="65" t="s">
        <v>1990</v>
      </c>
      <c r="H101" s="65" t="s">
        <v>1991</v>
      </c>
    </row>
    <row r="102" spans="1:8" ht="12.5" x14ac:dyDescent="0.25">
      <c r="A102" s="93" t="s">
        <v>933</v>
      </c>
      <c r="B102" s="65" t="s">
        <v>934</v>
      </c>
      <c r="C102" s="65" t="s">
        <v>134</v>
      </c>
      <c r="D102" s="94">
        <v>122</v>
      </c>
      <c r="E102" s="65" t="s">
        <v>1988</v>
      </c>
      <c r="F102" s="65" t="s">
        <v>1993</v>
      </c>
      <c r="G102" s="65" t="s">
        <v>1990</v>
      </c>
      <c r="H102" s="65" t="s">
        <v>1991</v>
      </c>
    </row>
    <row r="103" spans="1:8" ht="12.5" x14ac:dyDescent="0.25">
      <c r="A103" s="93" t="s">
        <v>200</v>
      </c>
      <c r="B103" s="65" t="s">
        <v>201</v>
      </c>
      <c r="C103" s="65" t="s">
        <v>134</v>
      </c>
      <c r="D103" s="65">
        <v>174</v>
      </c>
      <c r="E103" s="65" t="s">
        <v>1988</v>
      </c>
      <c r="F103" s="65" t="s">
        <v>1989</v>
      </c>
      <c r="G103" s="65" t="s">
        <v>1990</v>
      </c>
      <c r="H103" s="65" t="s">
        <v>1991</v>
      </c>
    </row>
    <row r="104" spans="1:8" ht="12.5" x14ac:dyDescent="0.25">
      <c r="A104" s="93" t="s">
        <v>916</v>
      </c>
      <c r="B104" s="65" t="s">
        <v>917</v>
      </c>
      <c r="C104" s="65" t="s">
        <v>134</v>
      </c>
      <c r="D104" s="65">
        <v>21</v>
      </c>
      <c r="E104" s="65" t="s">
        <v>1988</v>
      </c>
      <c r="F104" s="65" t="s">
        <v>1993</v>
      </c>
      <c r="G104" s="65" t="s">
        <v>1999</v>
      </c>
      <c r="H104" s="65" t="s">
        <v>1999</v>
      </c>
    </row>
    <row r="105" spans="1:8" ht="12.5" x14ac:dyDescent="0.25">
      <c r="A105" s="93" t="s">
        <v>223</v>
      </c>
      <c r="B105" s="65" t="s">
        <v>224</v>
      </c>
      <c r="C105" s="65" t="s">
        <v>134</v>
      </c>
      <c r="D105" s="65">
        <v>173</v>
      </c>
      <c r="E105" s="65" t="s">
        <v>1988</v>
      </c>
      <c r="F105" s="65" t="s">
        <v>1989</v>
      </c>
      <c r="G105" s="65" t="s">
        <v>1990</v>
      </c>
      <c r="H105" s="65" t="s">
        <v>1991</v>
      </c>
    </row>
    <row r="106" spans="1:8" ht="12.5" x14ac:dyDescent="0.25">
      <c r="A106" s="93" t="s">
        <v>978</v>
      </c>
      <c r="B106" s="65" t="s">
        <v>979</v>
      </c>
      <c r="C106" s="65" t="s">
        <v>134</v>
      </c>
      <c r="D106" s="65">
        <v>14</v>
      </c>
      <c r="E106" s="65" t="s">
        <v>1988</v>
      </c>
      <c r="F106" s="65" t="s">
        <v>1993</v>
      </c>
      <c r="G106" s="65" t="s">
        <v>1999</v>
      </c>
      <c r="H106" s="65" t="s">
        <v>1999</v>
      </c>
    </row>
    <row r="107" spans="1:8" ht="12.5" x14ac:dyDescent="0.25">
      <c r="A107" s="93" t="s">
        <v>904</v>
      </c>
      <c r="B107" s="65" t="s">
        <v>905</v>
      </c>
      <c r="C107" s="65" t="s">
        <v>134</v>
      </c>
      <c r="D107" s="65">
        <v>68</v>
      </c>
      <c r="E107" s="65" t="s">
        <v>1988</v>
      </c>
      <c r="F107" s="65" t="s">
        <v>1993</v>
      </c>
      <c r="G107" s="65" t="s">
        <v>1999</v>
      </c>
      <c r="H107" s="65" t="s">
        <v>1999</v>
      </c>
    </row>
    <row r="108" spans="1:8" ht="12.5" x14ac:dyDescent="0.25">
      <c r="A108" s="93" t="s">
        <v>962</v>
      </c>
      <c r="B108" s="65" t="s">
        <v>963</v>
      </c>
      <c r="C108" s="65" t="s">
        <v>134</v>
      </c>
      <c r="D108" s="65">
        <v>164</v>
      </c>
      <c r="E108" s="65" t="s">
        <v>1988</v>
      </c>
      <c r="F108" s="65" t="s">
        <v>1993</v>
      </c>
      <c r="G108" s="65" t="s">
        <v>1990</v>
      </c>
      <c r="H108" s="65" t="s">
        <v>1991</v>
      </c>
    </row>
    <row r="109" spans="1:8" ht="12.5" x14ac:dyDescent="0.25">
      <c r="A109" s="93" t="s">
        <v>240</v>
      </c>
      <c r="B109" s="65" t="s">
        <v>241</v>
      </c>
      <c r="C109" s="65" t="s">
        <v>134</v>
      </c>
      <c r="D109" s="65">
        <v>452</v>
      </c>
      <c r="E109" s="65" t="s">
        <v>1988</v>
      </c>
      <c r="F109" s="65" t="s">
        <v>1989</v>
      </c>
      <c r="G109" s="65" t="s">
        <v>1990</v>
      </c>
      <c r="H109" s="65" t="s">
        <v>1991</v>
      </c>
    </row>
    <row r="110" spans="1:8" ht="12.5" x14ac:dyDescent="0.25">
      <c r="A110" s="93" t="s">
        <v>231</v>
      </c>
      <c r="B110" s="65" t="s">
        <v>232</v>
      </c>
      <c r="C110" s="65" t="s">
        <v>134</v>
      </c>
      <c r="D110" s="65">
        <v>56</v>
      </c>
      <c r="E110" s="65" t="s">
        <v>1988</v>
      </c>
      <c r="F110" s="65" t="s">
        <v>1989</v>
      </c>
      <c r="G110" s="65" t="s">
        <v>1990</v>
      </c>
      <c r="H110" s="65" t="s">
        <v>1991</v>
      </c>
    </row>
    <row r="111" spans="1:8" ht="12.5" x14ac:dyDescent="0.25">
      <c r="A111" s="93" t="s">
        <v>2008</v>
      </c>
      <c r="B111" s="65" t="s">
        <v>2009</v>
      </c>
      <c r="C111" s="65" t="s">
        <v>134</v>
      </c>
      <c r="D111" s="65">
        <v>0</v>
      </c>
      <c r="E111" s="65" t="s">
        <v>1988</v>
      </c>
      <c r="F111" s="65" t="s">
        <v>2010</v>
      </c>
      <c r="G111" s="65" t="s">
        <v>1999</v>
      </c>
      <c r="H111" s="65" t="s">
        <v>1999</v>
      </c>
    </row>
    <row r="112" spans="1:8" ht="12.5" x14ac:dyDescent="0.25">
      <c r="A112" s="93" t="s">
        <v>1297</v>
      </c>
      <c r="B112" s="65" t="s">
        <v>1298</v>
      </c>
      <c r="C112" s="65" t="s">
        <v>134</v>
      </c>
      <c r="D112" s="65">
        <v>19</v>
      </c>
      <c r="E112" s="65" t="s">
        <v>1988</v>
      </c>
      <c r="F112" s="65" t="s">
        <v>2010</v>
      </c>
      <c r="G112" s="65" t="s">
        <v>1999</v>
      </c>
      <c r="H112" s="65" t="s">
        <v>1999</v>
      </c>
    </row>
    <row r="113" spans="1:8" ht="12.5" x14ac:dyDescent="0.25">
      <c r="A113" s="93" t="s">
        <v>1533</v>
      </c>
      <c r="B113" s="65" t="s">
        <v>1534</v>
      </c>
      <c r="C113" s="65" t="s">
        <v>134</v>
      </c>
      <c r="D113" s="65">
        <v>45</v>
      </c>
      <c r="E113" s="65" t="s">
        <v>1988</v>
      </c>
      <c r="F113" s="65" t="s">
        <v>2007</v>
      </c>
      <c r="G113" s="65" t="s">
        <v>1990</v>
      </c>
      <c r="H113" s="65" t="s">
        <v>1991</v>
      </c>
    </row>
    <row r="114" spans="1:8" ht="12.5" x14ac:dyDescent="0.25">
      <c r="A114" s="93" t="s">
        <v>1529</v>
      </c>
      <c r="B114" s="65" t="s">
        <v>1530</v>
      </c>
      <c r="C114" s="65" t="s">
        <v>134</v>
      </c>
      <c r="D114" s="65">
        <v>42</v>
      </c>
      <c r="E114" s="65" t="s">
        <v>1988</v>
      </c>
      <c r="F114" s="65" t="s">
        <v>2007</v>
      </c>
      <c r="G114" s="65" t="s">
        <v>1999</v>
      </c>
      <c r="H114" s="65" t="s">
        <v>1999</v>
      </c>
    </row>
    <row r="115" spans="1:8" ht="12.5" x14ac:dyDescent="0.25">
      <c r="A115" s="93" t="s">
        <v>2011</v>
      </c>
      <c r="B115" s="65" t="s">
        <v>2012</v>
      </c>
      <c r="C115" s="65" t="s">
        <v>134</v>
      </c>
      <c r="D115" s="65">
        <v>0</v>
      </c>
      <c r="E115" s="65" t="s">
        <v>1988</v>
      </c>
      <c r="F115" s="65" t="s">
        <v>1989</v>
      </c>
      <c r="G115" s="65" t="s">
        <v>1999</v>
      </c>
      <c r="H115" s="65" t="s">
        <v>1999</v>
      </c>
    </row>
    <row r="116" spans="1:8" ht="12.5" x14ac:dyDescent="0.25">
      <c r="A116" s="93" t="s">
        <v>2013</v>
      </c>
      <c r="B116" s="65" t="s">
        <v>2014</v>
      </c>
      <c r="C116" s="65" t="s">
        <v>134</v>
      </c>
      <c r="D116" s="65">
        <v>0</v>
      </c>
      <c r="E116" s="65" t="s">
        <v>1988</v>
      </c>
      <c r="F116" s="65" t="s">
        <v>1989</v>
      </c>
      <c r="G116" s="65" t="s">
        <v>1999</v>
      </c>
      <c r="H116" s="65" t="s">
        <v>1999</v>
      </c>
    </row>
    <row r="117" spans="1:8" ht="12.5" x14ac:dyDescent="0.25">
      <c r="A117" s="93" t="s">
        <v>2015</v>
      </c>
      <c r="B117" s="65" t="s">
        <v>2016</v>
      </c>
      <c r="C117" s="65" t="s">
        <v>134</v>
      </c>
      <c r="D117" s="65">
        <v>0</v>
      </c>
      <c r="E117" s="65" t="s">
        <v>1988</v>
      </c>
      <c r="F117" s="65" t="s">
        <v>1989</v>
      </c>
      <c r="G117" s="65" t="s">
        <v>1999</v>
      </c>
      <c r="H117" s="65" t="s">
        <v>1999</v>
      </c>
    </row>
    <row r="118" spans="1:8" ht="12.5" x14ac:dyDescent="0.25">
      <c r="A118" s="93" t="s">
        <v>683</v>
      </c>
      <c r="B118" s="65" t="s">
        <v>684</v>
      </c>
      <c r="C118" s="65" t="s">
        <v>134</v>
      </c>
      <c r="D118" s="65">
        <v>26</v>
      </c>
      <c r="E118" s="65" t="s">
        <v>1988</v>
      </c>
      <c r="F118" s="65" t="s">
        <v>2005</v>
      </c>
      <c r="G118" s="65" t="s">
        <v>1990</v>
      </c>
      <c r="H118" s="65" t="s">
        <v>1991</v>
      </c>
    </row>
    <row r="119" spans="1:8" ht="12.5" x14ac:dyDescent="0.25">
      <c r="A119" s="93" t="s">
        <v>2017</v>
      </c>
      <c r="B119" s="65" t="s">
        <v>2018</v>
      </c>
      <c r="C119" s="65" t="s">
        <v>134</v>
      </c>
      <c r="D119" s="65">
        <v>257</v>
      </c>
      <c r="E119" s="65" t="s">
        <v>1988</v>
      </c>
      <c r="F119" s="65" t="s">
        <v>1989</v>
      </c>
      <c r="G119" s="65" t="s">
        <v>1999</v>
      </c>
      <c r="H119" s="65" t="s">
        <v>1999</v>
      </c>
    </row>
    <row r="120" spans="1:8" ht="12.5" x14ac:dyDescent="0.25">
      <c r="A120" s="93" t="s">
        <v>1303</v>
      </c>
      <c r="B120" s="65" t="s">
        <v>1304</v>
      </c>
      <c r="C120" s="65" t="s">
        <v>134</v>
      </c>
      <c r="D120" s="65">
        <v>26</v>
      </c>
      <c r="E120" s="65" t="s">
        <v>1988</v>
      </c>
      <c r="F120" s="65" t="s">
        <v>2010</v>
      </c>
      <c r="G120" s="65" t="s">
        <v>1990</v>
      </c>
      <c r="H120" s="65" t="s">
        <v>1991</v>
      </c>
    </row>
    <row r="121" spans="1:8" ht="12.5" x14ac:dyDescent="0.25">
      <c r="A121" s="93" t="s">
        <v>1713</v>
      </c>
      <c r="B121" s="65" t="s">
        <v>1714</v>
      </c>
      <c r="C121" s="65" t="s">
        <v>134</v>
      </c>
      <c r="D121" s="65">
        <v>121</v>
      </c>
      <c r="E121" s="65" t="s">
        <v>1988</v>
      </c>
      <c r="F121" s="65" t="s">
        <v>1992</v>
      </c>
      <c r="G121" s="65" t="s">
        <v>1990</v>
      </c>
      <c r="H121" s="65" t="s">
        <v>2019</v>
      </c>
    </row>
    <row r="122" spans="1:8" ht="12.5" x14ac:dyDescent="0.25">
      <c r="A122" s="93" t="s">
        <v>2020</v>
      </c>
      <c r="B122" s="65" t="s">
        <v>2021</v>
      </c>
      <c r="C122" s="65" t="s">
        <v>134</v>
      </c>
      <c r="D122" s="65">
        <v>154</v>
      </c>
      <c r="E122" s="65" t="s">
        <v>1988</v>
      </c>
      <c r="F122" s="65" t="s">
        <v>1992</v>
      </c>
      <c r="G122" s="65" t="s">
        <v>1999</v>
      </c>
      <c r="H122" s="65" t="s">
        <v>1999</v>
      </c>
    </row>
    <row r="123" spans="1:8" ht="12.5" x14ac:dyDescent="0.25">
      <c r="A123" s="93" t="s">
        <v>1831</v>
      </c>
      <c r="B123" s="65" t="s">
        <v>1832</v>
      </c>
      <c r="C123" s="65" t="s">
        <v>134</v>
      </c>
      <c r="D123" s="65">
        <v>2</v>
      </c>
      <c r="E123" s="65" t="s">
        <v>1988</v>
      </c>
      <c r="F123" s="65" t="s">
        <v>1992</v>
      </c>
      <c r="G123" s="65" t="s">
        <v>1999</v>
      </c>
      <c r="H123" s="65" t="s">
        <v>1999</v>
      </c>
    </row>
    <row r="124" spans="1:8" ht="12.5" x14ac:dyDescent="0.25">
      <c r="A124" s="93" t="s">
        <v>2022</v>
      </c>
      <c r="B124" s="65" t="s">
        <v>2023</v>
      </c>
      <c r="C124" s="65" t="s">
        <v>134</v>
      </c>
      <c r="D124" s="65">
        <v>104</v>
      </c>
      <c r="E124" s="65" t="s">
        <v>1988</v>
      </c>
      <c r="F124" s="65" t="s">
        <v>1992</v>
      </c>
      <c r="G124" s="65" t="s">
        <v>1999</v>
      </c>
      <c r="H124" s="65" t="s">
        <v>1999</v>
      </c>
    </row>
    <row r="125" spans="1:8" ht="12.5" x14ac:dyDescent="0.25">
      <c r="A125" s="93" t="s">
        <v>479</v>
      </c>
      <c r="B125" s="65" t="s">
        <v>480</v>
      </c>
      <c r="C125" s="65" t="s">
        <v>251</v>
      </c>
      <c r="D125" s="65">
        <v>539</v>
      </c>
      <c r="E125" s="65" t="s">
        <v>1988</v>
      </c>
      <c r="F125" s="65" t="s">
        <v>2004</v>
      </c>
      <c r="G125" s="65" t="s">
        <v>1995</v>
      </c>
      <c r="H125" s="65" t="s">
        <v>1991</v>
      </c>
    </row>
    <row r="126" spans="1:8" ht="12.5" x14ac:dyDescent="0.25">
      <c r="A126" s="93" t="s">
        <v>455</v>
      </c>
      <c r="B126" s="65" t="s">
        <v>456</v>
      </c>
      <c r="C126" s="65" t="s">
        <v>251</v>
      </c>
      <c r="D126" s="65">
        <v>40</v>
      </c>
      <c r="E126" s="65" t="s">
        <v>1988</v>
      </c>
      <c r="F126" s="65" t="s">
        <v>2004</v>
      </c>
      <c r="G126" s="65" t="s">
        <v>1990</v>
      </c>
      <c r="H126" s="65" t="s">
        <v>1991</v>
      </c>
    </row>
    <row r="127" spans="1:8" ht="12.5" x14ac:dyDescent="0.25">
      <c r="A127" s="93" t="s">
        <v>473</v>
      </c>
      <c r="B127" s="65" t="s">
        <v>474</v>
      </c>
      <c r="C127" s="65" t="s">
        <v>251</v>
      </c>
      <c r="D127" s="65">
        <v>258</v>
      </c>
      <c r="E127" s="65" t="s">
        <v>1988</v>
      </c>
      <c r="F127" s="65" t="s">
        <v>2004</v>
      </c>
      <c r="G127" s="65" t="s">
        <v>1990</v>
      </c>
      <c r="H127" s="65" t="s">
        <v>1991</v>
      </c>
    </row>
    <row r="128" spans="1:8" ht="12.5" x14ac:dyDescent="0.25">
      <c r="A128" s="93" t="s">
        <v>702</v>
      </c>
      <c r="B128" s="65" t="s">
        <v>703</v>
      </c>
      <c r="C128" s="65" t="s">
        <v>251</v>
      </c>
      <c r="D128" s="65">
        <v>53</v>
      </c>
      <c r="E128" s="65" t="s">
        <v>1988</v>
      </c>
      <c r="F128" s="65" t="s">
        <v>2005</v>
      </c>
      <c r="G128" s="65" t="s">
        <v>1990</v>
      </c>
      <c r="H128" s="65" t="s">
        <v>1991</v>
      </c>
    </row>
    <row r="129" spans="1:8" ht="12.5" x14ac:dyDescent="0.25">
      <c r="A129" s="93" t="s">
        <v>1063</v>
      </c>
      <c r="B129" s="65" t="s">
        <v>1064</v>
      </c>
      <c r="C129" s="65" t="s">
        <v>251</v>
      </c>
      <c r="D129" s="65">
        <v>103</v>
      </c>
      <c r="E129" s="65" t="s">
        <v>1988</v>
      </c>
      <c r="F129" s="65" t="s">
        <v>1993</v>
      </c>
      <c r="G129" s="65" t="s">
        <v>1990</v>
      </c>
      <c r="H129" s="65" t="s">
        <v>1991</v>
      </c>
    </row>
    <row r="130" spans="1:8" ht="12.5" x14ac:dyDescent="0.25">
      <c r="A130" s="93" t="s">
        <v>1022</v>
      </c>
      <c r="B130" s="65" t="s">
        <v>1023</v>
      </c>
      <c r="C130" s="65" t="s">
        <v>251</v>
      </c>
      <c r="D130" s="65">
        <v>225</v>
      </c>
      <c r="E130" s="65" t="s">
        <v>1988</v>
      </c>
      <c r="F130" s="65" t="s">
        <v>1993</v>
      </c>
      <c r="G130" s="65" t="s">
        <v>1990</v>
      </c>
      <c r="H130" s="65" t="s">
        <v>1991</v>
      </c>
    </row>
    <row r="131" spans="1:8" ht="12.5" x14ac:dyDescent="0.25">
      <c r="A131" s="93" t="s">
        <v>1094</v>
      </c>
      <c r="B131" s="65" t="s">
        <v>1095</v>
      </c>
      <c r="C131" s="65" t="s">
        <v>251</v>
      </c>
      <c r="D131" s="65">
        <v>286</v>
      </c>
      <c r="E131" s="65" t="s">
        <v>1988</v>
      </c>
      <c r="F131" s="65" t="s">
        <v>1993</v>
      </c>
      <c r="G131" s="65" t="s">
        <v>1990</v>
      </c>
      <c r="H131" s="65" t="s">
        <v>1991</v>
      </c>
    </row>
    <row r="132" spans="1:8" ht="12.5" x14ac:dyDescent="0.25">
      <c r="A132" s="93" t="s">
        <v>1074</v>
      </c>
      <c r="B132" s="65" t="s">
        <v>1075</v>
      </c>
      <c r="C132" s="65" t="s">
        <v>251</v>
      </c>
      <c r="D132" s="65">
        <v>355</v>
      </c>
      <c r="E132" s="65" t="s">
        <v>1988</v>
      </c>
      <c r="F132" s="65" t="s">
        <v>1993</v>
      </c>
      <c r="G132" s="65" t="s">
        <v>1990</v>
      </c>
      <c r="H132" s="65" t="s">
        <v>1991</v>
      </c>
    </row>
    <row r="133" spans="1:8" ht="12.5" x14ac:dyDescent="0.25">
      <c r="A133" s="93" t="s">
        <v>1002</v>
      </c>
      <c r="B133" s="65" t="s">
        <v>1003</v>
      </c>
      <c r="C133" s="65" t="s">
        <v>251</v>
      </c>
      <c r="D133" s="65">
        <v>114</v>
      </c>
      <c r="E133" s="65" t="s">
        <v>1988</v>
      </c>
      <c r="F133" s="65" t="s">
        <v>1993</v>
      </c>
      <c r="G133" s="65" t="s">
        <v>1990</v>
      </c>
      <c r="H133" s="65" t="s">
        <v>1991</v>
      </c>
    </row>
    <row r="134" spans="1:8" ht="12.5" x14ac:dyDescent="0.25">
      <c r="A134" s="93" t="s">
        <v>1059</v>
      </c>
      <c r="B134" s="65" t="s">
        <v>1060</v>
      </c>
      <c r="C134" s="65" t="s">
        <v>251</v>
      </c>
      <c r="D134" s="94">
        <v>271</v>
      </c>
      <c r="E134" s="65" t="s">
        <v>1988</v>
      </c>
      <c r="F134" s="65" t="s">
        <v>1993</v>
      </c>
      <c r="G134" s="65" t="s">
        <v>2024</v>
      </c>
      <c r="H134" s="65" t="s">
        <v>1991</v>
      </c>
    </row>
    <row r="135" spans="1:8" ht="12.5" x14ac:dyDescent="0.25">
      <c r="A135" s="93" t="s">
        <v>1027</v>
      </c>
      <c r="B135" s="65" t="s">
        <v>1028</v>
      </c>
      <c r="C135" s="65" t="s">
        <v>251</v>
      </c>
      <c r="D135" s="65">
        <v>94</v>
      </c>
      <c r="E135" s="65" t="s">
        <v>1988</v>
      </c>
      <c r="F135" s="65" t="s">
        <v>1993</v>
      </c>
      <c r="G135" s="65" t="s">
        <v>1990</v>
      </c>
      <c r="H135" s="65" t="s">
        <v>1991</v>
      </c>
    </row>
    <row r="136" spans="1:8" ht="12.5" x14ac:dyDescent="0.25">
      <c r="A136" s="93" t="s">
        <v>1107</v>
      </c>
      <c r="B136" s="65" t="s">
        <v>1108</v>
      </c>
      <c r="C136" s="65" t="s">
        <v>251</v>
      </c>
      <c r="D136" s="65">
        <v>242</v>
      </c>
      <c r="E136" s="65" t="s">
        <v>1988</v>
      </c>
      <c r="F136" s="65" t="s">
        <v>1993</v>
      </c>
      <c r="G136" s="65" t="s">
        <v>1990</v>
      </c>
      <c r="H136" s="65" t="s">
        <v>1991</v>
      </c>
    </row>
    <row r="137" spans="1:8" ht="12.5" x14ac:dyDescent="0.25">
      <c r="A137" s="93" t="s">
        <v>1242</v>
      </c>
      <c r="B137" s="65" t="s">
        <v>1243</v>
      </c>
      <c r="C137" s="65" t="s">
        <v>251</v>
      </c>
      <c r="D137" s="65">
        <v>48</v>
      </c>
      <c r="E137" s="65" t="s">
        <v>1988</v>
      </c>
      <c r="F137" s="65" t="s">
        <v>1996</v>
      </c>
      <c r="G137" s="65" t="s">
        <v>1990</v>
      </c>
      <c r="H137" s="65" t="s">
        <v>1991</v>
      </c>
    </row>
    <row r="138" spans="1:8" ht="12.5" x14ac:dyDescent="0.25">
      <c r="A138" s="93" t="s">
        <v>1480</v>
      </c>
      <c r="B138" s="65" t="s">
        <v>1481</v>
      </c>
      <c r="C138" s="65" t="s">
        <v>251</v>
      </c>
      <c r="D138" s="65">
        <v>239</v>
      </c>
      <c r="E138" s="65" t="s">
        <v>1988</v>
      </c>
      <c r="F138" s="65" t="s">
        <v>2006</v>
      </c>
      <c r="G138" s="65" t="s">
        <v>1990</v>
      </c>
      <c r="H138" s="65" t="s">
        <v>1991</v>
      </c>
    </row>
    <row r="139" spans="1:8" ht="12.5" x14ac:dyDescent="0.25">
      <c r="A139" s="93" t="s">
        <v>1474</v>
      </c>
      <c r="B139" s="65" t="s">
        <v>1475</v>
      </c>
      <c r="C139" s="65" t="s">
        <v>251</v>
      </c>
      <c r="D139" s="65">
        <v>140</v>
      </c>
      <c r="E139" s="65" t="s">
        <v>1988</v>
      </c>
      <c r="F139" s="65" t="s">
        <v>2006</v>
      </c>
      <c r="G139" s="65" t="s">
        <v>1990</v>
      </c>
      <c r="H139" s="65" t="s">
        <v>1991</v>
      </c>
    </row>
    <row r="140" spans="1:8" ht="12.5" x14ac:dyDescent="0.25">
      <c r="A140" s="93" t="s">
        <v>1566</v>
      </c>
      <c r="B140" s="65" t="s">
        <v>1567</v>
      </c>
      <c r="C140" s="65" t="s">
        <v>251</v>
      </c>
      <c r="D140" s="65">
        <v>276</v>
      </c>
      <c r="E140" s="65" t="s">
        <v>1988</v>
      </c>
      <c r="F140" s="65" t="s">
        <v>2007</v>
      </c>
      <c r="G140" s="65" t="s">
        <v>1990</v>
      </c>
      <c r="H140" s="65" t="s">
        <v>1991</v>
      </c>
    </row>
    <row r="141" spans="1:8" ht="12.5" x14ac:dyDescent="0.25">
      <c r="A141" s="93" t="s">
        <v>1555</v>
      </c>
      <c r="B141" s="65" t="s">
        <v>1556</v>
      </c>
      <c r="C141" s="65" t="s">
        <v>251</v>
      </c>
      <c r="D141" s="65">
        <v>58</v>
      </c>
      <c r="E141" s="65" t="s">
        <v>1988</v>
      </c>
      <c r="F141" s="65" t="s">
        <v>2007</v>
      </c>
      <c r="G141" s="65" t="s">
        <v>1990</v>
      </c>
      <c r="H141" s="65" t="s">
        <v>1991</v>
      </c>
    </row>
    <row r="142" spans="1:8" ht="12.5" x14ac:dyDescent="0.25">
      <c r="A142" s="93" t="s">
        <v>321</v>
      </c>
      <c r="B142" s="65" t="s">
        <v>322</v>
      </c>
      <c r="C142" s="65" t="s">
        <v>251</v>
      </c>
      <c r="D142" s="65">
        <v>419</v>
      </c>
      <c r="E142" s="65" t="s">
        <v>1988</v>
      </c>
      <c r="F142" s="65" t="s">
        <v>1989</v>
      </c>
      <c r="G142" s="65" t="s">
        <v>1990</v>
      </c>
      <c r="H142" s="65" t="s">
        <v>1991</v>
      </c>
    </row>
    <row r="143" spans="1:8" ht="12.5" x14ac:dyDescent="0.25">
      <c r="A143" s="93" t="s">
        <v>252</v>
      </c>
      <c r="B143" s="65" t="s">
        <v>253</v>
      </c>
      <c r="C143" s="65" t="s">
        <v>251</v>
      </c>
      <c r="D143" s="65">
        <v>8</v>
      </c>
      <c r="E143" s="65" t="s">
        <v>1988</v>
      </c>
      <c r="F143" s="65" t="s">
        <v>1989</v>
      </c>
      <c r="G143" s="65" t="s">
        <v>1990</v>
      </c>
      <c r="H143" s="65" t="s">
        <v>1991</v>
      </c>
    </row>
    <row r="144" spans="1:8" ht="12.5" x14ac:dyDescent="0.25">
      <c r="A144" s="93" t="s">
        <v>609</v>
      </c>
      <c r="B144" s="65" t="s">
        <v>610</v>
      </c>
      <c r="C144" s="65" t="s">
        <v>251</v>
      </c>
      <c r="D144" s="65">
        <v>368</v>
      </c>
      <c r="E144" s="65" t="s">
        <v>1988</v>
      </c>
      <c r="F144" s="65" t="s">
        <v>1994</v>
      </c>
      <c r="G144" s="65" t="s">
        <v>1990</v>
      </c>
      <c r="H144" s="65" t="s">
        <v>1991</v>
      </c>
    </row>
    <row r="145" spans="1:8" ht="12.5" x14ac:dyDescent="0.25">
      <c r="A145" s="93" t="s">
        <v>591</v>
      </c>
      <c r="B145" s="65" t="s">
        <v>592</v>
      </c>
      <c r="C145" s="65" t="s">
        <v>251</v>
      </c>
      <c r="D145" s="65">
        <v>113</v>
      </c>
      <c r="E145" s="65" t="s">
        <v>1988</v>
      </c>
      <c r="F145" s="65" t="s">
        <v>1994</v>
      </c>
      <c r="G145" s="65" t="s">
        <v>1990</v>
      </c>
      <c r="H145" s="65" t="s">
        <v>1991</v>
      </c>
    </row>
    <row r="146" spans="1:8" ht="12.5" x14ac:dyDescent="0.25">
      <c r="A146" s="93" t="s">
        <v>584</v>
      </c>
      <c r="B146" s="65" t="s">
        <v>585</v>
      </c>
      <c r="C146" s="65" t="s">
        <v>251</v>
      </c>
      <c r="D146" s="65">
        <v>37</v>
      </c>
      <c r="E146" s="65" t="s">
        <v>1988</v>
      </c>
      <c r="F146" s="65" t="s">
        <v>1994</v>
      </c>
      <c r="G146" s="65" t="s">
        <v>1990</v>
      </c>
      <c r="H146" s="65" t="s">
        <v>1991</v>
      </c>
    </row>
    <row r="147" spans="1:8" ht="12.5" x14ac:dyDescent="0.25">
      <c r="A147" s="93" t="s">
        <v>595</v>
      </c>
      <c r="B147" s="65" t="s">
        <v>596</v>
      </c>
      <c r="C147" s="65" t="s">
        <v>251</v>
      </c>
      <c r="D147" s="65">
        <v>59</v>
      </c>
      <c r="E147" s="65" t="s">
        <v>1988</v>
      </c>
      <c r="F147" s="65" t="s">
        <v>1994</v>
      </c>
      <c r="G147" s="65" t="s">
        <v>1990</v>
      </c>
      <c r="H147" s="65" t="s">
        <v>1991</v>
      </c>
    </row>
    <row r="148" spans="1:8" ht="12.5" x14ac:dyDescent="0.25">
      <c r="A148" s="93" t="s">
        <v>626</v>
      </c>
      <c r="B148" s="65" t="s">
        <v>627</v>
      </c>
      <c r="C148" s="65" t="s">
        <v>251</v>
      </c>
      <c r="D148" s="65">
        <v>132</v>
      </c>
      <c r="E148" s="65" t="s">
        <v>1988</v>
      </c>
      <c r="F148" s="65" t="s">
        <v>1994</v>
      </c>
      <c r="G148" s="65" t="s">
        <v>1990</v>
      </c>
      <c r="H148" s="65" t="s">
        <v>1991</v>
      </c>
    </row>
    <row r="149" spans="1:8" ht="12.5" x14ac:dyDescent="0.25">
      <c r="A149" s="93" t="s">
        <v>1923</v>
      </c>
      <c r="B149" s="65" t="s">
        <v>1924</v>
      </c>
      <c r="C149" s="65" t="s">
        <v>251</v>
      </c>
      <c r="D149" s="65">
        <v>116</v>
      </c>
      <c r="E149" s="65" t="s">
        <v>1988</v>
      </c>
      <c r="F149" s="65" t="s">
        <v>1992</v>
      </c>
      <c r="G149" s="65" t="s">
        <v>1990</v>
      </c>
      <c r="H149" s="65" t="s">
        <v>1991</v>
      </c>
    </row>
    <row r="150" spans="1:8" ht="12.5" x14ac:dyDescent="0.25">
      <c r="A150" s="93" t="s">
        <v>1954</v>
      </c>
      <c r="B150" s="65" t="s">
        <v>1955</v>
      </c>
      <c r="C150" s="65" t="s">
        <v>251</v>
      </c>
      <c r="D150" s="65">
        <v>281</v>
      </c>
      <c r="E150" s="65" t="s">
        <v>1988</v>
      </c>
      <c r="F150" s="65" t="s">
        <v>1992</v>
      </c>
      <c r="G150" s="65" t="s">
        <v>1990</v>
      </c>
      <c r="H150" s="65" t="s">
        <v>1991</v>
      </c>
    </row>
    <row r="151" spans="1:8" ht="12.5" x14ac:dyDescent="0.25">
      <c r="A151" s="93" t="s">
        <v>1852</v>
      </c>
      <c r="B151" s="65" t="s">
        <v>1853</v>
      </c>
      <c r="C151" s="65" t="s">
        <v>251</v>
      </c>
      <c r="D151" s="65">
        <v>164</v>
      </c>
      <c r="E151" s="65" t="s">
        <v>1988</v>
      </c>
      <c r="F151" s="65" t="s">
        <v>1992</v>
      </c>
      <c r="G151" s="65" t="s">
        <v>1990</v>
      </c>
      <c r="H151" s="65" t="s">
        <v>1991</v>
      </c>
    </row>
    <row r="152" spans="1:8" ht="12.5" x14ac:dyDescent="0.25">
      <c r="A152" s="93" t="s">
        <v>1938</v>
      </c>
      <c r="B152" s="65" t="s">
        <v>1939</v>
      </c>
      <c r="C152" s="65" t="s">
        <v>251</v>
      </c>
      <c r="D152" s="65">
        <v>13</v>
      </c>
      <c r="E152" s="65" t="s">
        <v>1988</v>
      </c>
      <c r="F152" s="65" t="s">
        <v>1992</v>
      </c>
      <c r="G152" s="65" t="s">
        <v>1990</v>
      </c>
      <c r="H152" s="65" t="s">
        <v>1991</v>
      </c>
    </row>
    <row r="153" spans="1:8" ht="12.5" x14ac:dyDescent="0.25">
      <c r="A153" s="93" t="s">
        <v>1918</v>
      </c>
      <c r="B153" s="65" t="s">
        <v>1919</v>
      </c>
      <c r="C153" s="65" t="s">
        <v>251</v>
      </c>
      <c r="D153" s="65">
        <v>312</v>
      </c>
      <c r="E153" s="65" t="s">
        <v>1988</v>
      </c>
      <c r="F153" s="65" t="s">
        <v>1992</v>
      </c>
      <c r="G153" s="65" t="s">
        <v>1995</v>
      </c>
      <c r="H153" s="65" t="s">
        <v>1991</v>
      </c>
    </row>
    <row r="154" spans="1:8" ht="12.5" x14ac:dyDescent="0.25">
      <c r="A154" s="93" t="s">
        <v>1959</v>
      </c>
      <c r="B154" s="65" t="s">
        <v>1960</v>
      </c>
      <c r="C154" s="65" t="s">
        <v>251</v>
      </c>
      <c r="D154" s="65">
        <v>522</v>
      </c>
      <c r="E154" s="65" t="s">
        <v>1988</v>
      </c>
      <c r="F154" s="65" t="s">
        <v>1992</v>
      </c>
      <c r="G154" s="65" t="s">
        <v>1990</v>
      </c>
      <c r="H154" s="65" t="s">
        <v>1991</v>
      </c>
    </row>
    <row r="155" spans="1:8" ht="12.5" x14ac:dyDescent="0.25">
      <c r="A155" s="93" t="s">
        <v>1867</v>
      </c>
      <c r="B155" s="65" t="s">
        <v>1868</v>
      </c>
      <c r="C155" s="65" t="s">
        <v>251</v>
      </c>
      <c r="D155" s="65">
        <v>163</v>
      </c>
      <c r="E155" s="65" t="s">
        <v>1988</v>
      </c>
      <c r="F155" s="65" t="s">
        <v>1992</v>
      </c>
      <c r="G155" s="65" t="s">
        <v>1990</v>
      </c>
      <c r="H155" s="65" t="s">
        <v>1991</v>
      </c>
    </row>
    <row r="156" spans="1:8" ht="12.5" x14ac:dyDescent="0.25">
      <c r="A156" s="93" t="s">
        <v>1283</v>
      </c>
      <c r="B156" s="65" t="s">
        <v>1284</v>
      </c>
      <c r="C156" s="65" t="s">
        <v>251</v>
      </c>
      <c r="D156" s="65">
        <v>43</v>
      </c>
      <c r="E156" s="65" t="s">
        <v>1988</v>
      </c>
      <c r="F156" s="65" t="s">
        <v>1996</v>
      </c>
      <c r="G156" s="65" t="s">
        <v>1995</v>
      </c>
      <c r="H156" s="65" t="s">
        <v>1991</v>
      </c>
    </row>
    <row r="157" spans="1:8" ht="12.5" x14ac:dyDescent="0.25">
      <c r="A157" s="93" t="s">
        <v>1887</v>
      </c>
      <c r="B157" s="65" t="s">
        <v>1888</v>
      </c>
      <c r="C157" s="65" t="s">
        <v>251</v>
      </c>
      <c r="D157" s="65">
        <v>52</v>
      </c>
      <c r="E157" s="65" t="s">
        <v>1988</v>
      </c>
      <c r="F157" s="65" t="s">
        <v>1992</v>
      </c>
      <c r="G157" s="65" t="s">
        <v>1990</v>
      </c>
      <c r="H157" s="65" t="s">
        <v>1991</v>
      </c>
    </row>
    <row r="158" spans="1:8" ht="12.5" x14ac:dyDescent="0.25">
      <c r="A158" s="93" t="s">
        <v>1892</v>
      </c>
      <c r="B158" s="65" t="s">
        <v>1893</v>
      </c>
      <c r="C158" s="65" t="s">
        <v>251</v>
      </c>
      <c r="D158" s="65">
        <v>436</v>
      </c>
      <c r="E158" s="65" t="s">
        <v>1988</v>
      </c>
      <c r="F158" s="65" t="s">
        <v>1992</v>
      </c>
      <c r="G158" s="65" t="s">
        <v>1990</v>
      </c>
      <c r="H158" s="65" t="s">
        <v>1991</v>
      </c>
    </row>
    <row r="159" spans="1:8" ht="12.5" x14ac:dyDescent="0.25">
      <c r="A159" s="93" t="s">
        <v>1882</v>
      </c>
      <c r="B159" s="65" t="s">
        <v>1883</v>
      </c>
      <c r="C159" s="65" t="s">
        <v>251</v>
      </c>
      <c r="D159" s="65">
        <v>83</v>
      </c>
      <c r="E159" s="65" t="s">
        <v>1988</v>
      </c>
      <c r="F159" s="65" t="s">
        <v>1992</v>
      </c>
      <c r="G159" s="65" t="s">
        <v>1990</v>
      </c>
      <c r="H159" s="65" t="s">
        <v>1991</v>
      </c>
    </row>
    <row r="160" spans="1:8" ht="12.5" x14ac:dyDescent="0.25">
      <c r="A160" s="93" t="s">
        <v>1943</v>
      </c>
      <c r="B160" s="65" t="s">
        <v>1944</v>
      </c>
      <c r="C160" s="65" t="s">
        <v>251</v>
      </c>
      <c r="D160" s="65">
        <v>39</v>
      </c>
      <c r="E160" s="65" t="s">
        <v>1988</v>
      </c>
      <c r="F160" s="65" t="s">
        <v>1992</v>
      </c>
      <c r="G160" s="65" t="s">
        <v>1990</v>
      </c>
      <c r="H160" s="65" t="s">
        <v>1991</v>
      </c>
    </row>
    <row r="161" spans="1:8" ht="12.5" x14ac:dyDescent="0.25">
      <c r="A161" s="93" t="s">
        <v>1842</v>
      </c>
      <c r="B161" s="65" t="s">
        <v>1843</v>
      </c>
      <c r="C161" s="65" t="s">
        <v>251</v>
      </c>
      <c r="D161" s="65">
        <v>54</v>
      </c>
      <c r="E161" s="65" t="s">
        <v>1988</v>
      </c>
      <c r="F161" s="65" t="s">
        <v>1992</v>
      </c>
      <c r="G161" s="65" t="s">
        <v>1990</v>
      </c>
      <c r="H161" s="65" t="s">
        <v>1991</v>
      </c>
    </row>
    <row r="162" spans="1:8" ht="12.5" x14ac:dyDescent="0.25">
      <c r="A162" s="93" t="s">
        <v>720</v>
      </c>
      <c r="B162" s="65" t="s">
        <v>721</v>
      </c>
      <c r="C162" s="65" t="s">
        <v>251</v>
      </c>
      <c r="D162" s="65">
        <v>89</v>
      </c>
      <c r="E162" s="65" t="s">
        <v>1988</v>
      </c>
      <c r="F162" s="65" t="s">
        <v>2005</v>
      </c>
      <c r="G162" s="65" t="s">
        <v>1990</v>
      </c>
      <c r="H162" s="65" t="s">
        <v>1991</v>
      </c>
    </row>
    <row r="163" spans="1:8" ht="12.5" x14ac:dyDescent="0.25">
      <c r="A163" s="93" t="s">
        <v>1089</v>
      </c>
      <c r="B163" s="65" t="s">
        <v>1090</v>
      </c>
      <c r="C163" s="65" t="s">
        <v>251</v>
      </c>
      <c r="D163" s="65">
        <v>320</v>
      </c>
      <c r="E163" s="65" t="s">
        <v>1988</v>
      </c>
      <c r="F163" s="65" t="s">
        <v>1993</v>
      </c>
      <c r="G163" s="65" t="s">
        <v>1990</v>
      </c>
      <c r="H163" s="65" t="s">
        <v>1991</v>
      </c>
    </row>
    <row r="164" spans="1:8" ht="12.5" x14ac:dyDescent="0.25">
      <c r="A164" s="93" t="s">
        <v>289</v>
      </c>
      <c r="B164" s="65" t="s">
        <v>290</v>
      </c>
      <c r="C164" s="65" t="s">
        <v>251</v>
      </c>
      <c r="D164" s="65">
        <v>421</v>
      </c>
      <c r="E164" s="65" t="s">
        <v>1988</v>
      </c>
      <c r="F164" s="65" t="s">
        <v>1989</v>
      </c>
      <c r="G164" s="65" t="s">
        <v>1990</v>
      </c>
      <c r="H164" s="65" t="s">
        <v>1991</v>
      </c>
    </row>
    <row r="165" spans="1:8" ht="12.5" x14ac:dyDescent="0.25">
      <c r="A165" s="93" t="s">
        <v>341</v>
      </c>
      <c r="B165" s="65" t="s">
        <v>342</v>
      </c>
      <c r="C165" s="65" t="s">
        <v>251</v>
      </c>
      <c r="D165" s="94">
        <v>879</v>
      </c>
      <c r="E165" s="65" t="s">
        <v>1988</v>
      </c>
      <c r="F165" s="65" t="s">
        <v>1989</v>
      </c>
      <c r="G165" s="65" t="s">
        <v>1990</v>
      </c>
      <c r="H165" s="65" t="s">
        <v>1991</v>
      </c>
    </row>
    <row r="166" spans="1:8" ht="12.5" x14ac:dyDescent="0.25">
      <c r="A166" s="93" t="s">
        <v>294</v>
      </c>
      <c r="B166" s="65" t="s">
        <v>295</v>
      </c>
      <c r="C166" s="65" t="s">
        <v>251</v>
      </c>
      <c r="D166" s="65">
        <v>597</v>
      </c>
      <c r="E166" s="65" t="s">
        <v>1988</v>
      </c>
      <c r="F166" s="65" t="s">
        <v>1989</v>
      </c>
      <c r="G166" s="65" t="s">
        <v>1990</v>
      </c>
      <c r="H166" s="65" t="s">
        <v>1991</v>
      </c>
    </row>
    <row r="167" spans="1:8" ht="12.5" x14ac:dyDescent="0.25">
      <c r="A167" s="93" t="s">
        <v>1964</v>
      </c>
      <c r="B167" s="65" t="s">
        <v>1965</v>
      </c>
      <c r="C167" s="65" t="s">
        <v>251</v>
      </c>
      <c r="D167" s="65">
        <v>75</v>
      </c>
      <c r="E167" s="65" t="s">
        <v>1988</v>
      </c>
      <c r="F167" s="65" t="s">
        <v>1992</v>
      </c>
      <c r="G167" s="65" t="s">
        <v>1990</v>
      </c>
      <c r="H167" s="65" t="s">
        <v>1991</v>
      </c>
    </row>
    <row r="168" spans="1:8" ht="12.5" x14ac:dyDescent="0.25">
      <c r="A168" s="93" t="s">
        <v>1008</v>
      </c>
      <c r="B168" s="65" t="s">
        <v>1009</v>
      </c>
      <c r="C168" s="65" t="s">
        <v>251</v>
      </c>
      <c r="D168" s="94">
        <v>1236</v>
      </c>
      <c r="E168" s="65" t="s">
        <v>1988</v>
      </c>
      <c r="F168" s="65" t="s">
        <v>1993</v>
      </c>
      <c r="G168" s="65" t="s">
        <v>1990</v>
      </c>
      <c r="H168" s="65" t="s">
        <v>1991</v>
      </c>
    </row>
    <row r="169" spans="1:8" ht="12.5" x14ac:dyDescent="0.25">
      <c r="A169" s="93" t="s">
        <v>306</v>
      </c>
      <c r="B169" s="65" t="s">
        <v>307</v>
      </c>
      <c r="C169" s="65" t="s">
        <v>251</v>
      </c>
      <c r="D169" s="65">
        <v>577</v>
      </c>
      <c r="E169" s="65" t="s">
        <v>1988</v>
      </c>
      <c r="F169" s="65" t="s">
        <v>1989</v>
      </c>
      <c r="G169" s="65" t="s">
        <v>1990</v>
      </c>
      <c r="H169" s="65" t="s">
        <v>1991</v>
      </c>
    </row>
    <row r="170" spans="1:8" ht="12.5" x14ac:dyDescent="0.25">
      <c r="A170" s="93" t="s">
        <v>316</v>
      </c>
      <c r="B170" s="65" t="s">
        <v>317</v>
      </c>
      <c r="C170" s="65" t="s">
        <v>251</v>
      </c>
      <c r="D170" s="94">
        <v>1596</v>
      </c>
      <c r="E170" s="65" t="s">
        <v>1988</v>
      </c>
      <c r="F170" s="65" t="s">
        <v>1989</v>
      </c>
      <c r="G170" s="65" t="s">
        <v>1990</v>
      </c>
      <c r="H170" s="65" t="s">
        <v>1991</v>
      </c>
    </row>
    <row r="171" spans="1:8" ht="12.5" x14ac:dyDescent="0.25">
      <c r="A171" s="93" t="s">
        <v>715</v>
      </c>
      <c r="B171" s="65" t="s">
        <v>716</v>
      </c>
      <c r="C171" s="65" t="s">
        <v>251</v>
      </c>
      <c r="D171" s="65">
        <v>348</v>
      </c>
      <c r="E171" s="65" t="s">
        <v>1988</v>
      </c>
      <c r="F171" s="65" t="s">
        <v>2005</v>
      </c>
      <c r="G171" s="65" t="s">
        <v>1990</v>
      </c>
      <c r="H171" s="65" t="s">
        <v>1991</v>
      </c>
    </row>
    <row r="172" spans="1:8" ht="12.5" x14ac:dyDescent="0.25">
      <c r="A172" s="93" t="s">
        <v>1862</v>
      </c>
      <c r="B172" s="65" t="s">
        <v>1863</v>
      </c>
      <c r="C172" s="65" t="s">
        <v>251</v>
      </c>
      <c r="D172" s="65">
        <v>32</v>
      </c>
      <c r="E172" s="65" t="s">
        <v>1988</v>
      </c>
      <c r="F172" s="65" t="s">
        <v>1992</v>
      </c>
      <c r="G172" s="65" t="s">
        <v>1990</v>
      </c>
      <c r="H172" s="65" t="s">
        <v>1991</v>
      </c>
    </row>
    <row r="173" spans="1:8" ht="12.5" x14ac:dyDescent="0.25">
      <c r="A173" s="93" t="s">
        <v>1872</v>
      </c>
      <c r="B173" s="65" t="s">
        <v>1873</v>
      </c>
      <c r="C173" s="65" t="s">
        <v>251</v>
      </c>
      <c r="D173" s="65">
        <v>514</v>
      </c>
      <c r="E173" s="65" t="s">
        <v>1988</v>
      </c>
      <c r="F173" s="65" t="s">
        <v>1992</v>
      </c>
      <c r="G173" s="65" t="s">
        <v>1990</v>
      </c>
      <c r="H173" s="65" t="s">
        <v>1991</v>
      </c>
    </row>
    <row r="174" spans="1:8" ht="12.5" x14ac:dyDescent="0.25">
      <c r="A174" s="93" t="s">
        <v>1897</v>
      </c>
      <c r="B174" s="65" t="s">
        <v>1898</v>
      </c>
      <c r="C174" s="65" t="s">
        <v>251</v>
      </c>
      <c r="D174" s="94">
        <v>1356</v>
      </c>
      <c r="E174" s="65" t="s">
        <v>1988</v>
      </c>
      <c r="F174" s="65" t="s">
        <v>1992</v>
      </c>
      <c r="G174" s="65" t="s">
        <v>1990</v>
      </c>
      <c r="H174" s="65" t="s">
        <v>1991</v>
      </c>
    </row>
    <row r="175" spans="1:8" ht="12.5" x14ac:dyDescent="0.25">
      <c r="A175" s="93" t="s">
        <v>1913</v>
      </c>
      <c r="B175" s="65" t="s">
        <v>1914</v>
      </c>
      <c r="C175" s="65" t="s">
        <v>251</v>
      </c>
      <c r="D175" s="65">
        <v>131</v>
      </c>
      <c r="E175" s="65" t="s">
        <v>1988</v>
      </c>
      <c r="F175" s="65" t="s">
        <v>1992</v>
      </c>
      <c r="G175" s="65" t="s">
        <v>1990</v>
      </c>
      <c r="H175" s="65" t="s">
        <v>1991</v>
      </c>
    </row>
    <row r="176" spans="1:8" ht="12.5" x14ac:dyDescent="0.25">
      <c r="A176" s="93" t="s">
        <v>486</v>
      </c>
      <c r="B176" s="65" t="s">
        <v>487</v>
      </c>
      <c r="C176" s="65" t="s">
        <v>251</v>
      </c>
      <c r="D176" s="65">
        <v>114</v>
      </c>
      <c r="E176" s="65" t="s">
        <v>1988</v>
      </c>
      <c r="F176" s="65" t="s">
        <v>2004</v>
      </c>
      <c r="G176" s="65" t="s">
        <v>1990</v>
      </c>
      <c r="H176" s="65" t="s">
        <v>1991</v>
      </c>
    </row>
    <row r="177" spans="1:8" ht="12.5" x14ac:dyDescent="0.25">
      <c r="A177" s="93" t="s">
        <v>1100</v>
      </c>
      <c r="B177" s="65" t="s">
        <v>1101</v>
      </c>
      <c r="C177" s="65" t="s">
        <v>251</v>
      </c>
      <c r="D177" s="65">
        <v>120</v>
      </c>
      <c r="E177" s="65" t="s">
        <v>1988</v>
      </c>
      <c r="F177" s="65" t="s">
        <v>1993</v>
      </c>
      <c r="G177" s="65" t="s">
        <v>1990</v>
      </c>
      <c r="H177" s="65" t="s">
        <v>1991</v>
      </c>
    </row>
    <row r="178" spans="1:8" ht="12.5" x14ac:dyDescent="0.25">
      <c r="A178" s="93" t="s">
        <v>1048</v>
      </c>
      <c r="B178" s="65" t="s">
        <v>1049</v>
      </c>
      <c r="C178" s="65" t="s">
        <v>251</v>
      </c>
      <c r="D178" s="65">
        <v>266</v>
      </c>
      <c r="E178" s="65" t="s">
        <v>1988</v>
      </c>
      <c r="F178" s="65" t="s">
        <v>1993</v>
      </c>
      <c r="G178" s="65" t="s">
        <v>1990</v>
      </c>
      <c r="H178" s="65" t="s">
        <v>1991</v>
      </c>
    </row>
    <row r="179" spans="1:8" ht="12.5" x14ac:dyDescent="0.25">
      <c r="A179" s="93" t="s">
        <v>1123</v>
      </c>
      <c r="B179" s="65" t="s">
        <v>1124</v>
      </c>
      <c r="C179" s="65" t="s">
        <v>251</v>
      </c>
      <c r="D179" s="65">
        <v>301</v>
      </c>
      <c r="E179" s="65" t="s">
        <v>1988</v>
      </c>
      <c r="F179" s="65" t="s">
        <v>1993</v>
      </c>
      <c r="G179" s="65" t="s">
        <v>1995</v>
      </c>
      <c r="H179" s="65" t="s">
        <v>1991</v>
      </c>
    </row>
    <row r="180" spans="1:8" ht="12.5" x14ac:dyDescent="0.25">
      <c r="A180" s="93" t="s">
        <v>1043</v>
      </c>
      <c r="B180" s="65" t="s">
        <v>1044</v>
      </c>
      <c r="C180" s="65" t="s">
        <v>251</v>
      </c>
      <c r="D180" s="65">
        <v>317</v>
      </c>
      <c r="E180" s="65" t="s">
        <v>1988</v>
      </c>
      <c r="F180" s="65" t="s">
        <v>1993</v>
      </c>
      <c r="G180" s="65" t="s">
        <v>1990</v>
      </c>
      <c r="H180" s="65" t="s">
        <v>1991</v>
      </c>
    </row>
    <row r="181" spans="1:8" ht="12.5" x14ac:dyDescent="0.25">
      <c r="A181" s="93" t="s">
        <v>1114</v>
      </c>
      <c r="B181" s="65" t="s">
        <v>1115</v>
      </c>
      <c r="C181" s="65" t="s">
        <v>251</v>
      </c>
      <c r="D181" s="65">
        <v>171</v>
      </c>
      <c r="E181" s="65" t="s">
        <v>1988</v>
      </c>
      <c r="F181" s="65" t="s">
        <v>1993</v>
      </c>
      <c r="G181" s="65" t="s">
        <v>1990</v>
      </c>
      <c r="H181" s="65" t="s">
        <v>1991</v>
      </c>
    </row>
    <row r="182" spans="1:8" ht="12.5" x14ac:dyDescent="0.25">
      <c r="A182" s="93" t="s">
        <v>1255</v>
      </c>
      <c r="B182" s="65" t="s">
        <v>1256</v>
      </c>
      <c r="C182" s="65" t="s">
        <v>251</v>
      </c>
      <c r="D182" s="65">
        <v>289</v>
      </c>
      <c r="E182" s="65" t="s">
        <v>1988</v>
      </c>
      <c r="F182" s="65" t="s">
        <v>1996</v>
      </c>
      <c r="G182" s="65" t="s">
        <v>1990</v>
      </c>
      <c r="H182" s="65" t="s">
        <v>1991</v>
      </c>
    </row>
    <row r="183" spans="1:8" ht="12.5" x14ac:dyDescent="0.25">
      <c r="A183" s="93" t="s">
        <v>1269</v>
      </c>
      <c r="B183" s="65" t="s">
        <v>1270</v>
      </c>
      <c r="C183" s="65" t="s">
        <v>251</v>
      </c>
      <c r="D183" s="65">
        <v>745</v>
      </c>
      <c r="E183" s="65" t="s">
        <v>1988</v>
      </c>
      <c r="F183" s="65" t="s">
        <v>1996</v>
      </c>
      <c r="G183" s="65" t="s">
        <v>1990</v>
      </c>
      <c r="H183" s="65" t="s">
        <v>1991</v>
      </c>
    </row>
    <row r="184" spans="1:8" ht="12.5" x14ac:dyDescent="0.25">
      <c r="A184" s="93" t="s">
        <v>1289</v>
      </c>
      <c r="B184" s="65" t="s">
        <v>1290</v>
      </c>
      <c r="C184" s="65" t="s">
        <v>251</v>
      </c>
      <c r="D184" s="65">
        <v>154</v>
      </c>
      <c r="E184" s="65" t="s">
        <v>1988</v>
      </c>
      <c r="F184" s="65" t="s">
        <v>1996</v>
      </c>
      <c r="G184" s="65" t="s">
        <v>1990</v>
      </c>
      <c r="H184" s="65" t="s">
        <v>1991</v>
      </c>
    </row>
    <row r="185" spans="1:8" ht="12.5" x14ac:dyDescent="0.25">
      <c r="A185" s="93" t="s">
        <v>1234</v>
      </c>
      <c r="B185" s="65" t="s">
        <v>1235</v>
      </c>
      <c r="C185" s="65" t="s">
        <v>251</v>
      </c>
      <c r="D185" s="65">
        <v>103</v>
      </c>
      <c r="E185" s="65" t="s">
        <v>1988</v>
      </c>
      <c r="F185" s="65" t="s">
        <v>1996</v>
      </c>
      <c r="G185" s="65" t="s">
        <v>1990</v>
      </c>
      <c r="H185" s="65" t="s">
        <v>1991</v>
      </c>
    </row>
    <row r="186" spans="1:8" ht="12.5" x14ac:dyDescent="0.25">
      <c r="A186" s="93" t="s">
        <v>1262</v>
      </c>
      <c r="B186" s="65" t="s">
        <v>1263</v>
      </c>
      <c r="C186" s="65" t="s">
        <v>251</v>
      </c>
      <c r="D186" s="65">
        <v>213</v>
      </c>
      <c r="E186" s="65" t="s">
        <v>1988</v>
      </c>
      <c r="F186" s="65" t="s">
        <v>1996</v>
      </c>
      <c r="G186" s="65" t="s">
        <v>1990</v>
      </c>
      <c r="H186" s="65" t="s">
        <v>1991</v>
      </c>
    </row>
    <row r="187" spans="1:8" ht="12.5" x14ac:dyDescent="0.25">
      <c r="A187" s="93" t="s">
        <v>1276</v>
      </c>
      <c r="B187" s="65" t="s">
        <v>1277</v>
      </c>
      <c r="C187" s="65" t="s">
        <v>251</v>
      </c>
      <c r="D187" s="65">
        <v>278</v>
      </c>
      <c r="E187" s="65" t="s">
        <v>1988</v>
      </c>
      <c r="F187" s="65" t="s">
        <v>1996</v>
      </c>
      <c r="G187" s="65" t="s">
        <v>1995</v>
      </c>
      <c r="H187" s="65" t="s">
        <v>1991</v>
      </c>
    </row>
    <row r="188" spans="1:8" ht="12.5" x14ac:dyDescent="0.25">
      <c r="A188" s="93" t="s">
        <v>1228</v>
      </c>
      <c r="B188" s="65" t="s">
        <v>1229</v>
      </c>
      <c r="C188" s="65" t="s">
        <v>251</v>
      </c>
      <c r="D188" s="65">
        <v>38</v>
      </c>
      <c r="E188" s="65" t="s">
        <v>1988</v>
      </c>
      <c r="F188" s="65" t="s">
        <v>1996</v>
      </c>
      <c r="G188" s="65" t="s">
        <v>1990</v>
      </c>
      <c r="H188" s="65" t="s">
        <v>1991</v>
      </c>
    </row>
    <row r="189" spans="1:8" ht="12.5" x14ac:dyDescent="0.25">
      <c r="A189" s="93" t="s">
        <v>1462</v>
      </c>
      <c r="B189" s="65" t="s">
        <v>1463</v>
      </c>
      <c r="C189" s="65" t="s">
        <v>251</v>
      </c>
      <c r="D189" s="65">
        <v>164</v>
      </c>
      <c r="E189" s="65" t="s">
        <v>1988</v>
      </c>
      <c r="F189" s="65" t="s">
        <v>2006</v>
      </c>
      <c r="G189" s="65" t="s">
        <v>1990</v>
      </c>
      <c r="H189" s="65" t="s">
        <v>1991</v>
      </c>
    </row>
    <row r="190" spans="1:8" ht="12.5" x14ac:dyDescent="0.25">
      <c r="A190" s="93" t="s">
        <v>1447</v>
      </c>
      <c r="B190" s="65" t="s">
        <v>1448</v>
      </c>
      <c r="C190" s="65" t="s">
        <v>251</v>
      </c>
      <c r="D190" s="65">
        <v>28</v>
      </c>
      <c r="E190" s="65" t="s">
        <v>1988</v>
      </c>
      <c r="F190" s="65" t="s">
        <v>2006</v>
      </c>
      <c r="G190" s="65" t="s">
        <v>1990</v>
      </c>
      <c r="H190" s="65" t="s">
        <v>1991</v>
      </c>
    </row>
    <row r="191" spans="1:8" ht="12.5" x14ac:dyDescent="0.25">
      <c r="A191" s="93" t="s">
        <v>1469</v>
      </c>
      <c r="B191" s="65" t="s">
        <v>1470</v>
      </c>
      <c r="C191" s="65" t="s">
        <v>251</v>
      </c>
      <c r="D191" s="65">
        <v>672</v>
      </c>
      <c r="E191" s="65" t="s">
        <v>1988</v>
      </c>
      <c r="F191" s="65" t="s">
        <v>2006</v>
      </c>
      <c r="G191" s="65" t="s">
        <v>1990</v>
      </c>
      <c r="H191" s="65" t="s">
        <v>1991</v>
      </c>
    </row>
    <row r="192" spans="1:8" ht="12.5" x14ac:dyDescent="0.25">
      <c r="A192" s="93" t="s">
        <v>1454</v>
      </c>
      <c r="B192" s="65" t="s">
        <v>1455</v>
      </c>
      <c r="C192" s="65" t="s">
        <v>251</v>
      </c>
      <c r="D192" s="65">
        <v>144</v>
      </c>
      <c r="E192" s="65" t="s">
        <v>1988</v>
      </c>
      <c r="F192" s="65" t="s">
        <v>2006</v>
      </c>
      <c r="G192" s="65" t="s">
        <v>1990</v>
      </c>
      <c r="H192" s="65" t="s">
        <v>1991</v>
      </c>
    </row>
    <row r="193" spans="1:8" ht="12.5" x14ac:dyDescent="0.25">
      <c r="A193" s="93" t="s">
        <v>1543</v>
      </c>
      <c r="B193" s="65" t="s">
        <v>1544</v>
      </c>
      <c r="C193" s="65" t="s">
        <v>251</v>
      </c>
      <c r="D193" s="65">
        <v>252</v>
      </c>
      <c r="E193" s="65" t="s">
        <v>1988</v>
      </c>
      <c r="F193" s="65" t="s">
        <v>2007</v>
      </c>
      <c r="G193" s="65" t="s">
        <v>1990</v>
      </c>
      <c r="H193" s="65" t="s">
        <v>1991</v>
      </c>
    </row>
    <row r="194" spans="1:8" ht="12.5" x14ac:dyDescent="0.25">
      <c r="A194" s="93" t="s">
        <v>1560</v>
      </c>
      <c r="B194" s="65" t="s">
        <v>1561</v>
      </c>
      <c r="C194" s="65" t="s">
        <v>251</v>
      </c>
      <c r="D194" s="65">
        <v>355</v>
      </c>
      <c r="E194" s="65" t="s">
        <v>1988</v>
      </c>
      <c r="F194" s="65" t="s">
        <v>2007</v>
      </c>
      <c r="G194" s="65" t="s">
        <v>1990</v>
      </c>
      <c r="H194" s="65" t="s">
        <v>1991</v>
      </c>
    </row>
    <row r="195" spans="1:8" ht="12.5" x14ac:dyDescent="0.25">
      <c r="A195" s="93" t="s">
        <v>311</v>
      </c>
      <c r="B195" s="65" t="s">
        <v>312</v>
      </c>
      <c r="C195" s="65" t="s">
        <v>251</v>
      </c>
      <c r="D195" s="65">
        <v>58</v>
      </c>
      <c r="E195" s="65" t="s">
        <v>1988</v>
      </c>
      <c r="F195" s="65" t="s">
        <v>1989</v>
      </c>
      <c r="G195" s="65" t="s">
        <v>1990</v>
      </c>
      <c r="H195" s="65" t="s">
        <v>1991</v>
      </c>
    </row>
    <row r="196" spans="1:8" ht="12.5" x14ac:dyDescent="0.25">
      <c r="A196" s="93" t="s">
        <v>351</v>
      </c>
      <c r="B196" s="65" t="s">
        <v>352</v>
      </c>
      <c r="C196" s="65" t="s">
        <v>251</v>
      </c>
      <c r="D196" s="94">
        <v>1000</v>
      </c>
      <c r="E196" s="65" t="s">
        <v>1988</v>
      </c>
      <c r="F196" s="65" t="s">
        <v>1989</v>
      </c>
      <c r="G196" s="65" t="s">
        <v>1990</v>
      </c>
      <c r="H196" s="65" t="s">
        <v>1991</v>
      </c>
    </row>
    <row r="197" spans="1:8" ht="12.5" x14ac:dyDescent="0.25">
      <c r="A197" s="93" t="s">
        <v>256</v>
      </c>
      <c r="B197" s="65" t="s">
        <v>257</v>
      </c>
      <c r="C197" s="65" t="s">
        <v>251</v>
      </c>
      <c r="D197" s="65">
        <v>267</v>
      </c>
      <c r="E197" s="65" t="s">
        <v>1988</v>
      </c>
      <c r="F197" s="65" t="s">
        <v>1989</v>
      </c>
      <c r="G197" s="65" t="s">
        <v>1990</v>
      </c>
      <c r="H197" s="65" t="s">
        <v>1991</v>
      </c>
    </row>
    <row r="198" spans="1:8" ht="12.5" x14ac:dyDescent="0.25">
      <c r="A198" s="93" t="s">
        <v>578</v>
      </c>
      <c r="B198" s="65" t="s">
        <v>579</v>
      </c>
      <c r="C198" s="65" t="s">
        <v>251</v>
      </c>
      <c r="D198" s="65">
        <v>104</v>
      </c>
      <c r="E198" s="65" t="s">
        <v>1988</v>
      </c>
      <c r="F198" s="65" t="s">
        <v>1994</v>
      </c>
      <c r="G198" s="65" t="s">
        <v>1990</v>
      </c>
      <c r="H198" s="65" t="s">
        <v>1991</v>
      </c>
    </row>
    <row r="199" spans="1:8" ht="12.5" x14ac:dyDescent="0.25">
      <c r="A199" s="93" t="s">
        <v>602</v>
      </c>
      <c r="B199" s="65" t="s">
        <v>603</v>
      </c>
      <c r="C199" s="65" t="s">
        <v>251</v>
      </c>
      <c r="D199" s="65">
        <v>64</v>
      </c>
      <c r="E199" s="65" t="s">
        <v>1988</v>
      </c>
      <c r="F199" s="65" t="s">
        <v>1994</v>
      </c>
      <c r="G199" s="65" t="s">
        <v>1990</v>
      </c>
      <c r="H199" s="65" t="s">
        <v>1991</v>
      </c>
    </row>
    <row r="200" spans="1:8" ht="12.5" x14ac:dyDescent="0.25">
      <c r="A200" s="93" t="s">
        <v>620</v>
      </c>
      <c r="B200" s="65" t="s">
        <v>621</v>
      </c>
      <c r="C200" s="65" t="s">
        <v>251</v>
      </c>
      <c r="D200" s="65">
        <v>148</v>
      </c>
      <c r="E200" s="65" t="s">
        <v>1988</v>
      </c>
      <c r="F200" s="65" t="s">
        <v>1994</v>
      </c>
      <c r="G200" s="65" t="s">
        <v>1990</v>
      </c>
      <c r="H200" s="65" t="s">
        <v>1991</v>
      </c>
    </row>
    <row r="201" spans="1:8" ht="12.5" x14ac:dyDescent="0.25">
      <c r="A201" s="93" t="s">
        <v>614</v>
      </c>
      <c r="B201" s="65" t="s">
        <v>615</v>
      </c>
      <c r="C201" s="65" t="s">
        <v>251</v>
      </c>
      <c r="D201" s="65">
        <v>360</v>
      </c>
      <c r="E201" s="65" t="s">
        <v>1988</v>
      </c>
      <c r="F201" s="65" t="s">
        <v>1994</v>
      </c>
      <c r="G201" s="65" t="s">
        <v>1990</v>
      </c>
      <c r="H201" s="65" t="s">
        <v>1991</v>
      </c>
    </row>
    <row r="202" spans="1:8" ht="12.5" x14ac:dyDescent="0.25">
      <c r="A202" s="93" t="s">
        <v>1857</v>
      </c>
      <c r="B202" s="65" t="s">
        <v>1858</v>
      </c>
      <c r="C202" s="65" t="s">
        <v>251</v>
      </c>
      <c r="D202" s="65">
        <v>10</v>
      </c>
      <c r="E202" s="65" t="s">
        <v>1988</v>
      </c>
      <c r="F202" s="65" t="s">
        <v>1992</v>
      </c>
      <c r="G202" s="65" t="s">
        <v>1990</v>
      </c>
      <c r="H202" s="65" t="s">
        <v>1991</v>
      </c>
    </row>
    <row r="203" spans="1:8" ht="12.5" x14ac:dyDescent="0.25">
      <c r="A203" s="93" t="s">
        <v>1908</v>
      </c>
      <c r="B203" s="65" t="s">
        <v>1909</v>
      </c>
      <c r="C203" s="65" t="s">
        <v>251</v>
      </c>
      <c r="D203" s="65">
        <v>195</v>
      </c>
      <c r="E203" s="65" t="s">
        <v>1988</v>
      </c>
      <c r="F203" s="65" t="s">
        <v>1992</v>
      </c>
      <c r="G203" s="65" t="s">
        <v>1990</v>
      </c>
      <c r="H203" s="65" t="s">
        <v>1991</v>
      </c>
    </row>
    <row r="204" spans="1:8" ht="12.5" x14ac:dyDescent="0.25">
      <c r="A204" s="93" t="s">
        <v>1933</v>
      </c>
      <c r="B204" s="65" t="s">
        <v>1934</v>
      </c>
      <c r="C204" s="65" t="s">
        <v>251</v>
      </c>
      <c r="D204" s="65">
        <v>39</v>
      </c>
      <c r="E204" s="65" t="s">
        <v>1988</v>
      </c>
      <c r="F204" s="65" t="s">
        <v>1992</v>
      </c>
      <c r="G204" s="65" t="s">
        <v>1990</v>
      </c>
      <c r="H204" s="65" t="s">
        <v>1991</v>
      </c>
    </row>
    <row r="205" spans="1:8" ht="12.5" x14ac:dyDescent="0.25">
      <c r="A205" s="93" t="s">
        <v>1948</v>
      </c>
      <c r="B205" s="65" t="s">
        <v>1949</v>
      </c>
      <c r="C205" s="65" t="s">
        <v>251</v>
      </c>
      <c r="D205" s="65">
        <v>61</v>
      </c>
      <c r="E205" s="65" t="s">
        <v>1988</v>
      </c>
      <c r="F205" s="65" t="s">
        <v>1992</v>
      </c>
      <c r="G205" s="65" t="s">
        <v>1990</v>
      </c>
      <c r="H205" s="65" t="s">
        <v>1991</v>
      </c>
    </row>
    <row r="206" spans="1:8" ht="12.5" x14ac:dyDescent="0.25">
      <c r="A206" s="93" t="s">
        <v>696</v>
      </c>
      <c r="B206" s="65" t="s">
        <v>697</v>
      </c>
      <c r="C206" s="65" t="s">
        <v>251</v>
      </c>
      <c r="D206" s="65">
        <v>19</v>
      </c>
      <c r="E206" s="65" t="s">
        <v>1988</v>
      </c>
      <c r="F206" s="65" t="s">
        <v>2005</v>
      </c>
      <c r="G206" s="65" t="s">
        <v>1990</v>
      </c>
      <c r="H206" s="65" t="s">
        <v>1991</v>
      </c>
    </row>
    <row r="207" spans="1:8" ht="12.5" x14ac:dyDescent="0.25">
      <c r="A207" s="93" t="s">
        <v>1013</v>
      </c>
      <c r="B207" s="65" t="s">
        <v>1014</v>
      </c>
      <c r="C207" s="65" t="s">
        <v>251</v>
      </c>
      <c r="D207" s="65">
        <v>31</v>
      </c>
      <c r="E207" s="65" t="s">
        <v>1988</v>
      </c>
      <c r="F207" s="65" t="s">
        <v>1993</v>
      </c>
      <c r="G207" s="65" t="s">
        <v>1990</v>
      </c>
      <c r="H207" s="65" t="s">
        <v>1991</v>
      </c>
    </row>
    <row r="208" spans="1:8" ht="12.5" x14ac:dyDescent="0.25">
      <c r="A208" s="93" t="s">
        <v>689</v>
      </c>
      <c r="B208" s="65" t="s">
        <v>690</v>
      </c>
      <c r="C208" s="65" t="s">
        <v>251</v>
      </c>
      <c r="D208" s="65">
        <v>17</v>
      </c>
      <c r="E208" s="65" t="s">
        <v>1988</v>
      </c>
      <c r="F208" s="65" t="s">
        <v>2005</v>
      </c>
      <c r="G208" s="65" t="s">
        <v>1990</v>
      </c>
      <c r="H208" s="65" t="s">
        <v>1991</v>
      </c>
    </row>
    <row r="209" spans="1:8" ht="12.5" x14ac:dyDescent="0.25">
      <c r="A209" s="93" t="s">
        <v>1877</v>
      </c>
      <c r="B209" s="65" t="s">
        <v>1878</v>
      </c>
      <c r="C209" s="65" t="s">
        <v>251</v>
      </c>
      <c r="D209" s="65">
        <v>49</v>
      </c>
      <c r="E209" s="65" t="s">
        <v>1988</v>
      </c>
      <c r="F209" s="65" t="s">
        <v>1992</v>
      </c>
      <c r="G209" s="65" t="s">
        <v>1990</v>
      </c>
      <c r="H209" s="65" t="s">
        <v>1991</v>
      </c>
    </row>
    <row r="210" spans="1:8" ht="12.5" x14ac:dyDescent="0.25">
      <c r="A210" s="93" t="s">
        <v>1970</v>
      </c>
      <c r="B210" s="65" t="s">
        <v>1971</v>
      </c>
      <c r="C210" s="65" t="s">
        <v>251</v>
      </c>
      <c r="D210" s="65">
        <v>78</v>
      </c>
      <c r="E210" s="65" t="s">
        <v>1988</v>
      </c>
      <c r="F210" s="65" t="s">
        <v>1992</v>
      </c>
      <c r="G210" s="65" t="s">
        <v>1990</v>
      </c>
      <c r="H210" s="65" t="s">
        <v>1991</v>
      </c>
    </row>
    <row r="211" spans="1:8" ht="12.5" x14ac:dyDescent="0.25">
      <c r="A211" s="93" t="s">
        <v>1314</v>
      </c>
      <c r="B211" s="65" t="s">
        <v>1315</v>
      </c>
      <c r="C211" s="65" t="s">
        <v>251</v>
      </c>
      <c r="D211" s="65">
        <v>65</v>
      </c>
      <c r="E211" s="65" t="s">
        <v>1988</v>
      </c>
      <c r="F211" s="65" t="s">
        <v>2010</v>
      </c>
      <c r="G211" s="65" t="s">
        <v>1990</v>
      </c>
      <c r="H211" s="65" t="s">
        <v>1991</v>
      </c>
    </row>
    <row r="212" spans="1:8" ht="12.5" x14ac:dyDescent="0.25">
      <c r="A212" s="93" t="s">
        <v>336</v>
      </c>
      <c r="B212" s="65" t="s">
        <v>337</v>
      </c>
      <c r="C212" s="65" t="s">
        <v>251</v>
      </c>
      <c r="D212" s="65">
        <v>111</v>
      </c>
      <c r="E212" s="65" t="s">
        <v>1988</v>
      </c>
      <c r="F212" s="65" t="s">
        <v>1989</v>
      </c>
      <c r="G212" s="65" t="s">
        <v>1990</v>
      </c>
      <c r="H212" s="65" t="s">
        <v>1991</v>
      </c>
    </row>
    <row r="213" spans="1:8" ht="12.5" x14ac:dyDescent="0.25">
      <c r="A213" s="93" t="s">
        <v>356</v>
      </c>
      <c r="B213" s="65" t="s">
        <v>357</v>
      </c>
      <c r="C213" s="65" t="s">
        <v>251</v>
      </c>
      <c r="D213" s="65">
        <v>280</v>
      </c>
      <c r="E213" s="65" t="s">
        <v>1988</v>
      </c>
      <c r="F213" s="65" t="s">
        <v>1989</v>
      </c>
      <c r="G213" s="65" t="s">
        <v>1990</v>
      </c>
      <c r="H213" s="65" t="s">
        <v>1991</v>
      </c>
    </row>
    <row r="214" spans="1:8" ht="12.5" x14ac:dyDescent="0.25">
      <c r="A214" s="93" t="s">
        <v>346</v>
      </c>
      <c r="B214" s="65" t="s">
        <v>347</v>
      </c>
      <c r="C214" s="65" t="s">
        <v>251</v>
      </c>
      <c r="D214" s="65">
        <v>508</v>
      </c>
      <c r="E214" s="65" t="s">
        <v>1988</v>
      </c>
      <c r="F214" s="65" t="s">
        <v>1989</v>
      </c>
      <c r="G214" s="65" t="s">
        <v>1990</v>
      </c>
      <c r="H214" s="65" t="s">
        <v>1991</v>
      </c>
    </row>
    <row r="215" spans="1:8" ht="12.5" x14ac:dyDescent="0.25">
      <c r="A215" s="93" t="s">
        <v>997</v>
      </c>
      <c r="B215" s="65" t="s">
        <v>998</v>
      </c>
      <c r="C215" s="65" t="s">
        <v>251</v>
      </c>
      <c r="D215" s="65">
        <v>57</v>
      </c>
      <c r="E215" s="65" t="s">
        <v>1988</v>
      </c>
      <c r="F215" s="65" t="s">
        <v>1993</v>
      </c>
      <c r="G215" s="65" t="s">
        <v>1990</v>
      </c>
      <c r="H215" s="65" t="s">
        <v>1991</v>
      </c>
    </row>
    <row r="216" spans="1:8" ht="12.5" x14ac:dyDescent="0.25">
      <c r="A216" s="93" t="s">
        <v>278</v>
      </c>
      <c r="B216" s="65" t="s">
        <v>279</v>
      </c>
      <c r="C216" s="65" t="s">
        <v>251</v>
      </c>
      <c r="D216" s="65">
        <v>313</v>
      </c>
      <c r="E216" s="65" t="s">
        <v>1988</v>
      </c>
      <c r="F216" s="65" t="s">
        <v>1989</v>
      </c>
      <c r="G216" s="65" t="s">
        <v>1995</v>
      </c>
      <c r="H216" s="65" t="s">
        <v>1991</v>
      </c>
    </row>
    <row r="217" spans="1:8" ht="12.5" x14ac:dyDescent="0.25">
      <c r="A217" s="93" t="s">
        <v>1085</v>
      </c>
      <c r="B217" s="65" t="s">
        <v>1086</v>
      </c>
      <c r="C217" s="65" t="s">
        <v>251</v>
      </c>
      <c r="D217" s="65">
        <v>318</v>
      </c>
      <c r="E217" s="65" t="s">
        <v>1988</v>
      </c>
      <c r="F217" s="65" t="s">
        <v>1993</v>
      </c>
      <c r="G217" s="65" t="s">
        <v>1990</v>
      </c>
      <c r="H217" s="65" t="s">
        <v>1991</v>
      </c>
    </row>
    <row r="218" spans="1:8" ht="12.5" x14ac:dyDescent="0.25">
      <c r="A218" s="93" t="s">
        <v>1080</v>
      </c>
      <c r="B218" s="65" t="s">
        <v>1081</v>
      </c>
      <c r="C218" s="65" t="s">
        <v>251</v>
      </c>
      <c r="D218" s="65">
        <v>16</v>
      </c>
      <c r="E218" s="65" t="s">
        <v>1988</v>
      </c>
      <c r="F218" s="65" t="s">
        <v>1993</v>
      </c>
      <c r="G218" s="65" t="s">
        <v>1990</v>
      </c>
      <c r="H218" s="65" t="s">
        <v>1991</v>
      </c>
    </row>
    <row r="219" spans="1:8" ht="12.5" x14ac:dyDescent="0.25">
      <c r="A219" s="93" t="s">
        <v>1033</v>
      </c>
      <c r="B219" s="65" t="s">
        <v>1034</v>
      </c>
      <c r="C219" s="65" t="s">
        <v>251</v>
      </c>
      <c r="D219" s="65">
        <v>658</v>
      </c>
      <c r="E219" s="65" t="s">
        <v>1988</v>
      </c>
      <c r="F219" s="65" t="s">
        <v>1993</v>
      </c>
      <c r="G219" s="65" t="s">
        <v>1990</v>
      </c>
      <c r="H219" s="65" t="s">
        <v>1991</v>
      </c>
    </row>
    <row r="220" spans="1:8" ht="12.5" x14ac:dyDescent="0.25">
      <c r="A220" s="93" t="s">
        <v>992</v>
      </c>
      <c r="B220" s="65" t="s">
        <v>993</v>
      </c>
      <c r="C220" s="65" t="s">
        <v>251</v>
      </c>
      <c r="D220" s="65">
        <v>24</v>
      </c>
      <c r="E220" s="65" t="s">
        <v>1988</v>
      </c>
      <c r="F220" s="65" t="s">
        <v>1993</v>
      </c>
      <c r="G220" s="65" t="s">
        <v>1990</v>
      </c>
      <c r="H220" s="65" t="s">
        <v>1991</v>
      </c>
    </row>
    <row r="221" spans="1:8" ht="12.5" x14ac:dyDescent="0.25">
      <c r="A221" s="93" t="s">
        <v>1069</v>
      </c>
      <c r="B221" s="65" t="s">
        <v>1070</v>
      </c>
      <c r="C221" s="65" t="s">
        <v>251</v>
      </c>
      <c r="D221" s="65">
        <v>227</v>
      </c>
      <c r="E221" s="65" t="s">
        <v>1988</v>
      </c>
      <c r="F221" s="65" t="s">
        <v>1993</v>
      </c>
      <c r="G221" s="65" t="s">
        <v>1990</v>
      </c>
      <c r="H221" s="65" t="s">
        <v>1991</v>
      </c>
    </row>
    <row r="222" spans="1:8" ht="12.5" x14ac:dyDescent="0.25">
      <c r="A222" s="93" t="s">
        <v>1248</v>
      </c>
      <c r="B222" s="65" t="s">
        <v>1249</v>
      </c>
      <c r="C222" s="65" t="s">
        <v>251</v>
      </c>
      <c r="D222" s="65">
        <v>305</v>
      </c>
      <c r="E222" s="65" t="s">
        <v>1988</v>
      </c>
      <c r="F222" s="65" t="s">
        <v>1996</v>
      </c>
      <c r="G222" s="65" t="s">
        <v>1990</v>
      </c>
      <c r="H222" s="65" t="s">
        <v>1991</v>
      </c>
    </row>
    <row r="223" spans="1:8" ht="12.5" x14ac:dyDescent="0.25">
      <c r="A223" s="93" t="s">
        <v>371</v>
      </c>
      <c r="B223" s="65" t="s">
        <v>372</v>
      </c>
      <c r="C223" s="65" t="s">
        <v>251</v>
      </c>
      <c r="D223" s="65">
        <v>73</v>
      </c>
      <c r="E223" s="65" t="s">
        <v>1988</v>
      </c>
      <c r="F223" s="65" t="s">
        <v>1989</v>
      </c>
      <c r="G223" s="65" t="s">
        <v>1990</v>
      </c>
      <c r="H223" s="65" t="s">
        <v>1991</v>
      </c>
    </row>
    <row r="224" spans="1:8" ht="12.5" x14ac:dyDescent="0.25">
      <c r="A224" s="93" t="s">
        <v>268</v>
      </c>
      <c r="B224" s="65" t="s">
        <v>269</v>
      </c>
      <c r="C224" s="65" t="s">
        <v>251</v>
      </c>
      <c r="D224" s="65">
        <v>278</v>
      </c>
      <c r="E224" s="65" t="s">
        <v>1988</v>
      </c>
      <c r="F224" s="65" t="s">
        <v>1989</v>
      </c>
      <c r="G224" s="65" t="s">
        <v>1990</v>
      </c>
      <c r="H224" s="65" t="s">
        <v>1991</v>
      </c>
    </row>
    <row r="225" spans="1:8" ht="12.5" x14ac:dyDescent="0.25">
      <c r="A225" s="93" t="s">
        <v>361</v>
      </c>
      <c r="B225" s="65" t="s">
        <v>362</v>
      </c>
      <c r="C225" s="65" t="s">
        <v>251</v>
      </c>
      <c r="D225" s="65">
        <v>45</v>
      </c>
      <c r="E225" s="65" t="s">
        <v>1988</v>
      </c>
      <c r="F225" s="65" t="s">
        <v>1989</v>
      </c>
      <c r="G225" s="65" t="s">
        <v>1990</v>
      </c>
      <c r="H225" s="65" t="s">
        <v>1991</v>
      </c>
    </row>
    <row r="226" spans="1:8" ht="12.5" x14ac:dyDescent="0.25">
      <c r="A226" s="93" t="s">
        <v>366</v>
      </c>
      <c r="B226" s="65" t="s">
        <v>367</v>
      </c>
      <c r="C226" s="65" t="s">
        <v>251</v>
      </c>
      <c r="D226" s="65">
        <v>712</v>
      </c>
      <c r="E226" s="65" t="s">
        <v>1988</v>
      </c>
      <c r="F226" s="65" t="s">
        <v>1989</v>
      </c>
      <c r="G226" s="65" t="s">
        <v>1990</v>
      </c>
      <c r="H226" s="65" t="s">
        <v>1991</v>
      </c>
    </row>
    <row r="227" spans="1:8" ht="12.5" x14ac:dyDescent="0.25">
      <c r="A227" s="93" t="s">
        <v>376</v>
      </c>
      <c r="B227" s="65" t="s">
        <v>377</v>
      </c>
      <c r="C227" s="65" t="s">
        <v>251</v>
      </c>
      <c r="D227" s="65">
        <v>63</v>
      </c>
      <c r="E227" s="65" t="s">
        <v>1988</v>
      </c>
      <c r="F227" s="65" t="s">
        <v>1989</v>
      </c>
      <c r="G227" s="65" t="s">
        <v>1990</v>
      </c>
      <c r="H227" s="65" t="s">
        <v>1991</v>
      </c>
    </row>
    <row r="228" spans="1:8" ht="12.5" x14ac:dyDescent="0.25">
      <c r="A228" s="93" t="s">
        <v>284</v>
      </c>
      <c r="B228" s="65" t="s">
        <v>285</v>
      </c>
      <c r="C228" s="65" t="s">
        <v>251</v>
      </c>
      <c r="D228" s="65">
        <v>95</v>
      </c>
      <c r="E228" s="65" t="s">
        <v>1988</v>
      </c>
      <c r="F228" s="65" t="s">
        <v>1989</v>
      </c>
      <c r="G228" s="65" t="s">
        <v>1990</v>
      </c>
      <c r="H228" s="65" t="s">
        <v>1991</v>
      </c>
    </row>
    <row r="229" spans="1:8" ht="12.5" x14ac:dyDescent="0.25">
      <c r="A229" s="93" t="s">
        <v>331</v>
      </c>
      <c r="B229" s="65" t="s">
        <v>332</v>
      </c>
      <c r="C229" s="65" t="s">
        <v>251</v>
      </c>
      <c r="D229" s="65">
        <v>34</v>
      </c>
      <c r="E229" s="65" t="s">
        <v>1988</v>
      </c>
      <c r="F229" s="65" t="s">
        <v>1989</v>
      </c>
      <c r="G229" s="65" t="s">
        <v>1990</v>
      </c>
      <c r="H229" s="65" t="s">
        <v>1991</v>
      </c>
    </row>
    <row r="230" spans="1:8" ht="12.5" x14ac:dyDescent="0.25">
      <c r="A230" s="93" t="s">
        <v>1847</v>
      </c>
      <c r="B230" s="65" t="s">
        <v>1848</v>
      </c>
      <c r="C230" s="65" t="s">
        <v>251</v>
      </c>
      <c r="D230" s="65">
        <v>96</v>
      </c>
      <c r="E230" s="65" t="s">
        <v>1988</v>
      </c>
      <c r="F230" s="65" t="s">
        <v>1992</v>
      </c>
      <c r="G230" s="65" t="s">
        <v>1990</v>
      </c>
      <c r="H230" s="65" t="s">
        <v>1991</v>
      </c>
    </row>
    <row r="231" spans="1:8" ht="12.5" x14ac:dyDescent="0.25">
      <c r="A231" s="93" t="s">
        <v>1928</v>
      </c>
      <c r="B231" s="65" t="s">
        <v>1929</v>
      </c>
      <c r="C231" s="65" t="s">
        <v>251</v>
      </c>
      <c r="D231" s="65">
        <v>22</v>
      </c>
      <c r="E231" s="65" t="s">
        <v>1988</v>
      </c>
      <c r="F231" s="65" t="s">
        <v>1992</v>
      </c>
      <c r="G231" s="65" t="s">
        <v>1990</v>
      </c>
      <c r="H231" s="65" t="s">
        <v>1991</v>
      </c>
    </row>
    <row r="232" spans="1:8" ht="12.5" x14ac:dyDescent="0.25">
      <c r="A232" s="93" t="s">
        <v>1903</v>
      </c>
      <c r="B232" s="65" t="s">
        <v>1904</v>
      </c>
      <c r="C232" s="65" t="s">
        <v>251</v>
      </c>
      <c r="D232" s="65">
        <v>98</v>
      </c>
      <c r="E232" s="65" t="s">
        <v>1988</v>
      </c>
      <c r="F232" s="65" t="s">
        <v>1992</v>
      </c>
      <c r="G232" s="65" t="s">
        <v>1990</v>
      </c>
      <c r="H232" s="65" t="s">
        <v>1991</v>
      </c>
    </row>
    <row r="233" spans="1:8" ht="12.5" x14ac:dyDescent="0.25">
      <c r="A233" s="93" t="s">
        <v>1128</v>
      </c>
      <c r="B233" s="65" t="s">
        <v>1129</v>
      </c>
      <c r="C233" s="65" t="s">
        <v>251</v>
      </c>
      <c r="D233" s="65">
        <v>143</v>
      </c>
      <c r="E233" s="65" t="s">
        <v>1988</v>
      </c>
      <c r="F233" s="65" t="s">
        <v>1993</v>
      </c>
      <c r="G233" s="65" t="s">
        <v>1990</v>
      </c>
      <c r="H233" s="65" t="s">
        <v>1991</v>
      </c>
    </row>
    <row r="234" spans="1:8" ht="12.5" x14ac:dyDescent="0.25">
      <c r="A234" s="93" t="s">
        <v>1018</v>
      </c>
      <c r="B234" s="65" t="s">
        <v>1019</v>
      </c>
      <c r="C234" s="65" t="s">
        <v>251</v>
      </c>
      <c r="D234" s="65">
        <v>30</v>
      </c>
      <c r="E234" s="65" t="s">
        <v>1988</v>
      </c>
      <c r="F234" s="65" t="s">
        <v>1993</v>
      </c>
      <c r="G234" s="65" t="s">
        <v>1990</v>
      </c>
      <c r="H234" s="65" t="s">
        <v>1991</v>
      </c>
    </row>
    <row r="235" spans="1:8" ht="12.5" x14ac:dyDescent="0.25">
      <c r="A235" s="93" t="s">
        <v>1037</v>
      </c>
      <c r="B235" s="65" t="s">
        <v>1038</v>
      </c>
      <c r="C235" s="65" t="s">
        <v>251</v>
      </c>
      <c r="D235" s="65">
        <v>344</v>
      </c>
      <c r="E235" s="65" t="s">
        <v>1988</v>
      </c>
      <c r="F235" s="65" t="s">
        <v>1993</v>
      </c>
      <c r="G235" s="65" t="s">
        <v>1990</v>
      </c>
      <c r="H235" s="65" t="s">
        <v>1991</v>
      </c>
    </row>
    <row r="236" spans="1:8" ht="12.5" x14ac:dyDescent="0.25">
      <c r="A236" s="93" t="s">
        <v>1550</v>
      </c>
      <c r="B236" s="65" t="s">
        <v>1551</v>
      </c>
      <c r="C236" s="65" t="s">
        <v>251</v>
      </c>
      <c r="D236" s="65">
        <v>99</v>
      </c>
      <c r="E236" s="65" t="s">
        <v>1988</v>
      </c>
      <c r="F236" s="65" t="s">
        <v>2007</v>
      </c>
      <c r="G236" s="65" t="s">
        <v>1990</v>
      </c>
      <c r="H236" s="65" t="s">
        <v>1991</v>
      </c>
    </row>
    <row r="237" spans="1:8" ht="12.5" x14ac:dyDescent="0.25">
      <c r="A237" s="93" t="s">
        <v>2025</v>
      </c>
      <c r="B237" s="65" t="s">
        <v>2026</v>
      </c>
      <c r="C237" s="65" t="s">
        <v>251</v>
      </c>
      <c r="D237" s="65">
        <v>298</v>
      </c>
      <c r="E237" s="65" t="s">
        <v>1988</v>
      </c>
      <c r="F237" s="65" t="s">
        <v>1993</v>
      </c>
      <c r="G237" s="65" t="s">
        <v>1999</v>
      </c>
      <c r="H237" s="65" t="s">
        <v>1999</v>
      </c>
    </row>
    <row r="238" spans="1:8" ht="12.5" x14ac:dyDescent="0.25">
      <c r="A238" s="93" t="s">
        <v>1053</v>
      </c>
      <c r="B238" s="65" t="s">
        <v>1054</v>
      </c>
      <c r="C238" s="65" t="s">
        <v>251</v>
      </c>
      <c r="D238" s="65">
        <v>803</v>
      </c>
      <c r="E238" s="65" t="s">
        <v>1988</v>
      </c>
      <c r="F238" s="65" t="s">
        <v>1993</v>
      </c>
      <c r="G238" s="65" t="s">
        <v>1990</v>
      </c>
      <c r="H238" s="65" t="s">
        <v>1991</v>
      </c>
    </row>
    <row r="239" spans="1:8" ht="12.5" x14ac:dyDescent="0.25">
      <c r="A239" s="93" t="s">
        <v>1119</v>
      </c>
      <c r="B239" s="65" t="s">
        <v>1120</v>
      </c>
      <c r="C239" s="65" t="s">
        <v>251</v>
      </c>
      <c r="D239" s="65">
        <v>29</v>
      </c>
      <c r="E239" s="65" t="s">
        <v>1988</v>
      </c>
      <c r="F239" s="65" t="s">
        <v>1993</v>
      </c>
      <c r="G239" s="65" t="s">
        <v>1990</v>
      </c>
      <c r="H239" s="65" t="s">
        <v>1991</v>
      </c>
    </row>
    <row r="240" spans="1:8" ht="12.5" x14ac:dyDescent="0.25">
      <c r="A240" s="93" t="s">
        <v>261</v>
      </c>
      <c r="B240" s="65" t="s">
        <v>262</v>
      </c>
      <c r="C240" s="65" t="s">
        <v>251</v>
      </c>
      <c r="D240" s="65">
        <v>30</v>
      </c>
      <c r="E240" s="65" t="s">
        <v>1988</v>
      </c>
      <c r="F240" s="65" t="s">
        <v>1989</v>
      </c>
      <c r="G240" s="65" t="s">
        <v>1990</v>
      </c>
      <c r="H240" s="65" t="s">
        <v>1991</v>
      </c>
    </row>
    <row r="241" spans="1:8" ht="12.5" x14ac:dyDescent="0.25">
      <c r="A241" s="93" t="s">
        <v>326</v>
      </c>
      <c r="B241" s="65" t="s">
        <v>327</v>
      </c>
      <c r="C241" s="65" t="s">
        <v>251</v>
      </c>
      <c r="D241" s="65">
        <v>124</v>
      </c>
      <c r="E241" s="65" t="s">
        <v>1988</v>
      </c>
      <c r="F241" s="65" t="s">
        <v>1989</v>
      </c>
      <c r="G241" s="65" t="s">
        <v>1990</v>
      </c>
      <c r="H241" s="65" t="s">
        <v>1991</v>
      </c>
    </row>
    <row r="242" spans="1:8" ht="12.5" x14ac:dyDescent="0.25">
      <c r="A242" s="93" t="s">
        <v>2027</v>
      </c>
      <c r="B242" s="65" t="s">
        <v>2028</v>
      </c>
      <c r="C242" s="65" t="s">
        <v>251</v>
      </c>
      <c r="D242" s="65">
        <v>0</v>
      </c>
      <c r="E242" s="65" t="s">
        <v>1988</v>
      </c>
      <c r="F242" s="65" t="s">
        <v>1996</v>
      </c>
      <c r="G242" s="65" t="s">
        <v>1999</v>
      </c>
      <c r="H242" s="65" t="s">
        <v>1999</v>
      </c>
    </row>
    <row r="243" spans="1:8" ht="12.5" x14ac:dyDescent="0.25">
      <c r="A243" s="93" t="s">
        <v>2029</v>
      </c>
      <c r="B243" s="65" t="s">
        <v>2030</v>
      </c>
      <c r="C243" s="65" t="s">
        <v>251</v>
      </c>
      <c r="D243" s="65">
        <v>15</v>
      </c>
      <c r="E243" s="65" t="s">
        <v>1988</v>
      </c>
      <c r="F243" s="65" t="s">
        <v>1996</v>
      </c>
      <c r="G243" s="65" t="s">
        <v>1999</v>
      </c>
      <c r="H243" s="65" t="s">
        <v>1999</v>
      </c>
    </row>
    <row r="244" spans="1:8" ht="12.5" x14ac:dyDescent="0.25">
      <c r="A244" s="93" t="s">
        <v>467</v>
      </c>
      <c r="B244" s="65" t="s">
        <v>468</v>
      </c>
      <c r="C244" s="65" t="s">
        <v>251</v>
      </c>
      <c r="D244" s="65">
        <v>58</v>
      </c>
      <c r="E244" s="65" t="s">
        <v>1988</v>
      </c>
      <c r="F244" s="65" t="s">
        <v>2004</v>
      </c>
      <c r="G244" s="65" t="s">
        <v>1990</v>
      </c>
      <c r="H244" s="65" t="s">
        <v>1991</v>
      </c>
    </row>
    <row r="245" spans="1:8" ht="12.5" x14ac:dyDescent="0.25">
      <c r="A245" s="93" t="s">
        <v>1308</v>
      </c>
      <c r="B245" s="65" t="s">
        <v>1309</v>
      </c>
      <c r="C245" s="65" t="s">
        <v>251</v>
      </c>
      <c r="D245" s="65">
        <v>47</v>
      </c>
      <c r="E245" s="65" t="s">
        <v>1988</v>
      </c>
      <c r="F245" s="65" t="s">
        <v>2010</v>
      </c>
      <c r="G245" s="65" t="s">
        <v>1990</v>
      </c>
      <c r="H245" s="65" t="s">
        <v>1991</v>
      </c>
    </row>
    <row r="246" spans="1:8" ht="12.5" x14ac:dyDescent="0.25">
      <c r="A246" s="93" t="s">
        <v>2031</v>
      </c>
      <c r="B246" s="65" t="s">
        <v>2032</v>
      </c>
      <c r="C246" s="65" t="s">
        <v>251</v>
      </c>
      <c r="D246" s="65">
        <v>3</v>
      </c>
      <c r="E246" s="65" t="s">
        <v>1988</v>
      </c>
      <c r="F246" s="65" t="s">
        <v>2006</v>
      </c>
      <c r="G246" s="65" t="s">
        <v>1999</v>
      </c>
      <c r="H246" s="65" t="s">
        <v>1999</v>
      </c>
    </row>
    <row r="247" spans="1:8" ht="12.5" x14ac:dyDescent="0.25">
      <c r="A247" s="93" t="s">
        <v>2033</v>
      </c>
      <c r="B247" s="65" t="s">
        <v>2034</v>
      </c>
      <c r="C247" s="65" t="s">
        <v>251</v>
      </c>
      <c r="D247" s="65">
        <v>7</v>
      </c>
      <c r="E247" s="65" t="s">
        <v>1988</v>
      </c>
      <c r="F247" s="65" t="s">
        <v>2006</v>
      </c>
      <c r="G247" s="65" t="s">
        <v>1999</v>
      </c>
      <c r="H247" s="65" t="s">
        <v>1999</v>
      </c>
    </row>
    <row r="248" spans="1:8" ht="12.5" x14ac:dyDescent="0.25">
      <c r="A248" s="93" t="s">
        <v>461</v>
      </c>
      <c r="B248" s="65" t="s">
        <v>462</v>
      </c>
      <c r="C248" s="65" t="s">
        <v>251</v>
      </c>
      <c r="D248" s="65">
        <v>14</v>
      </c>
      <c r="E248" s="65" t="s">
        <v>1988</v>
      </c>
      <c r="F248" s="65" t="s">
        <v>2004</v>
      </c>
      <c r="G248" s="65" t="s">
        <v>1990</v>
      </c>
      <c r="H248" s="65" t="s">
        <v>1991</v>
      </c>
    </row>
    <row r="249" spans="1:8" ht="12.5" x14ac:dyDescent="0.25">
      <c r="A249" s="93" t="s">
        <v>726</v>
      </c>
      <c r="B249" s="65" t="s">
        <v>727</v>
      </c>
      <c r="C249" s="65" t="s">
        <v>251</v>
      </c>
      <c r="D249" s="65">
        <v>36</v>
      </c>
      <c r="E249" s="65" t="s">
        <v>1988</v>
      </c>
      <c r="F249" s="65" t="s">
        <v>2005</v>
      </c>
      <c r="G249" s="65" t="s">
        <v>1990</v>
      </c>
      <c r="H249" s="65" t="s">
        <v>1991</v>
      </c>
    </row>
    <row r="250" spans="1:8" ht="12.5" x14ac:dyDescent="0.25">
      <c r="A250" s="93" t="s">
        <v>2035</v>
      </c>
      <c r="B250" s="65" t="s">
        <v>2036</v>
      </c>
      <c r="C250" s="65" t="s">
        <v>251</v>
      </c>
      <c r="D250" s="65">
        <v>0</v>
      </c>
      <c r="E250" s="65" t="s">
        <v>1988</v>
      </c>
      <c r="F250" s="65" t="s">
        <v>1989</v>
      </c>
      <c r="G250" s="65" t="s">
        <v>1999</v>
      </c>
      <c r="H250" s="65" t="s">
        <v>1999</v>
      </c>
    </row>
    <row r="251" spans="1:8" ht="12.5" x14ac:dyDescent="0.25">
      <c r="A251" s="93" t="s">
        <v>708</v>
      </c>
      <c r="B251" s="65" t="s">
        <v>709</v>
      </c>
      <c r="C251" s="65" t="s">
        <v>251</v>
      </c>
      <c r="D251" s="65">
        <v>39</v>
      </c>
      <c r="E251" s="65" t="s">
        <v>1988</v>
      </c>
      <c r="F251" s="65" t="s">
        <v>2005</v>
      </c>
      <c r="G251" s="65" t="s">
        <v>1990</v>
      </c>
      <c r="H251" s="65" t="s">
        <v>1991</v>
      </c>
    </row>
    <row r="252" spans="1:8" ht="12.5" x14ac:dyDescent="0.25">
      <c r="A252" s="93" t="s">
        <v>2037</v>
      </c>
      <c r="B252" s="65" t="s">
        <v>2038</v>
      </c>
      <c r="C252" s="65" t="s">
        <v>251</v>
      </c>
      <c r="D252" s="65">
        <v>0</v>
      </c>
      <c r="E252" s="65" t="s">
        <v>1988</v>
      </c>
      <c r="F252" s="65" t="s">
        <v>1989</v>
      </c>
      <c r="G252" s="65" t="s">
        <v>1999</v>
      </c>
      <c r="H252" s="65" t="s">
        <v>1999</v>
      </c>
    </row>
    <row r="253" spans="1:8" ht="12.5" x14ac:dyDescent="0.25">
      <c r="A253" s="93" t="s">
        <v>299</v>
      </c>
      <c r="B253" s="65" t="s">
        <v>300</v>
      </c>
      <c r="C253" s="65" t="s">
        <v>251</v>
      </c>
      <c r="D253" s="65">
        <v>203</v>
      </c>
      <c r="E253" s="65" t="s">
        <v>1988</v>
      </c>
      <c r="F253" s="65" t="s">
        <v>1989</v>
      </c>
      <c r="G253" s="65" t="s">
        <v>1990</v>
      </c>
      <c r="H253" s="65" t="s">
        <v>1991</v>
      </c>
    </row>
    <row r="254" spans="1:8" ht="12.5" x14ac:dyDescent="0.25">
      <c r="A254" s="93" t="s">
        <v>2039</v>
      </c>
      <c r="B254" s="65" t="s">
        <v>2040</v>
      </c>
      <c r="C254" s="65" t="s">
        <v>251</v>
      </c>
      <c r="D254" s="65">
        <v>15</v>
      </c>
      <c r="E254" s="65" t="s">
        <v>1988</v>
      </c>
      <c r="F254" s="65" t="s">
        <v>1989</v>
      </c>
      <c r="G254" s="65" t="s">
        <v>1999</v>
      </c>
      <c r="H254" s="65" t="s">
        <v>1999</v>
      </c>
    </row>
    <row r="255" spans="1:8" ht="12.5" x14ac:dyDescent="0.25">
      <c r="A255" s="93" t="s">
        <v>273</v>
      </c>
      <c r="B255" s="65" t="s">
        <v>274</v>
      </c>
      <c r="C255" s="65" t="s">
        <v>251</v>
      </c>
      <c r="D255" s="65">
        <v>8</v>
      </c>
      <c r="E255" s="65" t="s">
        <v>1988</v>
      </c>
      <c r="F255" s="65" t="s">
        <v>1989</v>
      </c>
      <c r="G255" s="65" t="s">
        <v>1990</v>
      </c>
      <c r="H255" s="65" t="s">
        <v>1991</v>
      </c>
    </row>
    <row r="256" spans="1:8" ht="12.5" x14ac:dyDescent="0.25">
      <c r="A256" s="93" t="s">
        <v>2041</v>
      </c>
      <c r="B256" s="65" t="s">
        <v>2042</v>
      </c>
      <c r="C256" s="65" t="s">
        <v>251</v>
      </c>
      <c r="D256" s="65">
        <v>0</v>
      </c>
      <c r="E256" s="65" t="s">
        <v>1988</v>
      </c>
      <c r="F256" s="65" t="s">
        <v>1994</v>
      </c>
      <c r="G256" s="65" t="s">
        <v>1999</v>
      </c>
      <c r="H256" s="65" t="s">
        <v>1999</v>
      </c>
    </row>
    <row r="257" spans="1:8" ht="12.5" x14ac:dyDescent="0.25">
      <c r="A257" s="93" t="s">
        <v>2043</v>
      </c>
      <c r="B257" s="65" t="s">
        <v>2044</v>
      </c>
      <c r="C257" s="65" t="s">
        <v>251</v>
      </c>
      <c r="D257" s="65">
        <v>0</v>
      </c>
      <c r="E257" s="65" t="s">
        <v>1988</v>
      </c>
      <c r="F257" s="65" t="s">
        <v>1992</v>
      </c>
      <c r="G257" s="65" t="s">
        <v>1999</v>
      </c>
      <c r="H257" s="65" t="s">
        <v>1999</v>
      </c>
    </row>
    <row r="258" spans="1:8" ht="12.5" x14ac:dyDescent="0.25">
      <c r="A258" s="93" t="s">
        <v>2045</v>
      </c>
      <c r="B258" s="65" t="s">
        <v>2046</v>
      </c>
      <c r="C258" s="65" t="s">
        <v>251</v>
      </c>
      <c r="D258" s="65">
        <v>0</v>
      </c>
      <c r="E258" s="65" t="s">
        <v>1988</v>
      </c>
      <c r="F258" s="65" t="s">
        <v>1992</v>
      </c>
      <c r="G258" s="65" t="s">
        <v>1999</v>
      </c>
      <c r="H258" s="65" t="s">
        <v>1999</v>
      </c>
    </row>
    <row r="259" spans="1:8" ht="12.5" x14ac:dyDescent="0.25">
      <c r="A259" s="93" t="s">
        <v>2047</v>
      </c>
      <c r="B259" s="65" t="s">
        <v>2048</v>
      </c>
      <c r="C259" s="65" t="s">
        <v>251</v>
      </c>
      <c r="D259" s="65">
        <v>0</v>
      </c>
      <c r="E259" s="65" t="s">
        <v>1988</v>
      </c>
      <c r="F259" s="65" t="s">
        <v>1992</v>
      </c>
      <c r="G259" s="65" t="s">
        <v>1999</v>
      </c>
      <c r="H259" s="65" t="s">
        <v>1999</v>
      </c>
    </row>
    <row r="260" spans="1:8" ht="12.5" x14ac:dyDescent="0.25">
      <c r="A260" s="93" t="s">
        <v>1836</v>
      </c>
      <c r="B260" s="65" t="s">
        <v>1837</v>
      </c>
      <c r="C260" s="65" t="s">
        <v>251</v>
      </c>
      <c r="D260" s="65">
        <v>4</v>
      </c>
      <c r="E260" s="65" t="s">
        <v>1988</v>
      </c>
      <c r="F260" s="65" t="s">
        <v>1992</v>
      </c>
      <c r="G260" s="65" t="s">
        <v>1999</v>
      </c>
      <c r="H260" s="65" t="s">
        <v>1999</v>
      </c>
    </row>
    <row r="261" spans="1:8" ht="12.5" x14ac:dyDescent="0.25">
      <c r="A261" s="93"/>
    </row>
    <row r="262" spans="1:8" ht="12.5" x14ac:dyDescent="0.25">
      <c r="A262" s="93"/>
    </row>
    <row r="263" spans="1:8" ht="12.5" x14ac:dyDescent="0.25">
      <c r="A263" s="93"/>
    </row>
    <row r="264" spans="1:8" ht="12.5" x14ac:dyDescent="0.25">
      <c r="A264" s="93"/>
    </row>
    <row r="265" spans="1:8" ht="12.5" x14ac:dyDescent="0.25">
      <c r="A265" s="93"/>
    </row>
    <row r="266" spans="1:8" ht="12.5" x14ac:dyDescent="0.25">
      <c r="A266" s="93"/>
    </row>
    <row r="267" spans="1:8" ht="12.5" x14ac:dyDescent="0.25">
      <c r="A267" s="93"/>
    </row>
    <row r="268" spans="1:8" ht="12.5" x14ac:dyDescent="0.25">
      <c r="A268" s="93"/>
    </row>
    <row r="269" spans="1:8" ht="12.5" x14ac:dyDescent="0.25">
      <c r="A269" s="93"/>
    </row>
    <row r="270" spans="1:8" ht="12.5" x14ac:dyDescent="0.25">
      <c r="A270" s="93"/>
    </row>
    <row r="271" spans="1:8" ht="12.5" x14ac:dyDescent="0.25">
      <c r="A271" s="93"/>
    </row>
    <row r="272" spans="1:8" ht="12.5" x14ac:dyDescent="0.25">
      <c r="A272" s="93"/>
    </row>
    <row r="273" spans="1:1" ht="12.5" x14ac:dyDescent="0.25">
      <c r="A273" s="93"/>
    </row>
    <row r="274" spans="1:1" ht="12.5" x14ac:dyDescent="0.25">
      <c r="A274" s="93"/>
    </row>
    <row r="275" spans="1:1" ht="12.5" x14ac:dyDescent="0.25">
      <c r="A275" s="93"/>
    </row>
    <row r="276" spans="1:1" ht="12.5" x14ac:dyDescent="0.25">
      <c r="A276" s="93"/>
    </row>
    <row r="277" spans="1:1" ht="12.5" x14ac:dyDescent="0.25">
      <c r="A277" s="93"/>
    </row>
    <row r="278" spans="1:1" ht="12.5" x14ac:dyDescent="0.25">
      <c r="A278" s="93"/>
    </row>
    <row r="279" spans="1:1" ht="12.5" x14ac:dyDescent="0.25">
      <c r="A279" s="93"/>
    </row>
    <row r="280" spans="1:1" ht="12.5" x14ac:dyDescent="0.25">
      <c r="A280" s="93"/>
    </row>
    <row r="281" spans="1:1" ht="12.5" x14ac:dyDescent="0.25">
      <c r="A281" s="93"/>
    </row>
    <row r="282" spans="1:1" ht="12.5" x14ac:dyDescent="0.25">
      <c r="A282" s="93"/>
    </row>
    <row r="283" spans="1:1" ht="12.5" x14ac:dyDescent="0.25">
      <c r="A283" s="93"/>
    </row>
    <row r="284" spans="1:1" ht="12.5" x14ac:dyDescent="0.25">
      <c r="A284" s="93"/>
    </row>
    <row r="285" spans="1:1" ht="12.5" x14ac:dyDescent="0.25">
      <c r="A285" s="93"/>
    </row>
    <row r="286" spans="1:1" ht="12.5" x14ac:dyDescent="0.25">
      <c r="A286" s="93"/>
    </row>
    <row r="287" spans="1:1" ht="12.5" x14ac:dyDescent="0.25">
      <c r="A287" s="93"/>
    </row>
    <row r="288" spans="1:1" ht="12.5" x14ac:dyDescent="0.25">
      <c r="A288" s="93"/>
    </row>
    <row r="289" spans="1:1" ht="12.5" x14ac:dyDescent="0.25">
      <c r="A289" s="93"/>
    </row>
    <row r="290" spans="1:1" ht="12.5" x14ac:dyDescent="0.25">
      <c r="A290" s="93"/>
    </row>
    <row r="291" spans="1:1" ht="12.5" x14ac:dyDescent="0.25">
      <c r="A291" s="93"/>
    </row>
    <row r="292" spans="1:1" ht="12.5" x14ac:dyDescent="0.25">
      <c r="A292" s="93"/>
    </row>
    <row r="293" spans="1:1" ht="12.5" x14ac:dyDescent="0.25">
      <c r="A293" s="93"/>
    </row>
    <row r="294" spans="1:1" ht="12.5" x14ac:dyDescent="0.25">
      <c r="A294" s="93"/>
    </row>
    <row r="295" spans="1:1" ht="12.5" x14ac:dyDescent="0.25">
      <c r="A295" s="93"/>
    </row>
    <row r="296" spans="1:1" ht="12.5" x14ac:dyDescent="0.25">
      <c r="A296" s="93"/>
    </row>
    <row r="297" spans="1:1" ht="12.5" x14ac:dyDescent="0.25">
      <c r="A297" s="93"/>
    </row>
    <row r="298" spans="1:1" ht="12.5" x14ac:dyDescent="0.25">
      <c r="A298" s="93"/>
    </row>
    <row r="299" spans="1:1" ht="12.5" x14ac:dyDescent="0.25">
      <c r="A299" s="93"/>
    </row>
    <row r="300" spans="1:1" ht="12.5" x14ac:dyDescent="0.25">
      <c r="A300" s="93"/>
    </row>
    <row r="301" spans="1:1" ht="12.5" x14ac:dyDescent="0.25">
      <c r="A301" s="93"/>
    </row>
    <row r="302" spans="1:1" ht="12.5" x14ac:dyDescent="0.25">
      <c r="A302" s="93"/>
    </row>
    <row r="303" spans="1:1" ht="12.5" x14ac:dyDescent="0.25">
      <c r="A303" s="93"/>
    </row>
    <row r="304" spans="1:1" ht="12.5" x14ac:dyDescent="0.25">
      <c r="A304" s="93"/>
    </row>
    <row r="305" spans="1:1" ht="12.5" x14ac:dyDescent="0.25">
      <c r="A305" s="93"/>
    </row>
    <row r="306" spans="1:1" ht="12.5" x14ac:dyDescent="0.25">
      <c r="A306" s="93"/>
    </row>
    <row r="307" spans="1:1" ht="12.5" x14ac:dyDescent="0.25">
      <c r="A307" s="93"/>
    </row>
    <row r="308" spans="1:1" ht="12.5" x14ac:dyDescent="0.25">
      <c r="A308" s="93"/>
    </row>
    <row r="309" spans="1:1" ht="12.5" x14ac:dyDescent="0.25">
      <c r="A309" s="93"/>
    </row>
    <row r="310" spans="1:1" ht="12.5" x14ac:dyDescent="0.25">
      <c r="A310" s="93"/>
    </row>
    <row r="311" spans="1:1" ht="12.5" x14ac:dyDescent="0.25">
      <c r="A311" s="93"/>
    </row>
    <row r="312" spans="1:1" ht="12.5" x14ac:dyDescent="0.25">
      <c r="A312" s="93"/>
    </row>
    <row r="313" spans="1:1" ht="12.5" x14ac:dyDescent="0.25">
      <c r="A313" s="93"/>
    </row>
    <row r="314" spans="1:1" ht="12.5" x14ac:dyDescent="0.25">
      <c r="A314" s="93"/>
    </row>
    <row r="315" spans="1:1" ht="12.5" x14ac:dyDescent="0.25">
      <c r="A315" s="93"/>
    </row>
    <row r="316" spans="1:1" ht="12.5" x14ac:dyDescent="0.25">
      <c r="A316" s="93"/>
    </row>
    <row r="317" spans="1:1" ht="12.5" x14ac:dyDescent="0.25">
      <c r="A317" s="93"/>
    </row>
    <row r="318" spans="1:1" ht="12.5" x14ac:dyDescent="0.25">
      <c r="A318" s="93"/>
    </row>
    <row r="319" spans="1:1" ht="12.5" x14ac:dyDescent="0.25">
      <c r="A319" s="93"/>
    </row>
    <row r="320" spans="1:1" ht="12.5" x14ac:dyDescent="0.25">
      <c r="A320" s="93"/>
    </row>
    <row r="321" spans="1:1" ht="12.5" x14ac:dyDescent="0.25">
      <c r="A321" s="93"/>
    </row>
    <row r="322" spans="1:1" ht="12.5" x14ac:dyDescent="0.25">
      <c r="A322" s="93"/>
    </row>
    <row r="323" spans="1:1" ht="12.5" x14ac:dyDescent="0.25">
      <c r="A323" s="93"/>
    </row>
    <row r="324" spans="1:1" ht="12.5" x14ac:dyDescent="0.25">
      <c r="A324" s="93"/>
    </row>
    <row r="325" spans="1:1" ht="12.5" x14ac:dyDescent="0.25">
      <c r="A325" s="93"/>
    </row>
    <row r="326" spans="1:1" ht="12.5" x14ac:dyDescent="0.25">
      <c r="A326" s="93"/>
    </row>
    <row r="327" spans="1:1" ht="12.5" x14ac:dyDescent="0.25">
      <c r="A327" s="93"/>
    </row>
    <row r="328" spans="1:1" ht="12.5" x14ac:dyDescent="0.25">
      <c r="A328" s="93"/>
    </row>
    <row r="329" spans="1:1" ht="12.5" x14ac:dyDescent="0.25">
      <c r="A329" s="93"/>
    </row>
    <row r="330" spans="1:1" ht="12.5" x14ac:dyDescent="0.25">
      <c r="A330" s="93"/>
    </row>
    <row r="331" spans="1:1" ht="12.5" x14ac:dyDescent="0.25">
      <c r="A331" s="93"/>
    </row>
    <row r="332" spans="1:1" ht="12.5" x14ac:dyDescent="0.25">
      <c r="A332" s="93"/>
    </row>
    <row r="333" spans="1:1" ht="12.5" x14ac:dyDescent="0.25">
      <c r="A333" s="93"/>
    </row>
    <row r="334" spans="1:1" ht="12.5" x14ac:dyDescent="0.25">
      <c r="A334" s="93"/>
    </row>
    <row r="335" spans="1:1" ht="12.5" x14ac:dyDescent="0.25">
      <c r="A335" s="93"/>
    </row>
    <row r="336" spans="1:1" ht="12.5" x14ac:dyDescent="0.25">
      <c r="A336" s="93"/>
    </row>
    <row r="337" spans="1:1" ht="12.5" x14ac:dyDescent="0.25">
      <c r="A337" s="93"/>
    </row>
    <row r="338" spans="1:1" ht="12.5" x14ac:dyDescent="0.25">
      <c r="A338" s="93"/>
    </row>
    <row r="339" spans="1:1" ht="12.5" x14ac:dyDescent="0.25">
      <c r="A339" s="93"/>
    </row>
    <row r="340" spans="1:1" ht="12.5" x14ac:dyDescent="0.25">
      <c r="A340" s="93"/>
    </row>
    <row r="341" spans="1:1" ht="12.5" x14ac:dyDescent="0.25">
      <c r="A341" s="93"/>
    </row>
    <row r="342" spans="1:1" ht="12.5" x14ac:dyDescent="0.25">
      <c r="A342" s="93"/>
    </row>
    <row r="343" spans="1:1" ht="12.5" x14ac:dyDescent="0.25">
      <c r="A343" s="93"/>
    </row>
    <row r="344" spans="1:1" ht="12.5" x14ac:dyDescent="0.25">
      <c r="A344" s="93"/>
    </row>
    <row r="345" spans="1:1" ht="12.5" x14ac:dyDescent="0.25">
      <c r="A345" s="93"/>
    </row>
    <row r="346" spans="1:1" ht="12.5" x14ac:dyDescent="0.25">
      <c r="A346" s="93"/>
    </row>
    <row r="347" spans="1:1" ht="12.5" x14ac:dyDescent="0.25">
      <c r="A347" s="93"/>
    </row>
    <row r="348" spans="1:1" ht="12.5" x14ac:dyDescent="0.25">
      <c r="A348" s="93"/>
    </row>
    <row r="349" spans="1:1" ht="12.5" x14ac:dyDescent="0.25">
      <c r="A349" s="93"/>
    </row>
    <row r="350" spans="1:1" ht="12.5" x14ac:dyDescent="0.25">
      <c r="A350" s="93"/>
    </row>
    <row r="351" spans="1:1" ht="12.5" x14ac:dyDescent="0.25">
      <c r="A351" s="93"/>
    </row>
    <row r="352" spans="1:1" ht="12.5" x14ac:dyDescent="0.25">
      <c r="A352" s="93"/>
    </row>
    <row r="353" spans="1:1" ht="12.5" x14ac:dyDescent="0.25">
      <c r="A353" s="93"/>
    </row>
    <row r="354" spans="1:1" ht="12.5" x14ac:dyDescent="0.25">
      <c r="A354" s="93"/>
    </row>
    <row r="355" spans="1:1" ht="12.5" x14ac:dyDescent="0.25">
      <c r="A355" s="93"/>
    </row>
    <row r="356" spans="1:1" ht="12.5" x14ac:dyDescent="0.25">
      <c r="A356" s="93"/>
    </row>
    <row r="357" spans="1:1" ht="12.5" x14ac:dyDescent="0.25">
      <c r="A357" s="93"/>
    </row>
    <row r="358" spans="1:1" ht="12.5" x14ac:dyDescent="0.25">
      <c r="A358" s="93"/>
    </row>
    <row r="359" spans="1:1" ht="12.5" x14ac:dyDescent="0.25">
      <c r="A359" s="93"/>
    </row>
    <row r="360" spans="1:1" ht="12.5" x14ac:dyDescent="0.25">
      <c r="A360" s="93"/>
    </row>
    <row r="361" spans="1:1" ht="12.5" x14ac:dyDescent="0.25">
      <c r="A361" s="93"/>
    </row>
    <row r="362" spans="1:1" ht="12.5" x14ac:dyDescent="0.25">
      <c r="A362" s="93"/>
    </row>
    <row r="363" spans="1:1" ht="12.5" x14ac:dyDescent="0.25">
      <c r="A363" s="93"/>
    </row>
    <row r="364" spans="1:1" ht="12.5" x14ac:dyDescent="0.25">
      <c r="A364" s="93"/>
    </row>
    <row r="365" spans="1:1" ht="12.5" x14ac:dyDescent="0.25">
      <c r="A365" s="93"/>
    </row>
    <row r="366" spans="1:1" ht="12.5" x14ac:dyDescent="0.25">
      <c r="A366" s="93"/>
    </row>
    <row r="367" spans="1:1" ht="12.5" x14ac:dyDescent="0.25">
      <c r="A367" s="93"/>
    </row>
    <row r="368" spans="1:1" ht="12.5" x14ac:dyDescent="0.25">
      <c r="A368" s="93"/>
    </row>
    <row r="369" spans="1:1" ht="12.5" x14ac:dyDescent="0.25">
      <c r="A369" s="93"/>
    </row>
    <row r="370" spans="1:1" ht="12.5" x14ac:dyDescent="0.25">
      <c r="A370" s="93"/>
    </row>
    <row r="371" spans="1:1" ht="12.5" x14ac:dyDescent="0.25">
      <c r="A371" s="93"/>
    </row>
    <row r="372" spans="1:1" ht="12.5" x14ac:dyDescent="0.25">
      <c r="A372" s="93"/>
    </row>
    <row r="373" spans="1:1" ht="12.5" x14ac:dyDescent="0.25">
      <c r="A373" s="93"/>
    </row>
    <row r="374" spans="1:1" ht="12.5" x14ac:dyDescent="0.25">
      <c r="A374" s="93"/>
    </row>
    <row r="375" spans="1:1" ht="12.5" x14ac:dyDescent="0.25">
      <c r="A375" s="93"/>
    </row>
    <row r="376" spans="1:1" ht="12.5" x14ac:dyDescent="0.25">
      <c r="A376" s="93"/>
    </row>
    <row r="377" spans="1:1" ht="12.5" x14ac:dyDescent="0.25">
      <c r="A377" s="93"/>
    </row>
    <row r="378" spans="1:1" ht="12.5" x14ac:dyDescent="0.25">
      <c r="A378" s="93"/>
    </row>
    <row r="379" spans="1:1" ht="12.5" x14ac:dyDescent="0.25">
      <c r="A379" s="93"/>
    </row>
    <row r="380" spans="1:1" ht="12.5" x14ac:dyDescent="0.25">
      <c r="A380" s="93"/>
    </row>
    <row r="381" spans="1:1" ht="12.5" x14ac:dyDescent="0.25">
      <c r="A381" s="93"/>
    </row>
    <row r="382" spans="1:1" ht="12.5" x14ac:dyDescent="0.25">
      <c r="A382" s="93"/>
    </row>
    <row r="383" spans="1:1" ht="12.5" x14ac:dyDescent="0.25">
      <c r="A383" s="93"/>
    </row>
    <row r="384" spans="1:1" ht="12.5" x14ac:dyDescent="0.25">
      <c r="A384" s="93"/>
    </row>
    <row r="385" spans="1:1" ht="12.5" x14ac:dyDescent="0.25">
      <c r="A385" s="93"/>
    </row>
    <row r="386" spans="1:1" ht="12.5" x14ac:dyDescent="0.25">
      <c r="A386" s="93"/>
    </row>
    <row r="387" spans="1:1" ht="12.5" x14ac:dyDescent="0.25">
      <c r="A387" s="93"/>
    </row>
    <row r="388" spans="1:1" ht="12.5" x14ac:dyDescent="0.25">
      <c r="A388" s="93"/>
    </row>
    <row r="389" spans="1:1" ht="12.5" x14ac:dyDescent="0.25">
      <c r="A389" s="93"/>
    </row>
    <row r="390" spans="1:1" ht="12.5" x14ac:dyDescent="0.25">
      <c r="A390" s="93"/>
    </row>
    <row r="391" spans="1:1" ht="12.5" x14ac:dyDescent="0.25">
      <c r="A391" s="93"/>
    </row>
    <row r="392" spans="1:1" ht="12.5" x14ac:dyDescent="0.25">
      <c r="A392" s="93"/>
    </row>
    <row r="393" spans="1:1" ht="12.5" x14ac:dyDescent="0.25">
      <c r="A393" s="93"/>
    </row>
    <row r="394" spans="1:1" ht="12.5" x14ac:dyDescent="0.25">
      <c r="A394" s="93"/>
    </row>
    <row r="395" spans="1:1" ht="12.5" x14ac:dyDescent="0.25">
      <c r="A395" s="93"/>
    </row>
    <row r="396" spans="1:1" ht="12.5" x14ac:dyDescent="0.25">
      <c r="A396" s="93"/>
    </row>
    <row r="397" spans="1:1" ht="12.5" x14ac:dyDescent="0.25">
      <c r="A397" s="93"/>
    </row>
    <row r="398" spans="1:1" ht="12.5" x14ac:dyDescent="0.25">
      <c r="A398" s="93"/>
    </row>
    <row r="399" spans="1:1" ht="12.5" x14ac:dyDescent="0.25">
      <c r="A399" s="93"/>
    </row>
    <row r="400" spans="1:1" ht="12.5" x14ac:dyDescent="0.25">
      <c r="A400" s="93"/>
    </row>
    <row r="401" spans="1:1" ht="12.5" x14ac:dyDescent="0.25">
      <c r="A401" s="93"/>
    </row>
    <row r="402" spans="1:1" ht="12.5" x14ac:dyDescent="0.25">
      <c r="A402" s="93"/>
    </row>
    <row r="403" spans="1:1" ht="12.5" x14ac:dyDescent="0.25">
      <c r="A403" s="93"/>
    </row>
    <row r="404" spans="1:1" ht="12.5" x14ac:dyDescent="0.25">
      <c r="A404" s="93"/>
    </row>
    <row r="405" spans="1:1" ht="12.5" x14ac:dyDescent="0.25">
      <c r="A405" s="93"/>
    </row>
    <row r="406" spans="1:1" ht="12.5" x14ac:dyDescent="0.25">
      <c r="A406" s="93"/>
    </row>
    <row r="407" spans="1:1" ht="12.5" x14ac:dyDescent="0.25">
      <c r="A407" s="93"/>
    </row>
    <row r="408" spans="1:1" ht="12.5" x14ac:dyDescent="0.25">
      <c r="A408" s="93"/>
    </row>
    <row r="409" spans="1:1" ht="12.5" x14ac:dyDescent="0.25">
      <c r="A409" s="93"/>
    </row>
    <row r="410" spans="1:1" ht="12.5" x14ac:dyDescent="0.25">
      <c r="A410" s="93"/>
    </row>
    <row r="411" spans="1:1" ht="12.5" x14ac:dyDescent="0.25">
      <c r="A411" s="93"/>
    </row>
    <row r="412" spans="1:1" ht="12.5" x14ac:dyDescent="0.25">
      <c r="A412" s="93"/>
    </row>
    <row r="413" spans="1:1" ht="12.5" x14ac:dyDescent="0.25">
      <c r="A413" s="93"/>
    </row>
    <row r="414" spans="1:1" ht="12.5" x14ac:dyDescent="0.25">
      <c r="A414" s="93"/>
    </row>
    <row r="415" spans="1:1" ht="12.5" x14ac:dyDescent="0.25">
      <c r="A415" s="93"/>
    </row>
    <row r="416" spans="1:1" ht="12.5" x14ac:dyDescent="0.25">
      <c r="A416" s="93"/>
    </row>
    <row r="417" spans="1:1" ht="12.5" x14ac:dyDescent="0.25">
      <c r="A417" s="93"/>
    </row>
    <row r="418" spans="1:1" ht="12.5" x14ac:dyDescent="0.25">
      <c r="A418" s="93"/>
    </row>
    <row r="419" spans="1:1" ht="12.5" x14ac:dyDescent="0.25">
      <c r="A419" s="93"/>
    </row>
    <row r="420" spans="1:1" ht="12.5" x14ac:dyDescent="0.25">
      <c r="A420" s="93"/>
    </row>
    <row r="421" spans="1:1" ht="12.5" x14ac:dyDescent="0.25">
      <c r="A421" s="93"/>
    </row>
    <row r="422" spans="1:1" ht="12.5" x14ac:dyDescent="0.25">
      <c r="A422" s="93"/>
    </row>
    <row r="423" spans="1:1" ht="12.5" x14ac:dyDescent="0.25">
      <c r="A423" s="93"/>
    </row>
    <row r="424" spans="1:1" ht="12.5" x14ac:dyDescent="0.25">
      <c r="A424" s="93"/>
    </row>
    <row r="425" spans="1:1" ht="12.5" x14ac:dyDescent="0.25">
      <c r="A425" s="93"/>
    </row>
    <row r="426" spans="1:1" ht="12.5" x14ac:dyDescent="0.25">
      <c r="A426" s="93"/>
    </row>
    <row r="427" spans="1:1" ht="12.5" x14ac:dyDescent="0.25">
      <c r="A427" s="93"/>
    </row>
    <row r="428" spans="1:1" ht="12.5" x14ac:dyDescent="0.25">
      <c r="A428" s="93"/>
    </row>
    <row r="429" spans="1:1" ht="12.5" x14ac:dyDescent="0.25">
      <c r="A429" s="93"/>
    </row>
    <row r="430" spans="1:1" ht="12.5" x14ac:dyDescent="0.25">
      <c r="A430" s="93"/>
    </row>
    <row r="431" spans="1:1" ht="12.5" x14ac:dyDescent="0.25">
      <c r="A431" s="93"/>
    </row>
    <row r="432" spans="1:1" ht="12.5" x14ac:dyDescent="0.25">
      <c r="A432" s="93"/>
    </row>
    <row r="433" spans="1:1" ht="12.5" x14ac:dyDescent="0.25">
      <c r="A433" s="93"/>
    </row>
    <row r="434" spans="1:1" ht="12.5" x14ac:dyDescent="0.25">
      <c r="A434" s="93"/>
    </row>
    <row r="435" spans="1:1" ht="12.5" x14ac:dyDescent="0.25">
      <c r="A435" s="93"/>
    </row>
    <row r="436" spans="1:1" ht="12.5" x14ac:dyDescent="0.25">
      <c r="A436" s="93"/>
    </row>
    <row r="437" spans="1:1" ht="12.5" x14ac:dyDescent="0.25">
      <c r="A437" s="93"/>
    </row>
    <row r="438" spans="1:1" ht="12.5" x14ac:dyDescent="0.25">
      <c r="A438" s="93"/>
    </row>
    <row r="439" spans="1:1" ht="12.5" x14ac:dyDescent="0.25">
      <c r="A439" s="93"/>
    </row>
    <row r="440" spans="1:1" ht="12.5" x14ac:dyDescent="0.25">
      <c r="A440" s="93"/>
    </row>
    <row r="441" spans="1:1" ht="12.5" x14ac:dyDescent="0.25">
      <c r="A441" s="93"/>
    </row>
    <row r="442" spans="1:1" ht="12.5" x14ac:dyDescent="0.25">
      <c r="A442" s="93"/>
    </row>
    <row r="443" spans="1:1" ht="12.5" x14ac:dyDescent="0.25">
      <c r="A443" s="93"/>
    </row>
    <row r="444" spans="1:1" ht="12.5" x14ac:dyDescent="0.25">
      <c r="A444" s="93"/>
    </row>
    <row r="445" spans="1:1" ht="12.5" x14ac:dyDescent="0.25">
      <c r="A445" s="93"/>
    </row>
    <row r="446" spans="1:1" ht="12.5" x14ac:dyDescent="0.25">
      <c r="A446" s="93"/>
    </row>
    <row r="447" spans="1:1" ht="12.5" x14ac:dyDescent="0.25">
      <c r="A447" s="93"/>
    </row>
    <row r="448" spans="1:1" ht="12.5" x14ac:dyDescent="0.25">
      <c r="A448" s="93"/>
    </row>
    <row r="449" spans="1:1" ht="12.5" x14ac:dyDescent="0.25">
      <c r="A449" s="93"/>
    </row>
    <row r="450" spans="1:1" ht="12.5" x14ac:dyDescent="0.25">
      <c r="A450" s="93"/>
    </row>
    <row r="451" spans="1:1" ht="12.5" x14ac:dyDescent="0.25">
      <c r="A451" s="93"/>
    </row>
    <row r="452" spans="1:1" ht="12.5" x14ac:dyDescent="0.25">
      <c r="A452" s="93"/>
    </row>
    <row r="453" spans="1:1" ht="12.5" x14ac:dyDescent="0.25">
      <c r="A453" s="93"/>
    </row>
    <row r="454" spans="1:1" ht="12.5" x14ac:dyDescent="0.25">
      <c r="A454" s="93"/>
    </row>
    <row r="455" spans="1:1" ht="12.5" x14ac:dyDescent="0.25">
      <c r="A455" s="93"/>
    </row>
    <row r="456" spans="1:1" ht="12.5" x14ac:dyDescent="0.25">
      <c r="A456" s="93"/>
    </row>
    <row r="457" spans="1:1" ht="12.5" x14ac:dyDescent="0.25">
      <c r="A457" s="93"/>
    </row>
    <row r="458" spans="1:1" ht="12.5" x14ac:dyDescent="0.25">
      <c r="A458" s="93"/>
    </row>
    <row r="459" spans="1:1" ht="12.5" x14ac:dyDescent="0.25">
      <c r="A459" s="93"/>
    </row>
    <row r="460" spans="1:1" ht="12.5" x14ac:dyDescent="0.25">
      <c r="A460" s="93"/>
    </row>
    <row r="461" spans="1:1" ht="12.5" x14ac:dyDescent="0.25">
      <c r="A461" s="93"/>
    </row>
    <row r="462" spans="1:1" ht="12.5" x14ac:dyDescent="0.25">
      <c r="A462" s="93"/>
    </row>
    <row r="463" spans="1:1" ht="12.5" x14ac:dyDescent="0.25">
      <c r="A463" s="93"/>
    </row>
    <row r="464" spans="1:1" ht="12.5" x14ac:dyDescent="0.25">
      <c r="A464" s="93"/>
    </row>
    <row r="465" spans="1:1" ht="12.5" x14ac:dyDescent="0.25">
      <c r="A465" s="93"/>
    </row>
    <row r="466" spans="1:1" ht="12.5" x14ac:dyDescent="0.25">
      <c r="A466" s="93"/>
    </row>
    <row r="467" spans="1:1" ht="12.5" x14ac:dyDescent="0.25">
      <c r="A467" s="93"/>
    </row>
    <row r="468" spans="1:1" ht="12.5" x14ac:dyDescent="0.25">
      <c r="A468" s="93"/>
    </row>
    <row r="469" spans="1:1" ht="12.5" x14ac:dyDescent="0.25">
      <c r="A469" s="93"/>
    </row>
    <row r="470" spans="1:1" ht="12.5" x14ac:dyDescent="0.25">
      <c r="A470" s="93"/>
    </row>
    <row r="471" spans="1:1" ht="12.5" x14ac:dyDescent="0.25">
      <c r="A471" s="93"/>
    </row>
    <row r="472" spans="1:1" ht="12.5" x14ac:dyDescent="0.25">
      <c r="A472" s="93"/>
    </row>
    <row r="473" spans="1:1" ht="12.5" x14ac:dyDescent="0.25">
      <c r="A473" s="93"/>
    </row>
    <row r="474" spans="1:1" ht="12.5" x14ac:dyDescent="0.25">
      <c r="A474" s="93"/>
    </row>
    <row r="475" spans="1:1" ht="12.5" x14ac:dyDescent="0.25">
      <c r="A475" s="93"/>
    </row>
    <row r="476" spans="1:1" ht="12.5" x14ac:dyDescent="0.25">
      <c r="A476" s="93"/>
    </row>
    <row r="477" spans="1:1" ht="12.5" x14ac:dyDescent="0.25">
      <c r="A477" s="93"/>
    </row>
    <row r="478" spans="1:1" ht="12.5" x14ac:dyDescent="0.25">
      <c r="A478" s="93"/>
    </row>
    <row r="479" spans="1:1" ht="12.5" x14ac:dyDescent="0.25">
      <c r="A479" s="93"/>
    </row>
    <row r="480" spans="1:1" ht="12.5" x14ac:dyDescent="0.25">
      <c r="A480" s="93"/>
    </row>
    <row r="481" spans="1:1" ht="12.5" x14ac:dyDescent="0.25">
      <c r="A481" s="93"/>
    </row>
    <row r="482" spans="1:1" ht="12.5" x14ac:dyDescent="0.25">
      <c r="A482" s="93"/>
    </row>
    <row r="483" spans="1:1" ht="12.5" x14ac:dyDescent="0.25">
      <c r="A483" s="93"/>
    </row>
    <row r="484" spans="1:1" ht="12.5" x14ac:dyDescent="0.25">
      <c r="A484" s="93"/>
    </row>
    <row r="485" spans="1:1" ht="12.5" x14ac:dyDescent="0.25">
      <c r="A485" s="93"/>
    </row>
    <row r="486" spans="1:1" ht="12.5" x14ac:dyDescent="0.25">
      <c r="A486" s="93"/>
    </row>
    <row r="487" spans="1:1" ht="12.5" x14ac:dyDescent="0.25">
      <c r="A487" s="93"/>
    </row>
    <row r="488" spans="1:1" ht="12.5" x14ac:dyDescent="0.25">
      <c r="A488" s="93"/>
    </row>
    <row r="489" spans="1:1" ht="12.5" x14ac:dyDescent="0.25">
      <c r="A489" s="93"/>
    </row>
    <row r="490" spans="1:1" ht="12.5" x14ac:dyDescent="0.25">
      <c r="A490" s="93"/>
    </row>
    <row r="491" spans="1:1" ht="12.5" x14ac:dyDescent="0.25">
      <c r="A491" s="93"/>
    </row>
    <row r="492" spans="1:1" ht="12.5" x14ac:dyDescent="0.25">
      <c r="A492" s="93"/>
    </row>
    <row r="493" spans="1:1" ht="12.5" x14ac:dyDescent="0.25">
      <c r="A493" s="93"/>
    </row>
    <row r="494" spans="1:1" ht="12.5" x14ac:dyDescent="0.25">
      <c r="A494" s="93"/>
    </row>
    <row r="495" spans="1:1" ht="12.5" x14ac:dyDescent="0.25">
      <c r="A495" s="93"/>
    </row>
    <row r="496" spans="1:1" ht="12.5" x14ac:dyDescent="0.25">
      <c r="A496" s="93"/>
    </row>
    <row r="497" spans="1:1" ht="12.5" x14ac:dyDescent="0.25">
      <c r="A497" s="93"/>
    </row>
    <row r="498" spans="1:1" ht="12.5" x14ac:dyDescent="0.25">
      <c r="A498" s="93"/>
    </row>
    <row r="499" spans="1:1" ht="12.5" x14ac:dyDescent="0.25">
      <c r="A499" s="93"/>
    </row>
    <row r="500" spans="1:1" ht="12.5" x14ac:dyDescent="0.25">
      <c r="A500" s="93"/>
    </row>
    <row r="501" spans="1:1" ht="12.5" x14ac:dyDescent="0.25">
      <c r="A501" s="93"/>
    </row>
    <row r="502" spans="1:1" ht="12.5" x14ac:dyDescent="0.25">
      <c r="A502" s="93"/>
    </row>
    <row r="503" spans="1:1" ht="12.5" x14ac:dyDescent="0.25">
      <c r="A503" s="93"/>
    </row>
    <row r="504" spans="1:1" ht="12.5" x14ac:dyDescent="0.25">
      <c r="A504" s="93"/>
    </row>
    <row r="505" spans="1:1" ht="12.5" x14ac:dyDescent="0.25">
      <c r="A505" s="93"/>
    </row>
    <row r="506" spans="1:1" ht="12.5" x14ac:dyDescent="0.25">
      <c r="A506" s="93"/>
    </row>
    <row r="507" spans="1:1" ht="12.5" x14ac:dyDescent="0.25">
      <c r="A507" s="93"/>
    </row>
    <row r="508" spans="1:1" ht="12.5" x14ac:dyDescent="0.25">
      <c r="A508" s="93"/>
    </row>
    <row r="509" spans="1:1" ht="12.5" x14ac:dyDescent="0.25">
      <c r="A509" s="93"/>
    </row>
    <row r="510" spans="1:1" ht="12.5" x14ac:dyDescent="0.25">
      <c r="A510" s="93"/>
    </row>
    <row r="511" spans="1:1" ht="12.5" x14ac:dyDescent="0.25">
      <c r="A511" s="93"/>
    </row>
    <row r="512" spans="1:1" ht="12.5" x14ac:dyDescent="0.25">
      <c r="A512" s="93"/>
    </row>
    <row r="513" spans="1:1" ht="12.5" x14ac:dyDescent="0.25">
      <c r="A513" s="93"/>
    </row>
    <row r="514" spans="1:1" ht="12.5" x14ac:dyDescent="0.25">
      <c r="A514" s="93"/>
    </row>
    <row r="515" spans="1:1" ht="12.5" x14ac:dyDescent="0.25">
      <c r="A515" s="93"/>
    </row>
    <row r="516" spans="1:1" ht="12.5" x14ac:dyDescent="0.25">
      <c r="A516" s="93"/>
    </row>
    <row r="517" spans="1:1" ht="12.5" x14ac:dyDescent="0.25">
      <c r="A517" s="93"/>
    </row>
    <row r="518" spans="1:1" ht="12.5" x14ac:dyDescent="0.25">
      <c r="A518" s="93"/>
    </row>
    <row r="519" spans="1:1" ht="12.5" x14ac:dyDescent="0.25">
      <c r="A519" s="93"/>
    </row>
    <row r="520" spans="1:1" ht="12.5" x14ac:dyDescent="0.25">
      <c r="A520" s="93"/>
    </row>
    <row r="521" spans="1:1" ht="12.5" x14ac:dyDescent="0.25">
      <c r="A521" s="93"/>
    </row>
    <row r="522" spans="1:1" ht="12.5" x14ac:dyDescent="0.25">
      <c r="A522" s="93"/>
    </row>
    <row r="523" spans="1:1" ht="12.5" x14ac:dyDescent="0.25">
      <c r="A523" s="93"/>
    </row>
    <row r="524" spans="1:1" ht="12.5" x14ac:dyDescent="0.25">
      <c r="A524" s="93"/>
    </row>
    <row r="525" spans="1:1" ht="12.5" x14ac:dyDescent="0.25">
      <c r="A525" s="93"/>
    </row>
    <row r="526" spans="1:1" ht="12.5" x14ac:dyDescent="0.25">
      <c r="A526" s="93"/>
    </row>
    <row r="527" spans="1:1" ht="12.5" x14ac:dyDescent="0.25">
      <c r="A527" s="93"/>
    </row>
    <row r="528" spans="1:1" ht="12.5" x14ac:dyDescent="0.25">
      <c r="A528" s="93"/>
    </row>
    <row r="529" spans="1:1" ht="12.5" x14ac:dyDescent="0.25">
      <c r="A529" s="93"/>
    </row>
    <row r="530" spans="1:1" ht="12.5" x14ac:dyDescent="0.25">
      <c r="A530" s="93"/>
    </row>
    <row r="531" spans="1:1" ht="12.5" x14ac:dyDescent="0.25">
      <c r="A531" s="93"/>
    </row>
    <row r="532" spans="1:1" ht="12.5" x14ac:dyDescent="0.25">
      <c r="A532" s="93"/>
    </row>
    <row r="533" spans="1:1" ht="12.5" x14ac:dyDescent="0.25">
      <c r="A533" s="93"/>
    </row>
    <row r="534" spans="1:1" ht="12.5" x14ac:dyDescent="0.25">
      <c r="A534" s="93"/>
    </row>
    <row r="535" spans="1:1" ht="12.5" x14ac:dyDescent="0.25">
      <c r="A535" s="93"/>
    </row>
    <row r="536" spans="1:1" ht="12.5" x14ac:dyDescent="0.25">
      <c r="A536" s="93"/>
    </row>
    <row r="537" spans="1:1" ht="12.5" x14ac:dyDescent="0.25">
      <c r="A537" s="93"/>
    </row>
    <row r="538" spans="1:1" ht="12.5" x14ac:dyDescent="0.25">
      <c r="A538" s="93"/>
    </row>
    <row r="539" spans="1:1" ht="12.5" x14ac:dyDescent="0.25">
      <c r="A539" s="93"/>
    </row>
    <row r="540" spans="1:1" ht="12.5" x14ac:dyDescent="0.25">
      <c r="A540" s="93"/>
    </row>
    <row r="541" spans="1:1" ht="12.5" x14ac:dyDescent="0.25">
      <c r="A541" s="93"/>
    </row>
    <row r="542" spans="1:1" ht="12.5" x14ac:dyDescent="0.25">
      <c r="A542" s="93"/>
    </row>
    <row r="543" spans="1:1" ht="12.5" x14ac:dyDescent="0.25">
      <c r="A543" s="93"/>
    </row>
    <row r="544" spans="1:1" ht="12.5" x14ac:dyDescent="0.25">
      <c r="A544" s="93"/>
    </row>
    <row r="545" spans="1:1" ht="12.5" x14ac:dyDescent="0.25">
      <c r="A545" s="93"/>
    </row>
    <row r="546" spans="1:1" ht="12.5" x14ac:dyDescent="0.25">
      <c r="A546" s="93"/>
    </row>
    <row r="547" spans="1:1" ht="12.5" x14ac:dyDescent="0.25">
      <c r="A547" s="93"/>
    </row>
    <row r="548" spans="1:1" ht="12.5" x14ac:dyDescent="0.25">
      <c r="A548" s="93"/>
    </row>
    <row r="549" spans="1:1" ht="12.5" x14ac:dyDescent="0.25">
      <c r="A549" s="93"/>
    </row>
    <row r="550" spans="1:1" ht="12.5" x14ac:dyDescent="0.25">
      <c r="A550" s="93"/>
    </row>
    <row r="551" spans="1:1" ht="12.5" x14ac:dyDescent="0.25">
      <c r="A551" s="93"/>
    </row>
    <row r="552" spans="1:1" ht="12.5" x14ac:dyDescent="0.25">
      <c r="A552" s="93"/>
    </row>
    <row r="553" spans="1:1" ht="12.5" x14ac:dyDescent="0.25">
      <c r="A553" s="93"/>
    </row>
    <row r="554" spans="1:1" ht="12.5" x14ac:dyDescent="0.25">
      <c r="A554" s="93"/>
    </row>
    <row r="555" spans="1:1" ht="12.5" x14ac:dyDescent="0.25">
      <c r="A555" s="93"/>
    </row>
    <row r="556" spans="1:1" ht="12.5" x14ac:dyDescent="0.25">
      <c r="A556" s="93"/>
    </row>
    <row r="557" spans="1:1" ht="12.5" x14ac:dyDescent="0.25">
      <c r="A557" s="93"/>
    </row>
    <row r="558" spans="1:1" ht="12.5" x14ac:dyDescent="0.25">
      <c r="A558" s="93"/>
    </row>
    <row r="559" spans="1:1" ht="12.5" x14ac:dyDescent="0.25">
      <c r="A559" s="93"/>
    </row>
    <row r="560" spans="1:1" ht="12.5" x14ac:dyDescent="0.25">
      <c r="A560" s="93"/>
    </row>
    <row r="561" spans="1:1" ht="12.5" x14ac:dyDescent="0.25">
      <c r="A561" s="93"/>
    </row>
    <row r="562" spans="1:1" ht="12.5" x14ac:dyDescent="0.25">
      <c r="A562" s="93"/>
    </row>
    <row r="563" spans="1:1" ht="12.5" x14ac:dyDescent="0.25">
      <c r="A563" s="93"/>
    </row>
    <row r="564" spans="1:1" ht="12.5" x14ac:dyDescent="0.25">
      <c r="A564" s="93"/>
    </row>
    <row r="565" spans="1:1" ht="12.5" x14ac:dyDescent="0.25">
      <c r="A565" s="93"/>
    </row>
    <row r="566" spans="1:1" ht="12.5" x14ac:dyDescent="0.25">
      <c r="A566" s="93"/>
    </row>
    <row r="567" spans="1:1" ht="12.5" x14ac:dyDescent="0.25">
      <c r="A567" s="93"/>
    </row>
    <row r="568" spans="1:1" ht="12.5" x14ac:dyDescent="0.25">
      <c r="A568" s="93"/>
    </row>
    <row r="569" spans="1:1" ht="12.5" x14ac:dyDescent="0.25">
      <c r="A569" s="93"/>
    </row>
    <row r="570" spans="1:1" ht="12.5" x14ac:dyDescent="0.25">
      <c r="A570" s="93"/>
    </row>
    <row r="571" spans="1:1" ht="12.5" x14ac:dyDescent="0.25">
      <c r="A571" s="93"/>
    </row>
    <row r="572" spans="1:1" ht="12.5" x14ac:dyDescent="0.25">
      <c r="A572" s="93"/>
    </row>
    <row r="573" spans="1:1" ht="12.5" x14ac:dyDescent="0.25">
      <c r="A573" s="93"/>
    </row>
    <row r="574" spans="1:1" ht="12.5" x14ac:dyDescent="0.25">
      <c r="A574" s="93"/>
    </row>
    <row r="575" spans="1:1" ht="12.5" x14ac:dyDescent="0.25">
      <c r="A575" s="93"/>
    </row>
    <row r="576" spans="1:1" ht="12.5" x14ac:dyDescent="0.25">
      <c r="A576" s="93"/>
    </row>
    <row r="577" spans="1:1" ht="12.5" x14ac:dyDescent="0.25">
      <c r="A577" s="93"/>
    </row>
    <row r="578" spans="1:1" ht="12.5" x14ac:dyDescent="0.25">
      <c r="A578" s="93"/>
    </row>
    <row r="579" spans="1:1" ht="12.5" x14ac:dyDescent="0.25">
      <c r="A579" s="93"/>
    </row>
    <row r="580" spans="1:1" ht="12.5" x14ac:dyDescent="0.25">
      <c r="A580" s="93"/>
    </row>
    <row r="581" spans="1:1" ht="12.5" x14ac:dyDescent="0.25">
      <c r="A581" s="93"/>
    </row>
    <row r="582" spans="1:1" ht="12.5" x14ac:dyDescent="0.25">
      <c r="A582" s="93"/>
    </row>
    <row r="583" spans="1:1" ht="12.5" x14ac:dyDescent="0.25">
      <c r="A583" s="93"/>
    </row>
    <row r="584" spans="1:1" ht="12.5" x14ac:dyDescent="0.25">
      <c r="A584" s="93"/>
    </row>
    <row r="585" spans="1:1" ht="12.5" x14ac:dyDescent="0.25">
      <c r="A585" s="93"/>
    </row>
    <row r="586" spans="1:1" ht="12.5" x14ac:dyDescent="0.25">
      <c r="A586" s="93"/>
    </row>
    <row r="587" spans="1:1" ht="12.5" x14ac:dyDescent="0.25">
      <c r="A587" s="93"/>
    </row>
    <row r="588" spans="1:1" ht="12.5" x14ac:dyDescent="0.25">
      <c r="A588" s="93"/>
    </row>
    <row r="589" spans="1:1" ht="12.5" x14ac:dyDescent="0.25">
      <c r="A589" s="93"/>
    </row>
    <row r="590" spans="1:1" ht="12.5" x14ac:dyDescent="0.25">
      <c r="A590" s="93"/>
    </row>
    <row r="591" spans="1:1" ht="12.5" x14ac:dyDescent="0.25">
      <c r="A591" s="93"/>
    </row>
    <row r="592" spans="1:1" ht="12.5" x14ac:dyDescent="0.25">
      <c r="A592" s="93"/>
    </row>
    <row r="593" spans="1:1" ht="12.5" x14ac:dyDescent="0.25">
      <c r="A593" s="93"/>
    </row>
    <row r="594" spans="1:1" ht="12.5" x14ac:dyDescent="0.25">
      <c r="A594" s="93"/>
    </row>
    <row r="595" spans="1:1" ht="12.5" x14ac:dyDescent="0.25">
      <c r="A595" s="93"/>
    </row>
    <row r="596" spans="1:1" ht="12.5" x14ac:dyDescent="0.25">
      <c r="A596" s="93"/>
    </row>
    <row r="597" spans="1:1" ht="12.5" x14ac:dyDescent="0.25">
      <c r="A597" s="93"/>
    </row>
    <row r="598" spans="1:1" ht="12.5" x14ac:dyDescent="0.25">
      <c r="A598" s="93"/>
    </row>
    <row r="599" spans="1:1" ht="12.5" x14ac:dyDescent="0.25">
      <c r="A599" s="93"/>
    </row>
    <row r="600" spans="1:1" ht="12.5" x14ac:dyDescent="0.25">
      <c r="A600" s="93"/>
    </row>
    <row r="601" spans="1:1" ht="12.5" x14ac:dyDescent="0.25">
      <c r="A601" s="93"/>
    </row>
    <row r="602" spans="1:1" ht="12.5" x14ac:dyDescent="0.25">
      <c r="A602" s="93"/>
    </row>
    <row r="603" spans="1:1" ht="12.5" x14ac:dyDescent="0.25">
      <c r="A603" s="93"/>
    </row>
    <row r="604" spans="1:1" ht="12.5" x14ac:dyDescent="0.25">
      <c r="A604" s="93"/>
    </row>
    <row r="605" spans="1:1" ht="12.5" x14ac:dyDescent="0.25">
      <c r="A605" s="93"/>
    </row>
    <row r="606" spans="1:1" ht="12.5" x14ac:dyDescent="0.25">
      <c r="A606" s="93"/>
    </row>
    <row r="607" spans="1:1" ht="12.5" x14ac:dyDescent="0.25">
      <c r="A607" s="93"/>
    </row>
    <row r="608" spans="1:1" ht="12.5" x14ac:dyDescent="0.25">
      <c r="A608" s="93"/>
    </row>
    <row r="609" spans="1:1" ht="12.5" x14ac:dyDescent="0.25">
      <c r="A609" s="93"/>
    </row>
    <row r="610" spans="1:1" ht="12.5" x14ac:dyDescent="0.25">
      <c r="A610" s="93"/>
    </row>
    <row r="611" spans="1:1" ht="12.5" x14ac:dyDescent="0.25">
      <c r="A611" s="93"/>
    </row>
    <row r="612" spans="1:1" ht="12.5" x14ac:dyDescent="0.25">
      <c r="A612" s="93"/>
    </row>
    <row r="613" spans="1:1" ht="12.5" x14ac:dyDescent="0.25">
      <c r="A613" s="93"/>
    </row>
    <row r="614" spans="1:1" ht="12.5" x14ac:dyDescent="0.25">
      <c r="A614" s="93"/>
    </row>
    <row r="615" spans="1:1" ht="12.5" x14ac:dyDescent="0.25">
      <c r="A615" s="93"/>
    </row>
    <row r="616" spans="1:1" ht="12.5" x14ac:dyDescent="0.25">
      <c r="A616" s="93"/>
    </row>
    <row r="617" spans="1:1" ht="12.5" x14ac:dyDescent="0.25">
      <c r="A617" s="93"/>
    </row>
    <row r="618" spans="1:1" ht="12.5" x14ac:dyDescent="0.25">
      <c r="A618" s="93"/>
    </row>
    <row r="619" spans="1:1" ht="12.5" x14ac:dyDescent="0.25">
      <c r="A619" s="93"/>
    </row>
    <row r="620" spans="1:1" ht="12.5" x14ac:dyDescent="0.25">
      <c r="A620" s="93"/>
    </row>
    <row r="621" spans="1:1" ht="12.5" x14ac:dyDescent="0.25">
      <c r="A621" s="93"/>
    </row>
    <row r="622" spans="1:1" ht="12.5" x14ac:dyDescent="0.25">
      <c r="A622" s="93"/>
    </row>
    <row r="623" spans="1:1" ht="12.5" x14ac:dyDescent="0.25">
      <c r="A623" s="93"/>
    </row>
    <row r="624" spans="1:1" ht="12.5" x14ac:dyDescent="0.25">
      <c r="A624" s="93"/>
    </row>
    <row r="625" spans="1:1" ht="12.5" x14ac:dyDescent="0.25">
      <c r="A625" s="93"/>
    </row>
    <row r="626" spans="1:1" ht="12.5" x14ac:dyDescent="0.25">
      <c r="A626" s="93"/>
    </row>
    <row r="627" spans="1:1" ht="12.5" x14ac:dyDescent="0.25">
      <c r="A627" s="93"/>
    </row>
    <row r="628" spans="1:1" ht="12.5" x14ac:dyDescent="0.25">
      <c r="A628" s="93"/>
    </row>
    <row r="629" spans="1:1" ht="12.5" x14ac:dyDescent="0.25">
      <c r="A629" s="93"/>
    </row>
    <row r="630" spans="1:1" ht="12.5" x14ac:dyDescent="0.25">
      <c r="A630" s="93"/>
    </row>
    <row r="631" spans="1:1" ht="12.5" x14ac:dyDescent="0.25">
      <c r="A631" s="93"/>
    </row>
    <row r="632" spans="1:1" ht="12.5" x14ac:dyDescent="0.25">
      <c r="A632" s="93"/>
    </row>
    <row r="633" spans="1:1" ht="12.5" x14ac:dyDescent="0.25">
      <c r="A633" s="93"/>
    </row>
    <row r="634" spans="1:1" ht="12.5" x14ac:dyDescent="0.25">
      <c r="A634" s="93"/>
    </row>
    <row r="635" spans="1:1" ht="12.5" x14ac:dyDescent="0.25">
      <c r="A635" s="93"/>
    </row>
    <row r="636" spans="1:1" ht="12.5" x14ac:dyDescent="0.25">
      <c r="A636" s="93"/>
    </row>
    <row r="637" spans="1:1" ht="12.5" x14ac:dyDescent="0.25">
      <c r="A637" s="93"/>
    </row>
    <row r="638" spans="1:1" ht="12.5" x14ac:dyDescent="0.25">
      <c r="A638" s="93"/>
    </row>
    <row r="639" spans="1:1" ht="12.5" x14ac:dyDescent="0.25">
      <c r="A639" s="93"/>
    </row>
    <row r="640" spans="1:1" ht="12.5" x14ac:dyDescent="0.25">
      <c r="A640" s="93"/>
    </row>
    <row r="641" spans="1:1" ht="12.5" x14ac:dyDescent="0.25">
      <c r="A641" s="93"/>
    </row>
    <row r="642" spans="1:1" ht="12.5" x14ac:dyDescent="0.25">
      <c r="A642" s="93"/>
    </row>
    <row r="643" spans="1:1" ht="12.5" x14ac:dyDescent="0.25">
      <c r="A643" s="93"/>
    </row>
    <row r="644" spans="1:1" ht="12.5" x14ac:dyDescent="0.25">
      <c r="A644" s="93"/>
    </row>
    <row r="645" spans="1:1" ht="12.5" x14ac:dyDescent="0.25">
      <c r="A645" s="93"/>
    </row>
    <row r="646" spans="1:1" ht="12.5" x14ac:dyDescent="0.25">
      <c r="A646" s="93"/>
    </row>
    <row r="647" spans="1:1" ht="12.5" x14ac:dyDescent="0.25">
      <c r="A647" s="93"/>
    </row>
    <row r="648" spans="1:1" ht="12.5" x14ac:dyDescent="0.25">
      <c r="A648" s="93"/>
    </row>
    <row r="649" spans="1:1" ht="12.5" x14ac:dyDescent="0.25">
      <c r="A649" s="93"/>
    </row>
    <row r="650" spans="1:1" ht="12.5" x14ac:dyDescent="0.25">
      <c r="A650" s="93"/>
    </row>
    <row r="651" spans="1:1" ht="12.5" x14ac:dyDescent="0.25">
      <c r="A651" s="93"/>
    </row>
    <row r="652" spans="1:1" ht="12.5" x14ac:dyDescent="0.25">
      <c r="A652" s="93"/>
    </row>
    <row r="653" spans="1:1" ht="12.5" x14ac:dyDescent="0.25">
      <c r="A653" s="93"/>
    </row>
    <row r="654" spans="1:1" ht="12.5" x14ac:dyDescent="0.25">
      <c r="A654" s="93"/>
    </row>
    <row r="655" spans="1:1" ht="12.5" x14ac:dyDescent="0.25">
      <c r="A655" s="93"/>
    </row>
    <row r="656" spans="1:1" ht="12.5" x14ac:dyDescent="0.25">
      <c r="A656" s="93"/>
    </row>
    <row r="657" spans="1:1" ht="12.5" x14ac:dyDescent="0.25">
      <c r="A657" s="93"/>
    </row>
    <row r="658" spans="1:1" ht="12.5" x14ac:dyDescent="0.25">
      <c r="A658" s="93"/>
    </row>
    <row r="659" spans="1:1" ht="12.5" x14ac:dyDescent="0.25">
      <c r="A659" s="93"/>
    </row>
    <row r="660" spans="1:1" ht="12.5" x14ac:dyDescent="0.25">
      <c r="A660" s="93"/>
    </row>
    <row r="661" spans="1:1" ht="12.5" x14ac:dyDescent="0.25">
      <c r="A661" s="93"/>
    </row>
    <row r="662" spans="1:1" ht="12.5" x14ac:dyDescent="0.25">
      <c r="A662" s="93"/>
    </row>
    <row r="663" spans="1:1" ht="12.5" x14ac:dyDescent="0.25">
      <c r="A663" s="93"/>
    </row>
    <row r="664" spans="1:1" ht="12.5" x14ac:dyDescent="0.25">
      <c r="A664" s="93"/>
    </row>
    <row r="665" spans="1:1" ht="12.5" x14ac:dyDescent="0.25">
      <c r="A665" s="93"/>
    </row>
    <row r="666" spans="1:1" ht="12.5" x14ac:dyDescent="0.25">
      <c r="A666" s="93"/>
    </row>
    <row r="667" spans="1:1" ht="12.5" x14ac:dyDescent="0.25">
      <c r="A667" s="93"/>
    </row>
    <row r="668" spans="1:1" ht="12.5" x14ac:dyDescent="0.25">
      <c r="A668" s="93"/>
    </row>
    <row r="669" spans="1:1" ht="12.5" x14ac:dyDescent="0.25">
      <c r="A669" s="93"/>
    </row>
    <row r="670" spans="1:1" ht="12.5" x14ac:dyDescent="0.25">
      <c r="A670" s="93"/>
    </row>
    <row r="671" spans="1:1" ht="12.5" x14ac:dyDescent="0.25">
      <c r="A671" s="93"/>
    </row>
    <row r="672" spans="1:1" ht="12.5" x14ac:dyDescent="0.25">
      <c r="A672" s="93"/>
    </row>
    <row r="673" spans="1:1" ht="12.5" x14ac:dyDescent="0.25">
      <c r="A673" s="93"/>
    </row>
    <row r="674" spans="1:1" ht="12.5" x14ac:dyDescent="0.25">
      <c r="A674" s="93"/>
    </row>
    <row r="675" spans="1:1" ht="12.5" x14ac:dyDescent="0.25">
      <c r="A675" s="93"/>
    </row>
    <row r="676" spans="1:1" ht="12.5" x14ac:dyDescent="0.25">
      <c r="A676" s="93"/>
    </row>
    <row r="677" spans="1:1" ht="12.5" x14ac:dyDescent="0.25">
      <c r="A677" s="93"/>
    </row>
    <row r="678" spans="1:1" ht="12.5" x14ac:dyDescent="0.25">
      <c r="A678" s="93"/>
    </row>
    <row r="679" spans="1:1" ht="12.5" x14ac:dyDescent="0.25">
      <c r="A679" s="93"/>
    </row>
    <row r="680" spans="1:1" ht="12.5" x14ac:dyDescent="0.25">
      <c r="A680" s="93"/>
    </row>
    <row r="681" spans="1:1" ht="12.5" x14ac:dyDescent="0.25">
      <c r="A681" s="93"/>
    </row>
    <row r="682" spans="1:1" ht="12.5" x14ac:dyDescent="0.25">
      <c r="A682" s="93"/>
    </row>
    <row r="683" spans="1:1" ht="12.5" x14ac:dyDescent="0.25">
      <c r="A683" s="93"/>
    </row>
    <row r="684" spans="1:1" ht="12.5" x14ac:dyDescent="0.25">
      <c r="A684" s="93"/>
    </row>
    <row r="685" spans="1:1" ht="12.5" x14ac:dyDescent="0.25">
      <c r="A685" s="93"/>
    </row>
    <row r="686" spans="1:1" ht="12.5" x14ac:dyDescent="0.25">
      <c r="A686" s="93"/>
    </row>
    <row r="687" spans="1:1" ht="12.5" x14ac:dyDescent="0.25">
      <c r="A687" s="93"/>
    </row>
    <row r="688" spans="1:1" ht="12.5" x14ac:dyDescent="0.25">
      <c r="A688" s="93"/>
    </row>
    <row r="689" spans="1:1" ht="12.5" x14ac:dyDescent="0.25">
      <c r="A689" s="93"/>
    </row>
    <row r="690" spans="1:1" ht="12.5" x14ac:dyDescent="0.25">
      <c r="A690" s="93"/>
    </row>
    <row r="691" spans="1:1" ht="12.5" x14ac:dyDescent="0.25">
      <c r="A691" s="93"/>
    </row>
    <row r="692" spans="1:1" ht="12.5" x14ac:dyDescent="0.25">
      <c r="A692" s="93"/>
    </row>
    <row r="693" spans="1:1" ht="12.5" x14ac:dyDescent="0.25">
      <c r="A693" s="93"/>
    </row>
    <row r="694" spans="1:1" ht="12.5" x14ac:dyDescent="0.25">
      <c r="A694" s="93"/>
    </row>
    <row r="695" spans="1:1" ht="12.5" x14ac:dyDescent="0.25">
      <c r="A695" s="93"/>
    </row>
    <row r="696" spans="1:1" ht="12.5" x14ac:dyDescent="0.25">
      <c r="A696" s="93"/>
    </row>
    <row r="697" spans="1:1" ht="12.5" x14ac:dyDescent="0.25">
      <c r="A697" s="93"/>
    </row>
    <row r="698" spans="1:1" ht="12.5" x14ac:dyDescent="0.25">
      <c r="A698" s="93"/>
    </row>
    <row r="699" spans="1:1" ht="12.5" x14ac:dyDescent="0.25">
      <c r="A699" s="93"/>
    </row>
    <row r="700" spans="1:1" ht="12.5" x14ac:dyDescent="0.25">
      <c r="A700" s="93"/>
    </row>
    <row r="701" spans="1:1" ht="12.5" x14ac:dyDescent="0.25">
      <c r="A701" s="93"/>
    </row>
    <row r="702" spans="1:1" ht="12.5" x14ac:dyDescent="0.25">
      <c r="A702" s="93"/>
    </row>
    <row r="703" spans="1:1" ht="12.5" x14ac:dyDescent="0.25">
      <c r="A703" s="93"/>
    </row>
    <row r="704" spans="1:1" ht="12.5" x14ac:dyDescent="0.25">
      <c r="A704" s="93"/>
    </row>
    <row r="705" spans="1:1" ht="12.5" x14ac:dyDescent="0.25">
      <c r="A705" s="93"/>
    </row>
    <row r="706" spans="1:1" ht="12.5" x14ac:dyDescent="0.25">
      <c r="A706" s="93"/>
    </row>
    <row r="707" spans="1:1" ht="12.5" x14ac:dyDescent="0.25">
      <c r="A707" s="93"/>
    </row>
    <row r="708" spans="1:1" ht="12.5" x14ac:dyDescent="0.25">
      <c r="A708" s="93"/>
    </row>
    <row r="709" spans="1:1" ht="12.5" x14ac:dyDescent="0.25">
      <c r="A709" s="93"/>
    </row>
    <row r="710" spans="1:1" ht="12.5" x14ac:dyDescent="0.25">
      <c r="A710" s="93"/>
    </row>
    <row r="711" spans="1:1" ht="12.5" x14ac:dyDescent="0.25">
      <c r="A711" s="93"/>
    </row>
    <row r="712" spans="1:1" ht="12.5" x14ac:dyDescent="0.25">
      <c r="A712" s="93"/>
    </row>
    <row r="713" spans="1:1" ht="12.5" x14ac:dyDescent="0.25">
      <c r="A713" s="93"/>
    </row>
    <row r="714" spans="1:1" ht="12.5" x14ac:dyDescent="0.25">
      <c r="A714" s="93"/>
    </row>
    <row r="715" spans="1:1" ht="12.5" x14ac:dyDescent="0.25">
      <c r="A715" s="93"/>
    </row>
    <row r="716" spans="1:1" ht="12.5" x14ac:dyDescent="0.25">
      <c r="A716" s="93"/>
    </row>
    <row r="717" spans="1:1" ht="12.5" x14ac:dyDescent="0.25">
      <c r="A717" s="93"/>
    </row>
    <row r="718" spans="1:1" ht="12.5" x14ac:dyDescent="0.25">
      <c r="A718" s="93"/>
    </row>
    <row r="719" spans="1:1" ht="12.5" x14ac:dyDescent="0.25">
      <c r="A719" s="93"/>
    </row>
    <row r="720" spans="1:1" ht="12.5" x14ac:dyDescent="0.25">
      <c r="A720" s="93"/>
    </row>
    <row r="721" spans="1:1" ht="12.5" x14ac:dyDescent="0.25">
      <c r="A721" s="93"/>
    </row>
    <row r="722" spans="1:1" ht="12.5" x14ac:dyDescent="0.25">
      <c r="A722" s="93"/>
    </row>
    <row r="723" spans="1:1" ht="12.5" x14ac:dyDescent="0.25">
      <c r="A723" s="93"/>
    </row>
    <row r="724" spans="1:1" ht="12.5" x14ac:dyDescent="0.25">
      <c r="A724" s="93"/>
    </row>
    <row r="725" spans="1:1" ht="12.5" x14ac:dyDescent="0.25">
      <c r="A725" s="93"/>
    </row>
    <row r="726" spans="1:1" ht="12.5" x14ac:dyDescent="0.25">
      <c r="A726" s="93"/>
    </row>
    <row r="727" spans="1:1" ht="12.5" x14ac:dyDescent="0.25">
      <c r="A727" s="93"/>
    </row>
    <row r="728" spans="1:1" ht="12.5" x14ac:dyDescent="0.25">
      <c r="A728" s="93"/>
    </row>
    <row r="729" spans="1:1" ht="12.5" x14ac:dyDescent="0.25">
      <c r="A729" s="93"/>
    </row>
    <row r="730" spans="1:1" ht="12.5" x14ac:dyDescent="0.25">
      <c r="A730" s="93"/>
    </row>
    <row r="731" spans="1:1" ht="12.5" x14ac:dyDescent="0.25">
      <c r="A731" s="93"/>
    </row>
    <row r="732" spans="1:1" ht="12.5" x14ac:dyDescent="0.25">
      <c r="A732" s="93"/>
    </row>
    <row r="733" spans="1:1" ht="12.5" x14ac:dyDescent="0.25">
      <c r="A733" s="93"/>
    </row>
    <row r="734" spans="1:1" ht="12.5" x14ac:dyDescent="0.25">
      <c r="A734" s="93"/>
    </row>
    <row r="735" spans="1:1" ht="12.5" x14ac:dyDescent="0.25">
      <c r="A735" s="93"/>
    </row>
    <row r="736" spans="1:1" ht="12.5" x14ac:dyDescent="0.25">
      <c r="A736" s="93"/>
    </row>
    <row r="737" spans="1:1" ht="12.5" x14ac:dyDescent="0.25">
      <c r="A737" s="93"/>
    </row>
    <row r="738" spans="1:1" ht="12.5" x14ac:dyDescent="0.25">
      <c r="A738" s="93"/>
    </row>
    <row r="739" spans="1:1" ht="12.5" x14ac:dyDescent="0.25">
      <c r="A739" s="93"/>
    </row>
    <row r="740" spans="1:1" ht="12.5" x14ac:dyDescent="0.25">
      <c r="A740" s="93"/>
    </row>
    <row r="741" spans="1:1" ht="12.5" x14ac:dyDescent="0.25">
      <c r="A741" s="93"/>
    </row>
    <row r="742" spans="1:1" ht="12.5" x14ac:dyDescent="0.25">
      <c r="A742" s="93"/>
    </row>
    <row r="743" spans="1:1" ht="12.5" x14ac:dyDescent="0.25">
      <c r="A743" s="93"/>
    </row>
    <row r="744" spans="1:1" ht="12.5" x14ac:dyDescent="0.25">
      <c r="A744" s="93"/>
    </row>
    <row r="745" spans="1:1" ht="12.5" x14ac:dyDescent="0.25">
      <c r="A745" s="93"/>
    </row>
    <row r="746" spans="1:1" ht="12.5" x14ac:dyDescent="0.25">
      <c r="A746" s="93"/>
    </row>
    <row r="747" spans="1:1" ht="12.5" x14ac:dyDescent="0.25">
      <c r="A747" s="93"/>
    </row>
    <row r="748" spans="1:1" ht="12.5" x14ac:dyDescent="0.25">
      <c r="A748" s="93"/>
    </row>
    <row r="749" spans="1:1" ht="12.5" x14ac:dyDescent="0.25">
      <c r="A749" s="93"/>
    </row>
    <row r="750" spans="1:1" ht="12.5" x14ac:dyDescent="0.25">
      <c r="A750" s="93"/>
    </row>
    <row r="751" spans="1:1" ht="12.5" x14ac:dyDescent="0.25">
      <c r="A751" s="93"/>
    </row>
    <row r="752" spans="1:1" ht="12.5" x14ac:dyDescent="0.25">
      <c r="A752" s="93"/>
    </row>
    <row r="753" spans="1:1" ht="12.5" x14ac:dyDescent="0.25">
      <c r="A753" s="93"/>
    </row>
    <row r="754" spans="1:1" ht="12.5" x14ac:dyDescent="0.25">
      <c r="A754" s="93"/>
    </row>
    <row r="755" spans="1:1" ht="12.5" x14ac:dyDescent="0.25">
      <c r="A755" s="93"/>
    </row>
    <row r="756" spans="1:1" ht="12.5" x14ac:dyDescent="0.25">
      <c r="A756" s="93"/>
    </row>
    <row r="757" spans="1:1" ht="12.5" x14ac:dyDescent="0.25">
      <c r="A757" s="93"/>
    </row>
    <row r="758" spans="1:1" ht="12.5" x14ac:dyDescent="0.25">
      <c r="A758" s="93"/>
    </row>
    <row r="759" spans="1:1" ht="12.5" x14ac:dyDescent="0.25">
      <c r="A759" s="93"/>
    </row>
    <row r="760" spans="1:1" ht="12.5" x14ac:dyDescent="0.25">
      <c r="A760" s="93"/>
    </row>
    <row r="761" spans="1:1" ht="12.5" x14ac:dyDescent="0.25">
      <c r="A761" s="93"/>
    </row>
    <row r="762" spans="1:1" ht="12.5" x14ac:dyDescent="0.25">
      <c r="A762" s="93"/>
    </row>
    <row r="763" spans="1:1" ht="12.5" x14ac:dyDescent="0.25">
      <c r="A763" s="93"/>
    </row>
    <row r="764" spans="1:1" ht="12.5" x14ac:dyDescent="0.25">
      <c r="A764" s="93"/>
    </row>
    <row r="765" spans="1:1" ht="12.5" x14ac:dyDescent="0.25">
      <c r="A765" s="93"/>
    </row>
    <row r="766" spans="1:1" ht="12.5" x14ac:dyDescent="0.25">
      <c r="A766" s="93"/>
    </row>
    <row r="767" spans="1:1" ht="12.5" x14ac:dyDescent="0.25">
      <c r="A767" s="93"/>
    </row>
    <row r="768" spans="1:1" ht="12.5" x14ac:dyDescent="0.25">
      <c r="A768" s="93"/>
    </row>
    <row r="769" spans="1:1" ht="12.5" x14ac:dyDescent="0.25">
      <c r="A769" s="93"/>
    </row>
    <row r="770" spans="1:1" ht="12.5" x14ac:dyDescent="0.25">
      <c r="A770" s="93"/>
    </row>
    <row r="771" spans="1:1" ht="12.5" x14ac:dyDescent="0.25">
      <c r="A771" s="93"/>
    </row>
    <row r="772" spans="1:1" ht="12.5" x14ac:dyDescent="0.25">
      <c r="A772" s="93"/>
    </row>
    <row r="773" spans="1:1" ht="12.5" x14ac:dyDescent="0.25">
      <c r="A773" s="93"/>
    </row>
    <row r="774" spans="1:1" ht="12.5" x14ac:dyDescent="0.25">
      <c r="A774" s="93"/>
    </row>
    <row r="775" spans="1:1" ht="12.5" x14ac:dyDescent="0.25">
      <c r="A775" s="93"/>
    </row>
    <row r="776" spans="1:1" ht="12.5" x14ac:dyDescent="0.25">
      <c r="A776" s="93"/>
    </row>
    <row r="777" spans="1:1" ht="12.5" x14ac:dyDescent="0.25">
      <c r="A777" s="93"/>
    </row>
    <row r="778" spans="1:1" ht="12.5" x14ac:dyDescent="0.25">
      <c r="A778" s="93"/>
    </row>
    <row r="779" spans="1:1" ht="12.5" x14ac:dyDescent="0.25">
      <c r="A779" s="93"/>
    </row>
    <row r="780" spans="1:1" ht="12.5" x14ac:dyDescent="0.25">
      <c r="A780" s="93"/>
    </row>
    <row r="781" spans="1:1" ht="12.5" x14ac:dyDescent="0.25">
      <c r="A781" s="93"/>
    </row>
    <row r="782" spans="1:1" ht="12.5" x14ac:dyDescent="0.25">
      <c r="A782" s="93"/>
    </row>
    <row r="783" spans="1:1" ht="12.5" x14ac:dyDescent="0.25">
      <c r="A783" s="93"/>
    </row>
    <row r="784" spans="1:1" ht="12.5" x14ac:dyDescent="0.25">
      <c r="A784" s="93"/>
    </row>
    <row r="785" spans="1:1" ht="12.5" x14ac:dyDescent="0.25">
      <c r="A785" s="93"/>
    </row>
    <row r="786" spans="1:1" ht="12.5" x14ac:dyDescent="0.25">
      <c r="A786" s="93"/>
    </row>
    <row r="787" spans="1:1" ht="12.5" x14ac:dyDescent="0.25">
      <c r="A787" s="93"/>
    </row>
    <row r="788" spans="1:1" ht="12.5" x14ac:dyDescent="0.25">
      <c r="A788" s="93"/>
    </row>
    <row r="789" spans="1:1" ht="12.5" x14ac:dyDescent="0.25">
      <c r="A789" s="93"/>
    </row>
    <row r="790" spans="1:1" ht="12.5" x14ac:dyDescent="0.25">
      <c r="A790" s="93"/>
    </row>
    <row r="791" spans="1:1" ht="12.5" x14ac:dyDescent="0.25">
      <c r="A791" s="93"/>
    </row>
    <row r="792" spans="1:1" ht="12.5" x14ac:dyDescent="0.25">
      <c r="A792" s="93"/>
    </row>
    <row r="793" spans="1:1" ht="12.5" x14ac:dyDescent="0.25">
      <c r="A793" s="93"/>
    </row>
    <row r="794" spans="1:1" ht="12.5" x14ac:dyDescent="0.25">
      <c r="A794" s="93"/>
    </row>
    <row r="795" spans="1:1" ht="12.5" x14ac:dyDescent="0.25">
      <c r="A795" s="93"/>
    </row>
    <row r="796" spans="1:1" ht="12.5" x14ac:dyDescent="0.25">
      <c r="A796" s="93"/>
    </row>
    <row r="797" spans="1:1" ht="12.5" x14ac:dyDescent="0.25">
      <c r="A797" s="93"/>
    </row>
    <row r="798" spans="1:1" ht="12.5" x14ac:dyDescent="0.25">
      <c r="A798" s="93"/>
    </row>
    <row r="799" spans="1:1" ht="12.5" x14ac:dyDescent="0.25">
      <c r="A799" s="93"/>
    </row>
    <row r="800" spans="1:1" ht="12.5" x14ac:dyDescent="0.25">
      <c r="A800" s="93"/>
    </row>
    <row r="801" spans="1:1" ht="12.5" x14ac:dyDescent="0.25">
      <c r="A801" s="93"/>
    </row>
    <row r="802" spans="1:1" ht="12.5" x14ac:dyDescent="0.25">
      <c r="A802" s="93"/>
    </row>
    <row r="803" spans="1:1" ht="12.5" x14ac:dyDescent="0.25">
      <c r="A803" s="93"/>
    </row>
    <row r="804" spans="1:1" ht="12.5" x14ac:dyDescent="0.25">
      <c r="A804" s="93"/>
    </row>
    <row r="805" spans="1:1" ht="12.5" x14ac:dyDescent="0.25">
      <c r="A805" s="93"/>
    </row>
    <row r="806" spans="1:1" ht="12.5" x14ac:dyDescent="0.25">
      <c r="A806" s="93"/>
    </row>
    <row r="807" spans="1:1" ht="12.5" x14ac:dyDescent="0.25">
      <c r="A807" s="93"/>
    </row>
    <row r="808" spans="1:1" ht="12.5" x14ac:dyDescent="0.25">
      <c r="A808" s="93"/>
    </row>
    <row r="809" spans="1:1" ht="12.5" x14ac:dyDescent="0.25">
      <c r="A809" s="93"/>
    </row>
    <row r="810" spans="1:1" ht="12.5" x14ac:dyDescent="0.25">
      <c r="A810" s="93"/>
    </row>
    <row r="811" spans="1:1" ht="12.5" x14ac:dyDescent="0.25">
      <c r="A811" s="93"/>
    </row>
    <row r="812" spans="1:1" ht="12.5" x14ac:dyDescent="0.25">
      <c r="A812" s="93"/>
    </row>
    <row r="813" spans="1:1" ht="12.5" x14ac:dyDescent="0.25">
      <c r="A813" s="93"/>
    </row>
    <row r="814" spans="1:1" ht="12.5" x14ac:dyDescent="0.25">
      <c r="A814" s="93"/>
    </row>
    <row r="815" spans="1:1" ht="12.5" x14ac:dyDescent="0.25">
      <c r="A815" s="93"/>
    </row>
    <row r="816" spans="1:1" ht="12.5" x14ac:dyDescent="0.25">
      <c r="A816" s="93"/>
    </row>
    <row r="817" spans="1:1" ht="12.5" x14ac:dyDescent="0.25">
      <c r="A817" s="93"/>
    </row>
    <row r="818" spans="1:1" ht="12.5" x14ac:dyDescent="0.25">
      <c r="A818" s="93"/>
    </row>
    <row r="819" spans="1:1" ht="12.5" x14ac:dyDescent="0.25">
      <c r="A819" s="93"/>
    </row>
    <row r="820" spans="1:1" ht="12.5" x14ac:dyDescent="0.25">
      <c r="A820" s="93"/>
    </row>
    <row r="821" spans="1:1" ht="12.5" x14ac:dyDescent="0.25">
      <c r="A821" s="93"/>
    </row>
    <row r="822" spans="1:1" ht="12.5" x14ac:dyDescent="0.25">
      <c r="A822" s="93"/>
    </row>
    <row r="823" spans="1:1" ht="12.5" x14ac:dyDescent="0.25">
      <c r="A823" s="93"/>
    </row>
    <row r="824" spans="1:1" ht="12.5" x14ac:dyDescent="0.25">
      <c r="A824" s="93"/>
    </row>
    <row r="825" spans="1:1" ht="12.5" x14ac:dyDescent="0.25">
      <c r="A825" s="93"/>
    </row>
    <row r="826" spans="1:1" ht="12.5" x14ac:dyDescent="0.25">
      <c r="A826" s="93"/>
    </row>
    <row r="827" spans="1:1" ht="12.5" x14ac:dyDescent="0.25">
      <c r="A827" s="93"/>
    </row>
    <row r="828" spans="1:1" ht="12.5" x14ac:dyDescent="0.25">
      <c r="A828" s="93"/>
    </row>
    <row r="829" spans="1:1" ht="12.5" x14ac:dyDescent="0.25">
      <c r="A829" s="93"/>
    </row>
    <row r="830" spans="1:1" ht="12.5" x14ac:dyDescent="0.25">
      <c r="A830" s="93"/>
    </row>
    <row r="831" spans="1:1" ht="12.5" x14ac:dyDescent="0.25">
      <c r="A831" s="93"/>
    </row>
    <row r="832" spans="1:1" ht="12.5" x14ac:dyDescent="0.25">
      <c r="A832" s="93"/>
    </row>
    <row r="833" spans="1:1" ht="12.5" x14ac:dyDescent="0.25">
      <c r="A833" s="93"/>
    </row>
    <row r="834" spans="1:1" ht="12.5" x14ac:dyDescent="0.25">
      <c r="A834" s="93"/>
    </row>
    <row r="835" spans="1:1" ht="12.5" x14ac:dyDescent="0.25">
      <c r="A835" s="93"/>
    </row>
    <row r="836" spans="1:1" ht="12.5" x14ac:dyDescent="0.25">
      <c r="A836" s="93"/>
    </row>
    <row r="837" spans="1:1" ht="12.5" x14ac:dyDescent="0.25">
      <c r="A837" s="93"/>
    </row>
    <row r="838" spans="1:1" ht="12.5" x14ac:dyDescent="0.25">
      <c r="A838" s="93"/>
    </row>
    <row r="839" spans="1:1" ht="12.5" x14ac:dyDescent="0.25">
      <c r="A839" s="93"/>
    </row>
    <row r="840" spans="1:1" ht="12.5" x14ac:dyDescent="0.25">
      <c r="A840" s="93"/>
    </row>
    <row r="841" spans="1:1" ht="12.5" x14ac:dyDescent="0.25">
      <c r="A841" s="93"/>
    </row>
    <row r="842" spans="1:1" ht="12.5" x14ac:dyDescent="0.25">
      <c r="A842" s="93"/>
    </row>
    <row r="843" spans="1:1" ht="12.5" x14ac:dyDescent="0.25">
      <c r="A843" s="93"/>
    </row>
    <row r="844" spans="1:1" ht="12.5" x14ac:dyDescent="0.25">
      <c r="A844" s="93"/>
    </row>
    <row r="845" spans="1:1" ht="12.5" x14ac:dyDescent="0.25">
      <c r="A845" s="93"/>
    </row>
    <row r="846" spans="1:1" ht="12.5" x14ac:dyDescent="0.25">
      <c r="A846" s="93"/>
    </row>
    <row r="847" spans="1:1" ht="12.5" x14ac:dyDescent="0.25">
      <c r="A847" s="93"/>
    </row>
    <row r="848" spans="1:1" ht="12.5" x14ac:dyDescent="0.25">
      <c r="A848" s="93"/>
    </row>
    <row r="849" spans="1:1" ht="12.5" x14ac:dyDescent="0.25">
      <c r="A849" s="93"/>
    </row>
    <row r="850" spans="1:1" ht="12.5" x14ac:dyDescent="0.25">
      <c r="A850" s="93"/>
    </row>
    <row r="851" spans="1:1" ht="12.5" x14ac:dyDescent="0.25">
      <c r="A851" s="93"/>
    </row>
    <row r="852" spans="1:1" ht="12.5" x14ac:dyDescent="0.25">
      <c r="A852" s="93"/>
    </row>
    <row r="853" spans="1:1" ht="12.5" x14ac:dyDescent="0.25">
      <c r="A853" s="93"/>
    </row>
    <row r="854" spans="1:1" ht="12.5" x14ac:dyDescent="0.25">
      <c r="A854" s="93"/>
    </row>
    <row r="855" spans="1:1" ht="12.5" x14ac:dyDescent="0.25">
      <c r="A855" s="93"/>
    </row>
    <row r="856" spans="1:1" ht="12.5" x14ac:dyDescent="0.25">
      <c r="A856" s="93"/>
    </row>
    <row r="857" spans="1:1" ht="12.5" x14ac:dyDescent="0.25">
      <c r="A857" s="93"/>
    </row>
    <row r="858" spans="1:1" ht="12.5" x14ac:dyDescent="0.25">
      <c r="A858" s="93"/>
    </row>
    <row r="859" spans="1:1" ht="12.5" x14ac:dyDescent="0.25">
      <c r="A859" s="93"/>
    </row>
    <row r="860" spans="1:1" ht="12.5" x14ac:dyDescent="0.25">
      <c r="A860" s="93"/>
    </row>
    <row r="861" spans="1:1" ht="12.5" x14ac:dyDescent="0.25">
      <c r="A861" s="93"/>
    </row>
    <row r="862" spans="1:1" ht="12.5" x14ac:dyDescent="0.25">
      <c r="A862" s="93"/>
    </row>
    <row r="863" spans="1:1" ht="12.5" x14ac:dyDescent="0.25">
      <c r="A863" s="93"/>
    </row>
    <row r="864" spans="1:1" ht="12.5" x14ac:dyDescent="0.25">
      <c r="A864" s="93"/>
    </row>
    <row r="865" spans="1:1" ht="12.5" x14ac:dyDescent="0.25">
      <c r="A865" s="93"/>
    </row>
    <row r="866" spans="1:1" ht="12.5" x14ac:dyDescent="0.25">
      <c r="A866" s="93"/>
    </row>
    <row r="867" spans="1:1" ht="12.5" x14ac:dyDescent="0.25">
      <c r="A867" s="93"/>
    </row>
    <row r="868" spans="1:1" ht="12.5" x14ac:dyDescent="0.25">
      <c r="A868" s="93"/>
    </row>
    <row r="869" spans="1:1" ht="12.5" x14ac:dyDescent="0.25">
      <c r="A869" s="93"/>
    </row>
    <row r="870" spans="1:1" ht="12.5" x14ac:dyDescent="0.25">
      <c r="A870" s="93"/>
    </row>
    <row r="871" spans="1:1" ht="12.5" x14ac:dyDescent="0.25">
      <c r="A871" s="93"/>
    </row>
    <row r="872" spans="1:1" ht="12.5" x14ac:dyDescent="0.25">
      <c r="A872" s="93"/>
    </row>
    <row r="873" spans="1:1" ht="12.5" x14ac:dyDescent="0.25">
      <c r="A873" s="93"/>
    </row>
    <row r="874" spans="1:1" ht="12.5" x14ac:dyDescent="0.25">
      <c r="A874" s="93"/>
    </row>
    <row r="875" spans="1:1" ht="12.5" x14ac:dyDescent="0.25">
      <c r="A875" s="93"/>
    </row>
    <row r="876" spans="1:1" ht="12.5" x14ac:dyDescent="0.25">
      <c r="A876" s="93"/>
    </row>
    <row r="877" spans="1:1" ht="12.5" x14ac:dyDescent="0.25">
      <c r="A877" s="93"/>
    </row>
    <row r="878" spans="1:1" ht="12.5" x14ac:dyDescent="0.25">
      <c r="A878" s="93"/>
    </row>
    <row r="879" spans="1:1" ht="12.5" x14ac:dyDescent="0.25">
      <c r="A879" s="93"/>
    </row>
    <row r="880" spans="1:1" ht="12.5" x14ac:dyDescent="0.25">
      <c r="A880" s="93"/>
    </row>
    <row r="881" spans="1:1" ht="12.5" x14ac:dyDescent="0.25">
      <c r="A881" s="93"/>
    </row>
    <row r="882" spans="1:1" ht="12.5" x14ac:dyDescent="0.25">
      <c r="A882" s="93"/>
    </row>
    <row r="883" spans="1:1" ht="12.5" x14ac:dyDescent="0.25">
      <c r="A883" s="93"/>
    </row>
    <row r="884" spans="1:1" ht="12.5" x14ac:dyDescent="0.25">
      <c r="A884" s="93"/>
    </row>
    <row r="885" spans="1:1" ht="12.5" x14ac:dyDescent="0.25">
      <c r="A885" s="93"/>
    </row>
    <row r="886" spans="1:1" ht="12.5" x14ac:dyDescent="0.25">
      <c r="A886" s="93"/>
    </row>
    <row r="887" spans="1:1" ht="12.5" x14ac:dyDescent="0.25">
      <c r="A887" s="93"/>
    </row>
    <row r="888" spans="1:1" ht="12.5" x14ac:dyDescent="0.25">
      <c r="A888" s="93"/>
    </row>
    <row r="889" spans="1:1" ht="12.5" x14ac:dyDescent="0.25">
      <c r="A889" s="93"/>
    </row>
    <row r="890" spans="1:1" ht="12.5" x14ac:dyDescent="0.25">
      <c r="A890" s="93"/>
    </row>
    <row r="891" spans="1:1" ht="12.5" x14ac:dyDescent="0.25">
      <c r="A891" s="93"/>
    </row>
    <row r="892" spans="1:1" ht="12.5" x14ac:dyDescent="0.25">
      <c r="A892" s="93"/>
    </row>
    <row r="893" spans="1:1" ht="12.5" x14ac:dyDescent="0.25">
      <c r="A893" s="93"/>
    </row>
    <row r="894" spans="1:1" ht="12.5" x14ac:dyDescent="0.25">
      <c r="A894" s="93"/>
    </row>
    <row r="895" spans="1:1" ht="12.5" x14ac:dyDescent="0.25">
      <c r="A895" s="93"/>
    </row>
    <row r="896" spans="1:1" ht="12.5" x14ac:dyDescent="0.25">
      <c r="A896" s="93"/>
    </row>
    <row r="897" spans="1:1" ht="12.5" x14ac:dyDescent="0.25">
      <c r="A897" s="93"/>
    </row>
    <row r="898" spans="1:1" ht="12.5" x14ac:dyDescent="0.25">
      <c r="A898" s="93"/>
    </row>
    <row r="899" spans="1:1" ht="12.5" x14ac:dyDescent="0.25">
      <c r="A899" s="93"/>
    </row>
    <row r="900" spans="1:1" ht="12.5" x14ac:dyDescent="0.25">
      <c r="A900" s="93"/>
    </row>
    <row r="901" spans="1:1" ht="12.5" x14ac:dyDescent="0.25">
      <c r="A901" s="93"/>
    </row>
    <row r="902" spans="1:1" ht="12.5" x14ac:dyDescent="0.25">
      <c r="A902" s="93"/>
    </row>
    <row r="903" spans="1:1" ht="12.5" x14ac:dyDescent="0.25">
      <c r="A903" s="93"/>
    </row>
    <row r="904" spans="1:1" ht="12.5" x14ac:dyDescent="0.25">
      <c r="A904" s="93"/>
    </row>
    <row r="905" spans="1:1" ht="12.5" x14ac:dyDescent="0.25">
      <c r="A905" s="93"/>
    </row>
    <row r="906" spans="1:1" ht="12.5" x14ac:dyDescent="0.25">
      <c r="A906" s="93"/>
    </row>
    <row r="907" spans="1:1" ht="12.5" x14ac:dyDescent="0.25">
      <c r="A907" s="93"/>
    </row>
    <row r="908" spans="1:1" ht="12.5" x14ac:dyDescent="0.25">
      <c r="A908" s="93"/>
    </row>
    <row r="909" spans="1:1" ht="12.5" x14ac:dyDescent="0.25">
      <c r="A909" s="93"/>
    </row>
    <row r="910" spans="1:1" ht="12.5" x14ac:dyDescent="0.25">
      <c r="A910" s="93"/>
    </row>
    <row r="911" spans="1:1" ht="12.5" x14ac:dyDescent="0.25">
      <c r="A911" s="93"/>
    </row>
    <row r="912" spans="1:1" ht="12.5" x14ac:dyDescent="0.25">
      <c r="A912" s="93"/>
    </row>
    <row r="913" spans="1:1" ht="12.5" x14ac:dyDescent="0.25">
      <c r="A913" s="93"/>
    </row>
    <row r="914" spans="1:1" ht="12.5" x14ac:dyDescent="0.25">
      <c r="A914" s="93"/>
    </row>
    <row r="915" spans="1:1" ht="12.5" x14ac:dyDescent="0.25">
      <c r="A915" s="93"/>
    </row>
    <row r="916" spans="1:1" ht="12.5" x14ac:dyDescent="0.25">
      <c r="A916" s="93"/>
    </row>
    <row r="917" spans="1:1" ht="12.5" x14ac:dyDescent="0.25">
      <c r="A917" s="93"/>
    </row>
    <row r="918" spans="1:1" ht="12.5" x14ac:dyDescent="0.25">
      <c r="A918" s="93"/>
    </row>
    <row r="919" spans="1:1" ht="12.5" x14ac:dyDescent="0.25">
      <c r="A919" s="93"/>
    </row>
    <row r="920" spans="1:1" ht="12.5" x14ac:dyDescent="0.25">
      <c r="A920" s="93"/>
    </row>
    <row r="921" spans="1:1" ht="12.5" x14ac:dyDescent="0.25">
      <c r="A921" s="93"/>
    </row>
    <row r="922" spans="1:1" ht="12.5" x14ac:dyDescent="0.25">
      <c r="A922" s="93"/>
    </row>
    <row r="923" spans="1:1" ht="12.5" x14ac:dyDescent="0.25">
      <c r="A923" s="93"/>
    </row>
    <row r="924" spans="1:1" ht="12.5" x14ac:dyDescent="0.25">
      <c r="A924" s="93"/>
    </row>
    <row r="925" spans="1:1" ht="12.5" x14ac:dyDescent="0.25">
      <c r="A925" s="93"/>
    </row>
    <row r="926" spans="1:1" ht="12.5" x14ac:dyDescent="0.25">
      <c r="A926" s="93"/>
    </row>
    <row r="927" spans="1:1" ht="12.5" x14ac:dyDescent="0.25">
      <c r="A927" s="93"/>
    </row>
    <row r="928" spans="1:1" ht="12.5" x14ac:dyDescent="0.25">
      <c r="A928" s="93"/>
    </row>
    <row r="929" spans="1:1" ht="12.5" x14ac:dyDescent="0.25">
      <c r="A929" s="93"/>
    </row>
    <row r="930" spans="1:1" ht="12.5" x14ac:dyDescent="0.25">
      <c r="A930" s="93"/>
    </row>
    <row r="931" spans="1:1" ht="12.5" x14ac:dyDescent="0.25">
      <c r="A931" s="93"/>
    </row>
    <row r="932" spans="1:1" ht="12.5" x14ac:dyDescent="0.25">
      <c r="A932" s="93"/>
    </row>
    <row r="933" spans="1:1" ht="12.5" x14ac:dyDescent="0.25">
      <c r="A933" s="93"/>
    </row>
    <row r="934" spans="1:1" ht="12.5" x14ac:dyDescent="0.25">
      <c r="A934" s="93"/>
    </row>
    <row r="935" spans="1:1" ht="12.5" x14ac:dyDescent="0.25">
      <c r="A935" s="93"/>
    </row>
    <row r="936" spans="1:1" ht="12.5" x14ac:dyDescent="0.25">
      <c r="A936" s="93"/>
    </row>
    <row r="937" spans="1:1" ht="12.5" x14ac:dyDescent="0.25">
      <c r="A937" s="93"/>
    </row>
    <row r="938" spans="1:1" ht="12.5" x14ac:dyDescent="0.25">
      <c r="A938" s="93"/>
    </row>
    <row r="939" spans="1:1" ht="12.5" x14ac:dyDescent="0.25">
      <c r="A939" s="93"/>
    </row>
    <row r="940" spans="1:1" ht="12.5" x14ac:dyDescent="0.25">
      <c r="A940" s="93"/>
    </row>
    <row r="941" spans="1:1" ht="12.5" x14ac:dyDescent="0.25">
      <c r="A941" s="93"/>
    </row>
    <row r="942" spans="1:1" ht="12.5" x14ac:dyDescent="0.25">
      <c r="A942" s="93"/>
    </row>
    <row r="943" spans="1:1" ht="12.5" x14ac:dyDescent="0.25">
      <c r="A943" s="93"/>
    </row>
    <row r="944" spans="1:1" ht="12.5" x14ac:dyDescent="0.25">
      <c r="A944" s="93"/>
    </row>
    <row r="945" spans="1:1" ht="12.5" x14ac:dyDescent="0.25">
      <c r="A945" s="93"/>
    </row>
    <row r="946" spans="1:1" ht="12.5" x14ac:dyDescent="0.25">
      <c r="A946" s="93"/>
    </row>
    <row r="947" spans="1:1" ht="12.5" x14ac:dyDescent="0.25">
      <c r="A947" s="93"/>
    </row>
    <row r="948" spans="1:1" ht="12.5" x14ac:dyDescent="0.25">
      <c r="A948" s="93"/>
    </row>
    <row r="949" spans="1:1" ht="12.5" x14ac:dyDescent="0.25">
      <c r="A949" s="93"/>
    </row>
    <row r="950" spans="1:1" ht="12.5" x14ac:dyDescent="0.25">
      <c r="A950" s="93"/>
    </row>
    <row r="951" spans="1:1" ht="12.5" x14ac:dyDescent="0.25">
      <c r="A951" s="93"/>
    </row>
    <row r="952" spans="1:1" ht="12.5" x14ac:dyDescent="0.25">
      <c r="A952" s="93"/>
    </row>
    <row r="953" spans="1:1" ht="12.5" x14ac:dyDescent="0.25">
      <c r="A953" s="93"/>
    </row>
    <row r="954" spans="1:1" ht="12.5" x14ac:dyDescent="0.25">
      <c r="A954" s="93"/>
    </row>
    <row r="955" spans="1:1" ht="12.5" x14ac:dyDescent="0.25">
      <c r="A955" s="93"/>
    </row>
    <row r="956" spans="1:1" ht="12.5" x14ac:dyDescent="0.25">
      <c r="A956" s="93"/>
    </row>
    <row r="957" spans="1:1" ht="12.5" x14ac:dyDescent="0.25">
      <c r="A957" s="93"/>
    </row>
    <row r="958" spans="1:1" ht="12.5" x14ac:dyDescent="0.25">
      <c r="A958" s="93"/>
    </row>
    <row r="959" spans="1:1" ht="12.5" x14ac:dyDescent="0.25">
      <c r="A959" s="93"/>
    </row>
    <row r="960" spans="1:1" ht="12.5" x14ac:dyDescent="0.25">
      <c r="A960" s="93"/>
    </row>
    <row r="961" spans="1:1" ht="12.5" x14ac:dyDescent="0.25">
      <c r="A961" s="93"/>
    </row>
    <row r="962" spans="1:1" ht="12.5" x14ac:dyDescent="0.25">
      <c r="A962" s="93"/>
    </row>
    <row r="963" spans="1:1" ht="12.5" x14ac:dyDescent="0.25">
      <c r="A963" s="93"/>
    </row>
    <row r="964" spans="1:1" ht="12.5" x14ac:dyDescent="0.25">
      <c r="A964" s="93"/>
    </row>
    <row r="965" spans="1:1" ht="12.5" x14ac:dyDescent="0.25">
      <c r="A965" s="93"/>
    </row>
    <row r="966" spans="1:1" ht="12.5" x14ac:dyDescent="0.25">
      <c r="A966" s="93"/>
    </row>
    <row r="967" spans="1:1" ht="12.5" x14ac:dyDescent="0.25">
      <c r="A967" s="93"/>
    </row>
    <row r="968" spans="1:1" ht="12.5" x14ac:dyDescent="0.25">
      <c r="A968" s="93"/>
    </row>
    <row r="969" spans="1:1" ht="12.5" x14ac:dyDescent="0.25">
      <c r="A969" s="93"/>
    </row>
    <row r="970" spans="1:1" ht="12.5" x14ac:dyDescent="0.25">
      <c r="A970" s="93"/>
    </row>
    <row r="971" spans="1:1" ht="12.5" x14ac:dyDescent="0.25">
      <c r="A971" s="93"/>
    </row>
    <row r="972" spans="1:1" ht="12.5" x14ac:dyDescent="0.25">
      <c r="A972" s="93"/>
    </row>
    <row r="973" spans="1:1" ht="12.5" x14ac:dyDescent="0.25">
      <c r="A973" s="93"/>
    </row>
    <row r="974" spans="1:1" ht="12.5" x14ac:dyDescent="0.25">
      <c r="A974" s="93"/>
    </row>
    <row r="975" spans="1:1" ht="12.5" x14ac:dyDescent="0.25">
      <c r="A975" s="93"/>
    </row>
    <row r="976" spans="1:1" ht="12.5" x14ac:dyDescent="0.25">
      <c r="A976" s="93"/>
    </row>
    <row r="977" spans="1:1" ht="12.5" x14ac:dyDescent="0.25">
      <c r="A977" s="93"/>
    </row>
    <row r="978" spans="1:1" ht="12.5" x14ac:dyDescent="0.25">
      <c r="A978" s="93"/>
    </row>
    <row r="979" spans="1:1" ht="12.5" x14ac:dyDescent="0.25">
      <c r="A979" s="93"/>
    </row>
    <row r="980" spans="1:1" ht="12.5" x14ac:dyDescent="0.25">
      <c r="A980" s="93"/>
    </row>
    <row r="981" spans="1:1" ht="12.5" x14ac:dyDescent="0.25">
      <c r="A981" s="93"/>
    </row>
    <row r="982" spans="1:1" ht="12.5" x14ac:dyDescent="0.25">
      <c r="A982" s="93"/>
    </row>
    <row r="983" spans="1:1" ht="12.5" x14ac:dyDescent="0.25">
      <c r="A983" s="93"/>
    </row>
    <row r="984" spans="1:1" ht="12.5" x14ac:dyDescent="0.25">
      <c r="A984" s="93"/>
    </row>
    <row r="985" spans="1:1" ht="12.5" x14ac:dyDescent="0.25">
      <c r="A985" s="93"/>
    </row>
    <row r="986" spans="1:1" ht="12.5" x14ac:dyDescent="0.25">
      <c r="A986" s="93"/>
    </row>
    <row r="987" spans="1:1" ht="12.5" x14ac:dyDescent="0.25">
      <c r="A987" s="93"/>
    </row>
    <row r="988" spans="1:1" ht="12.5" x14ac:dyDescent="0.25">
      <c r="A988" s="93"/>
    </row>
    <row r="989" spans="1:1" ht="12.5" x14ac:dyDescent="0.25">
      <c r="A989" s="93"/>
    </row>
    <row r="990" spans="1:1" ht="12.5" x14ac:dyDescent="0.25">
      <c r="A990" s="93"/>
    </row>
    <row r="991" spans="1:1" ht="12.5" x14ac:dyDescent="0.25">
      <c r="A991" s="93"/>
    </row>
    <row r="992" spans="1:1" ht="12.5" x14ac:dyDescent="0.25">
      <c r="A992" s="93"/>
    </row>
    <row r="993" spans="1:1" ht="12.5" x14ac:dyDescent="0.25">
      <c r="A993" s="93"/>
    </row>
    <row r="994" spans="1:1" ht="12.5" x14ac:dyDescent="0.25">
      <c r="A994" s="93"/>
    </row>
    <row r="995" spans="1:1" ht="12.5" x14ac:dyDescent="0.25">
      <c r="A995" s="93"/>
    </row>
    <row r="996" spans="1:1" ht="12.5" x14ac:dyDescent="0.25">
      <c r="A996" s="93"/>
    </row>
    <row r="997" spans="1:1" ht="12.5" x14ac:dyDescent="0.25">
      <c r="A997" s="93"/>
    </row>
    <row r="998" spans="1:1" ht="12.5" x14ac:dyDescent="0.25">
      <c r="A998" s="93"/>
    </row>
    <row r="999" spans="1:1" ht="12.5" x14ac:dyDescent="0.25">
      <c r="A999" s="93"/>
    </row>
    <row r="1000" spans="1:1" ht="12.5" x14ac:dyDescent="0.25">
      <c r="A1000" s="9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B1002"/>
  <sheetViews>
    <sheetView showGridLines="0" workbookViewId="0"/>
  </sheetViews>
  <sheetFormatPr defaultColWidth="12.6328125" defaultRowHeight="15.75" customHeight="1" x14ac:dyDescent="0.25"/>
  <cols>
    <col min="1" max="1" width="3" customWidth="1"/>
    <col min="2" max="2" width="4.36328125" customWidth="1"/>
    <col min="3" max="3" width="19.90625" customWidth="1"/>
    <col min="10" max="10" width="7.08984375" customWidth="1"/>
    <col min="11" max="11" width="16.26953125" customWidth="1"/>
  </cols>
  <sheetData>
    <row r="1" spans="1:28" ht="12.75" customHeight="1" x14ac:dyDescent="0.25">
      <c r="A1" s="95"/>
      <c r="B1" s="95"/>
      <c r="C1" s="95"/>
      <c r="D1" s="95"/>
      <c r="E1" s="95"/>
      <c r="F1" s="95"/>
      <c r="G1" s="95"/>
    </row>
    <row r="2" spans="1:28" ht="27.75" customHeight="1" x14ac:dyDescent="0.25">
      <c r="A2" s="96"/>
      <c r="B2" s="96"/>
      <c r="C2" s="96"/>
      <c r="D2" s="96"/>
      <c r="E2" s="96"/>
      <c r="F2" s="96"/>
      <c r="G2" s="96"/>
      <c r="H2" s="96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</row>
    <row r="3" spans="1:28" ht="27.75" customHeight="1" x14ac:dyDescent="0.25">
      <c r="A3" s="95"/>
      <c r="B3" s="98" t="s">
        <v>1977</v>
      </c>
      <c r="C3" s="98" t="s">
        <v>2049</v>
      </c>
      <c r="D3" s="98" t="s">
        <v>134</v>
      </c>
      <c r="E3" s="98" t="s">
        <v>151</v>
      </c>
      <c r="F3" s="98" t="s">
        <v>251</v>
      </c>
      <c r="G3" s="98" t="s">
        <v>94</v>
      </c>
      <c r="H3" s="99" t="s">
        <v>2050</v>
      </c>
      <c r="J3" s="65" t="s">
        <v>134</v>
      </c>
      <c r="K3" s="100">
        <f>SUMIF(datadasar!B:B,J3,datadasar!H:H)</f>
        <v>21320837000</v>
      </c>
    </row>
    <row r="4" spans="1:28" ht="27.75" customHeight="1" x14ac:dyDescent="0.25">
      <c r="A4" s="101"/>
      <c r="B4" s="102">
        <v>1</v>
      </c>
      <c r="C4" s="103" t="s">
        <v>95</v>
      </c>
      <c r="D4" s="102">
        <f>COUNTIFS(datadasar!B:B,$D$3,datadasar!C:C,$C4)</f>
        <v>17</v>
      </c>
      <c r="E4" s="102">
        <f>COUNTIFS(datadasar!B:B,$E$3,datadasar!C:C,$C4)</f>
        <v>3</v>
      </c>
      <c r="F4" s="102">
        <f>COUNTIFS(datadasar!B:B,$F$3,datadasar!C:C,$C4)</f>
        <v>25</v>
      </c>
      <c r="G4" s="102">
        <f>COUNTIFS(datadasar!B:B,$G$3,datadasar!C:C,$C4)</f>
        <v>8</v>
      </c>
      <c r="H4" s="99">
        <f t="shared" ref="H4:H13" si="0">SUM(D4:G4)</f>
        <v>53</v>
      </c>
      <c r="J4" s="65" t="s">
        <v>251</v>
      </c>
      <c r="K4" s="100">
        <f>SUMIF(datadasar!B:B,J4,datadasar!H:H)</f>
        <v>55720349500</v>
      </c>
    </row>
    <row r="5" spans="1:28" ht="27.75" customHeight="1" x14ac:dyDescent="0.25">
      <c r="A5" s="101"/>
      <c r="B5" s="102">
        <v>2</v>
      </c>
      <c r="C5" s="103" t="s">
        <v>381</v>
      </c>
      <c r="D5" s="102">
        <f>COUNTIFS(datadasar!B:B,$D$3,datadasar!C:C,$C5)</f>
        <v>5</v>
      </c>
      <c r="E5" s="102">
        <f>COUNTIFS(datadasar!B:B,$E$3,datadasar!C:C,$C5)</f>
        <v>0</v>
      </c>
      <c r="F5" s="102">
        <f>COUNTIFS(datadasar!B:B,$F$3,datadasar!C:C,$C5)</f>
        <v>6</v>
      </c>
      <c r="G5" s="102">
        <f>COUNTIFS(datadasar!B:B,$G$3,datadasar!C:C,$C5)</f>
        <v>5</v>
      </c>
      <c r="H5" s="99">
        <f t="shared" si="0"/>
        <v>16</v>
      </c>
      <c r="J5" s="65" t="s">
        <v>151</v>
      </c>
      <c r="K5" s="100">
        <f>SUMIF(datadasar!B:B,J5,datadasar!H:H)</f>
        <v>2121719000</v>
      </c>
    </row>
    <row r="6" spans="1:28" ht="27.75" customHeight="1" x14ac:dyDescent="0.25">
      <c r="A6" s="101"/>
      <c r="B6" s="102">
        <v>3</v>
      </c>
      <c r="C6" s="103" t="s">
        <v>494</v>
      </c>
      <c r="D6" s="102">
        <f>COUNTIFS(datadasar!B:B,$D$3,datadasar!C:C,$C6)</f>
        <v>8</v>
      </c>
      <c r="E6" s="102">
        <f>COUNTIFS(datadasar!B:B,$E$3,datadasar!C:C,$C6)</f>
        <v>5</v>
      </c>
      <c r="F6" s="102">
        <f>COUNTIFS(datadasar!B:B,$F$3,datadasar!C:C,$C6)</f>
        <v>9</v>
      </c>
      <c r="G6" s="102">
        <f>COUNTIFS(datadasar!B:B,$G$3,datadasar!C:C,$C6)</f>
        <v>2</v>
      </c>
      <c r="H6" s="99">
        <f t="shared" si="0"/>
        <v>24</v>
      </c>
      <c r="J6" s="65" t="s">
        <v>94</v>
      </c>
      <c r="K6" s="100">
        <f>SUMIF(datadasar!B:B,J6,datadasar!H:H)</f>
        <v>19650822250</v>
      </c>
    </row>
    <row r="7" spans="1:28" ht="27.75" customHeight="1" x14ac:dyDescent="0.25">
      <c r="A7" s="101"/>
      <c r="B7" s="102">
        <v>4</v>
      </c>
      <c r="C7" s="103" t="s">
        <v>633</v>
      </c>
      <c r="D7" s="102">
        <f>COUNTIFS(datadasar!B:B,$D$3,datadasar!C:C,$C7)</f>
        <v>5</v>
      </c>
      <c r="E7" s="102">
        <f>COUNTIFS(datadasar!B:B,$E$3,datadasar!C:C,$C7)</f>
        <v>0</v>
      </c>
      <c r="F7" s="102">
        <f>COUNTIFS(datadasar!B:B,$F$3,datadasar!C:C,$C7)</f>
        <v>7</v>
      </c>
      <c r="G7" s="102">
        <f>COUNTIFS(datadasar!B:B,$G$3,datadasar!C:C,$C7)</f>
        <v>4</v>
      </c>
      <c r="H7" s="99">
        <f t="shared" si="0"/>
        <v>16</v>
      </c>
      <c r="K7" s="100">
        <f>SUM(K3:K6)</f>
        <v>98813727750</v>
      </c>
    </row>
    <row r="8" spans="1:28" ht="27.75" customHeight="1" x14ac:dyDescent="0.25">
      <c r="A8" s="101"/>
      <c r="B8" s="102">
        <v>5</v>
      </c>
      <c r="C8" s="103" t="s">
        <v>731</v>
      </c>
      <c r="D8" s="102">
        <f>COUNTIFS(datadasar!B:B,$D$3,datadasar!C:C,$C8)</f>
        <v>18</v>
      </c>
      <c r="E8" s="102">
        <f>COUNTIFS(datadasar!B:B,$E$3,datadasar!C:C,$C8)</f>
        <v>5</v>
      </c>
      <c r="F8" s="102">
        <f>COUNTIFS(datadasar!B:B,$F$3,datadasar!C:C,$C8)</f>
        <v>27</v>
      </c>
      <c r="G8" s="102">
        <f>COUNTIFS(datadasar!B:B,$G$3,datadasar!C:C,$C8)</f>
        <v>24</v>
      </c>
      <c r="H8" s="99">
        <f t="shared" si="0"/>
        <v>74</v>
      </c>
    </row>
    <row r="9" spans="1:28" ht="27.75" customHeight="1" x14ac:dyDescent="0.25">
      <c r="A9" s="101"/>
      <c r="B9" s="102">
        <v>6</v>
      </c>
      <c r="C9" s="103" t="s">
        <v>1132</v>
      </c>
      <c r="D9" s="102">
        <f>COUNTIFS(datadasar!B:B,$D$3,datadasar!C:C,$C9)</f>
        <v>5</v>
      </c>
      <c r="E9" s="102">
        <f>COUNTIFS(datadasar!B:B,$E$3,datadasar!C:C,$C9)</f>
        <v>2</v>
      </c>
      <c r="F9" s="102">
        <f>COUNTIFS(datadasar!B:B,$F$3,datadasar!C:C,$C9)</f>
        <v>10</v>
      </c>
      <c r="G9" s="102">
        <f>COUNTIFS(datadasar!B:B,$G$3,datadasar!C:C,$C9)</f>
        <v>9</v>
      </c>
      <c r="H9" s="99">
        <f t="shared" si="0"/>
        <v>26</v>
      </c>
    </row>
    <row r="10" spans="1:28" ht="27.75" customHeight="1" x14ac:dyDescent="0.25">
      <c r="A10" s="101"/>
      <c r="B10" s="102">
        <v>7</v>
      </c>
      <c r="C10" s="103" t="s">
        <v>1296</v>
      </c>
      <c r="D10" s="102">
        <f>COUNTIFS(datadasar!B:B,$D$3,datadasar!C:C,$C10)</f>
        <v>2</v>
      </c>
      <c r="E10" s="102">
        <f>COUNTIFS(datadasar!B:B,$E$3,datadasar!C:C,$C10)</f>
        <v>0</v>
      </c>
      <c r="F10" s="102">
        <f>COUNTIFS(datadasar!B:B,$F$3,datadasar!C:C,$C10)</f>
        <v>2</v>
      </c>
      <c r="G10" s="102">
        <f>COUNTIFS(datadasar!B:B,$G$3,datadasar!C:C,$C10)</f>
        <v>0</v>
      </c>
      <c r="H10" s="99">
        <f t="shared" si="0"/>
        <v>4</v>
      </c>
    </row>
    <row r="11" spans="1:28" ht="27.75" customHeight="1" x14ac:dyDescent="0.25">
      <c r="A11" s="101"/>
      <c r="B11" s="102">
        <v>8</v>
      </c>
      <c r="C11" s="103" t="s">
        <v>1320</v>
      </c>
      <c r="D11" s="102">
        <f>COUNTIFS(datadasar!B:B,$D$3,datadasar!C:C,$C11)</f>
        <v>4</v>
      </c>
      <c r="E11" s="102">
        <f>COUNTIFS(datadasar!B:B,$E$3,datadasar!C:C,$C11)</f>
        <v>0</v>
      </c>
      <c r="F11" s="102">
        <f>COUNTIFS(datadasar!B:B,$F$3,datadasar!C:C,$C11)</f>
        <v>6</v>
      </c>
      <c r="G11" s="102">
        <f>COUNTIFS(datadasar!B:B,$G$3,datadasar!C:C,$C11)</f>
        <v>16</v>
      </c>
      <c r="H11" s="99">
        <f t="shared" si="0"/>
        <v>26</v>
      </c>
    </row>
    <row r="12" spans="1:28" ht="27.75" customHeight="1" x14ac:dyDescent="0.25">
      <c r="A12" s="101"/>
      <c r="B12" s="102">
        <v>9</v>
      </c>
      <c r="C12" s="103" t="s">
        <v>1485</v>
      </c>
      <c r="D12" s="102">
        <f>COUNTIFS(datadasar!B:B,$D$3,datadasar!C:C,$C12)</f>
        <v>3</v>
      </c>
      <c r="E12" s="102">
        <f>COUNTIFS(datadasar!B:B,$E$3,datadasar!C:C,$C12)</f>
        <v>0</v>
      </c>
      <c r="F12" s="102">
        <f>COUNTIFS(datadasar!B:B,$F$3,datadasar!C:C,$C12)</f>
        <v>5</v>
      </c>
      <c r="G12" s="102">
        <f>COUNTIFS(datadasar!B:B,$G$3,datadasar!C:C,$C12)</f>
        <v>7</v>
      </c>
      <c r="H12" s="99">
        <f t="shared" si="0"/>
        <v>15</v>
      </c>
    </row>
    <row r="13" spans="1:28" ht="27.75" customHeight="1" x14ac:dyDescent="0.25">
      <c r="A13" s="101"/>
      <c r="B13" s="102">
        <v>10</v>
      </c>
      <c r="C13" s="103" t="s">
        <v>1573</v>
      </c>
      <c r="D13" s="102">
        <f>COUNTIFS(datadasar!B:B,$D$3,datadasar!C:C,$C13)</f>
        <v>23</v>
      </c>
      <c r="E13" s="102">
        <f>COUNTIFS(datadasar!B:B,$E$3,datadasar!C:C,$C13)</f>
        <v>9</v>
      </c>
      <c r="F13" s="102">
        <f>COUNTIFS(datadasar!B:B,$F$3,datadasar!C:C,$C13)</f>
        <v>27</v>
      </c>
      <c r="G13" s="102">
        <f>COUNTIFS(datadasar!B:B,$G$3,datadasar!C:C,$C13)</f>
        <v>15</v>
      </c>
      <c r="H13" s="99">
        <f t="shared" si="0"/>
        <v>74</v>
      </c>
    </row>
    <row r="14" spans="1:28" ht="32.25" customHeight="1" x14ac:dyDescent="0.25">
      <c r="A14" s="104"/>
      <c r="B14" s="114" t="s">
        <v>2050</v>
      </c>
      <c r="C14" s="115"/>
      <c r="D14" s="99">
        <f t="shared" ref="D14:H14" si="1">SUM(D4:D13)</f>
        <v>90</v>
      </c>
      <c r="E14" s="99">
        <f t="shared" si="1"/>
        <v>24</v>
      </c>
      <c r="F14" s="99">
        <f t="shared" si="1"/>
        <v>124</v>
      </c>
      <c r="G14" s="99">
        <f t="shared" si="1"/>
        <v>90</v>
      </c>
      <c r="H14" s="99">
        <f t="shared" si="1"/>
        <v>328</v>
      </c>
    </row>
    <row r="15" spans="1:28" ht="12.5" x14ac:dyDescent="0.25">
      <c r="A15" s="104"/>
      <c r="B15" s="104"/>
      <c r="D15" s="104"/>
      <c r="E15" s="104"/>
      <c r="F15" s="104"/>
      <c r="G15" s="104"/>
    </row>
    <row r="16" spans="1:28" ht="12.5" x14ac:dyDescent="0.25">
      <c r="A16" s="104"/>
      <c r="B16" s="104"/>
      <c r="E16" s="104"/>
      <c r="F16" s="104"/>
      <c r="G16" s="104"/>
    </row>
    <row r="17" spans="1:7" ht="12.5" x14ac:dyDescent="0.25">
      <c r="A17" s="104"/>
      <c r="B17" s="104"/>
      <c r="E17" s="104"/>
      <c r="F17" s="104"/>
      <c r="G17" s="104"/>
    </row>
    <row r="18" spans="1:7" ht="12.5" x14ac:dyDescent="0.25">
      <c r="A18" s="104"/>
      <c r="B18" s="104"/>
      <c r="E18" s="104"/>
      <c r="F18" s="104"/>
      <c r="G18" s="104"/>
    </row>
    <row r="19" spans="1:7" ht="12.5" x14ac:dyDescent="0.25">
      <c r="A19" s="104"/>
      <c r="B19" s="104"/>
      <c r="E19" s="104"/>
      <c r="F19" s="104"/>
      <c r="G19" s="104"/>
    </row>
    <row r="20" spans="1:7" ht="12.5" x14ac:dyDescent="0.25">
      <c r="A20" s="104"/>
      <c r="B20" s="104"/>
      <c r="E20" s="104"/>
      <c r="F20" s="104"/>
      <c r="G20" s="104"/>
    </row>
    <row r="21" spans="1:7" ht="12.5" x14ac:dyDescent="0.25">
      <c r="A21" s="104"/>
      <c r="B21" s="104"/>
      <c r="D21" s="104"/>
      <c r="E21" s="104"/>
      <c r="F21" s="104"/>
      <c r="G21" s="104"/>
    </row>
    <row r="22" spans="1:7" ht="12.5" x14ac:dyDescent="0.25">
      <c r="A22" s="104"/>
      <c r="B22" s="104"/>
      <c r="D22" s="104"/>
      <c r="E22" s="104"/>
      <c r="F22" s="104"/>
      <c r="G22" s="104"/>
    </row>
    <row r="23" spans="1:7" ht="12.5" x14ac:dyDescent="0.25">
      <c r="A23" s="104"/>
      <c r="B23" s="104"/>
      <c r="D23" s="104"/>
      <c r="E23" s="104"/>
      <c r="F23" s="104"/>
      <c r="G23" s="104"/>
    </row>
    <row r="24" spans="1:7" ht="12.5" x14ac:dyDescent="0.25">
      <c r="A24" s="104"/>
      <c r="B24" s="104"/>
      <c r="D24" s="104"/>
      <c r="E24" s="104"/>
      <c r="F24" s="104"/>
      <c r="G24" s="104"/>
    </row>
    <row r="25" spans="1:7" ht="12.5" x14ac:dyDescent="0.25">
      <c r="A25" s="104"/>
      <c r="B25" s="104"/>
      <c r="D25" s="104"/>
      <c r="E25" s="104"/>
      <c r="F25" s="104"/>
      <c r="G25" s="104"/>
    </row>
    <row r="26" spans="1:7" ht="12.5" x14ac:dyDescent="0.25">
      <c r="A26" s="104"/>
      <c r="B26" s="104"/>
      <c r="D26" s="104"/>
      <c r="E26" s="104"/>
      <c r="F26" s="104"/>
      <c r="G26" s="104"/>
    </row>
    <row r="27" spans="1:7" ht="12.5" x14ac:dyDescent="0.25">
      <c r="A27" s="104"/>
      <c r="B27" s="104"/>
      <c r="D27" s="104"/>
      <c r="E27" s="104"/>
      <c r="F27" s="104"/>
      <c r="G27" s="104"/>
    </row>
    <row r="28" spans="1:7" ht="12.5" x14ac:dyDescent="0.25">
      <c r="A28" s="104"/>
      <c r="B28" s="104"/>
      <c r="D28" s="104"/>
      <c r="E28" s="104"/>
      <c r="F28" s="104"/>
      <c r="G28" s="104"/>
    </row>
    <row r="29" spans="1:7" ht="12.5" x14ac:dyDescent="0.25">
      <c r="A29" s="104"/>
      <c r="B29" s="104"/>
      <c r="D29" s="104"/>
      <c r="E29" s="104"/>
      <c r="F29" s="104"/>
      <c r="G29" s="104"/>
    </row>
    <row r="30" spans="1:7" ht="12.5" x14ac:dyDescent="0.25">
      <c r="A30" s="104"/>
      <c r="B30" s="104"/>
      <c r="D30" s="104"/>
      <c r="E30" s="104"/>
      <c r="F30" s="104"/>
      <c r="G30" s="104"/>
    </row>
    <row r="31" spans="1:7" ht="12.5" x14ac:dyDescent="0.25">
      <c r="A31" s="104"/>
      <c r="B31" s="104"/>
      <c r="D31" s="104"/>
      <c r="E31" s="104"/>
      <c r="F31" s="104"/>
      <c r="G31" s="104"/>
    </row>
    <row r="32" spans="1:7" ht="12.5" x14ac:dyDescent="0.25">
      <c r="A32" s="104"/>
      <c r="B32" s="104"/>
      <c r="D32" s="104"/>
      <c r="E32" s="104"/>
      <c r="F32" s="104"/>
      <c r="G32" s="104"/>
    </row>
    <row r="33" spans="1:7" ht="12.5" x14ac:dyDescent="0.25">
      <c r="A33" s="104"/>
      <c r="B33" s="104"/>
      <c r="D33" s="104"/>
      <c r="E33" s="104"/>
      <c r="F33" s="104"/>
      <c r="G33" s="104"/>
    </row>
    <row r="34" spans="1:7" ht="12.5" x14ac:dyDescent="0.25">
      <c r="A34" s="104"/>
      <c r="B34" s="104"/>
      <c r="D34" s="104"/>
      <c r="E34" s="104"/>
      <c r="F34" s="104"/>
      <c r="G34" s="104"/>
    </row>
    <row r="35" spans="1:7" ht="12.5" x14ac:dyDescent="0.25">
      <c r="A35" s="104"/>
      <c r="B35" s="104"/>
      <c r="D35" s="104"/>
      <c r="E35" s="104"/>
      <c r="F35" s="104"/>
      <c r="G35" s="104"/>
    </row>
    <row r="36" spans="1:7" ht="12.5" x14ac:dyDescent="0.25">
      <c r="A36" s="104"/>
      <c r="B36" s="104"/>
      <c r="D36" s="104"/>
      <c r="E36" s="104"/>
      <c r="F36" s="104"/>
      <c r="G36" s="104"/>
    </row>
    <row r="37" spans="1:7" ht="12.5" x14ac:dyDescent="0.25">
      <c r="A37" s="104"/>
      <c r="B37" s="104"/>
      <c r="D37" s="104"/>
      <c r="E37" s="104"/>
      <c r="F37" s="104"/>
      <c r="G37" s="104"/>
    </row>
    <row r="38" spans="1:7" ht="12.5" x14ac:dyDescent="0.25">
      <c r="A38" s="104"/>
      <c r="B38" s="104"/>
      <c r="D38" s="104"/>
      <c r="E38" s="104"/>
      <c r="F38" s="104"/>
      <c r="G38" s="104"/>
    </row>
    <row r="39" spans="1:7" ht="12.5" x14ac:dyDescent="0.25">
      <c r="A39" s="104"/>
      <c r="B39" s="104"/>
      <c r="D39" s="104"/>
      <c r="E39" s="104"/>
      <c r="F39" s="104"/>
      <c r="G39" s="104"/>
    </row>
    <row r="40" spans="1:7" ht="12.5" x14ac:dyDescent="0.25">
      <c r="A40" s="104"/>
      <c r="B40" s="104"/>
      <c r="D40" s="104"/>
      <c r="E40" s="104"/>
      <c r="F40" s="104"/>
      <c r="G40" s="104"/>
    </row>
    <row r="41" spans="1:7" ht="12.5" x14ac:dyDescent="0.25">
      <c r="A41" s="104"/>
      <c r="B41" s="104"/>
      <c r="D41" s="104"/>
      <c r="E41" s="104"/>
      <c r="F41" s="104"/>
      <c r="G41" s="104"/>
    </row>
    <row r="42" spans="1:7" ht="12.5" x14ac:dyDescent="0.25">
      <c r="A42" s="104"/>
      <c r="B42" s="104"/>
      <c r="D42" s="104"/>
      <c r="E42" s="104"/>
      <c r="F42" s="104"/>
      <c r="G42" s="104"/>
    </row>
    <row r="43" spans="1:7" ht="12.5" x14ac:dyDescent="0.25">
      <c r="A43" s="104"/>
      <c r="B43" s="104"/>
      <c r="D43" s="104"/>
      <c r="E43" s="104"/>
      <c r="F43" s="104"/>
      <c r="G43" s="104"/>
    </row>
    <row r="44" spans="1:7" ht="12.5" x14ac:dyDescent="0.25">
      <c r="A44" s="104"/>
      <c r="B44" s="104"/>
      <c r="D44" s="104"/>
      <c r="E44" s="104"/>
      <c r="F44" s="104"/>
      <c r="G44" s="104"/>
    </row>
    <row r="45" spans="1:7" ht="12.5" x14ac:dyDescent="0.25">
      <c r="A45" s="104"/>
      <c r="B45" s="104"/>
      <c r="D45" s="104"/>
      <c r="E45" s="104"/>
      <c r="F45" s="104"/>
      <c r="G45" s="104"/>
    </row>
    <row r="46" spans="1:7" ht="12.5" x14ac:dyDescent="0.25">
      <c r="A46" s="104"/>
      <c r="B46" s="104"/>
      <c r="D46" s="104"/>
      <c r="E46" s="104"/>
      <c r="F46" s="104"/>
      <c r="G46" s="104"/>
    </row>
    <row r="47" spans="1:7" ht="12.5" x14ac:dyDescent="0.25">
      <c r="A47" s="104"/>
      <c r="B47" s="104"/>
      <c r="D47" s="104"/>
      <c r="E47" s="104"/>
      <c r="F47" s="104"/>
      <c r="G47" s="104"/>
    </row>
    <row r="48" spans="1:7" ht="12.5" x14ac:dyDescent="0.25">
      <c r="A48" s="104"/>
      <c r="B48" s="104"/>
      <c r="D48" s="104"/>
      <c r="E48" s="104"/>
      <c r="F48" s="104"/>
      <c r="G48" s="104"/>
    </row>
    <row r="49" spans="1:7" ht="12.5" x14ac:dyDescent="0.25">
      <c r="A49" s="104"/>
      <c r="B49" s="104"/>
      <c r="D49" s="104"/>
      <c r="E49" s="104"/>
      <c r="F49" s="104"/>
      <c r="G49" s="104"/>
    </row>
    <row r="50" spans="1:7" ht="12.5" x14ac:dyDescent="0.25">
      <c r="A50" s="104"/>
      <c r="B50" s="104"/>
      <c r="D50" s="104"/>
      <c r="E50" s="104"/>
      <c r="F50" s="104"/>
      <c r="G50" s="104"/>
    </row>
    <row r="51" spans="1:7" ht="12.5" x14ac:dyDescent="0.25">
      <c r="A51" s="104"/>
      <c r="B51" s="104"/>
      <c r="D51" s="104"/>
      <c r="E51" s="104"/>
      <c r="F51" s="104"/>
      <c r="G51" s="104"/>
    </row>
    <row r="52" spans="1:7" ht="12.5" x14ac:dyDescent="0.25">
      <c r="A52" s="104"/>
      <c r="B52" s="104"/>
      <c r="D52" s="104"/>
      <c r="E52" s="104"/>
      <c r="F52" s="104"/>
      <c r="G52" s="104"/>
    </row>
    <row r="53" spans="1:7" ht="12.5" x14ac:dyDescent="0.25">
      <c r="A53" s="104"/>
      <c r="B53" s="104"/>
      <c r="D53" s="104"/>
      <c r="E53" s="104"/>
      <c r="F53" s="104"/>
      <c r="G53" s="104"/>
    </row>
    <row r="54" spans="1:7" ht="12.5" x14ac:dyDescent="0.25">
      <c r="A54" s="104"/>
      <c r="B54" s="104"/>
      <c r="D54" s="104"/>
      <c r="E54" s="104"/>
      <c r="F54" s="104"/>
      <c r="G54" s="104"/>
    </row>
    <row r="55" spans="1:7" ht="12.5" x14ac:dyDescent="0.25">
      <c r="A55" s="104"/>
      <c r="B55" s="104"/>
      <c r="D55" s="104"/>
      <c r="E55" s="104"/>
      <c r="F55" s="104"/>
      <c r="G55" s="104"/>
    </row>
    <row r="56" spans="1:7" ht="12.5" x14ac:dyDescent="0.25">
      <c r="A56" s="104"/>
      <c r="B56" s="104"/>
      <c r="D56" s="104"/>
      <c r="E56" s="104"/>
      <c r="F56" s="104"/>
      <c r="G56" s="104"/>
    </row>
    <row r="57" spans="1:7" ht="12.5" x14ac:dyDescent="0.25">
      <c r="A57" s="104"/>
      <c r="B57" s="104"/>
      <c r="D57" s="104"/>
      <c r="E57" s="104"/>
      <c r="F57" s="104"/>
      <c r="G57" s="104"/>
    </row>
    <row r="58" spans="1:7" ht="12.5" x14ac:dyDescent="0.25">
      <c r="A58" s="104"/>
      <c r="B58" s="104"/>
      <c r="D58" s="104"/>
      <c r="E58" s="104"/>
      <c r="F58" s="104"/>
      <c r="G58" s="104"/>
    </row>
    <row r="59" spans="1:7" ht="12.5" x14ac:dyDescent="0.25">
      <c r="A59" s="104"/>
      <c r="B59" s="104"/>
      <c r="D59" s="104"/>
      <c r="E59" s="104"/>
      <c r="F59" s="104"/>
      <c r="G59" s="104"/>
    </row>
    <row r="60" spans="1:7" ht="12.5" x14ac:dyDescent="0.25">
      <c r="A60" s="104"/>
      <c r="B60" s="104"/>
      <c r="D60" s="104"/>
      <c r="E60" s="104"/>
      <c r="F60" s="104"/>
      <c r="G60" s="104"/>
    </row>
    <row r="61" spans="1:7" ht="12.5" x14ac:dyDescent="0.25">
      <c r="A61" s="104"/>
      <c r="B61" s="104"/>
      <c r="D61" s="104"/>
      <c r="E61" s="104"/>
      <c r="F61" s="104"/>
      <c r="G61" s="104"/>
    </row>
    <row r="62" spans="1:7" ht="12.5" x14ac:dyDescent="0.25">
      <c r="A62" s="104"/>
      <c r="B62" s="104"/>
      <c r="D62" s="104"/>
      <c r="E62" s="104"/>
      <c r="F62" s="104"/>
      <c r="G62" s="104"/>
    </row>
    <row r="63" spans="1:7" ht="12.5" x14ac:dyDescent="0.25">
      <c r="A63" s="104"/>
      <c r="B63" s="104"/>
      <c r="D63" s="104"/>
      <c r="E63" s="104"/>
      <c r="F63" s="104"/>
      <c r="G63" s="104"/>
    </row>
    <row r="64" spans="1:7" ht="12.5" x14ac:dyDescent="0.25">
      <c r="A64" s="104"/>
      <c r="B64" s="104"/>
      <c r="D64" s="104"/>
      <c r="E64" s="104"/>
      <c r="F64" s="104"/>
      <c r="G64" s="104"/>
    </row>
    <row r="65" spans="1:7" ht="12.5" x14ac:dyDescent="0.25">
      <c r="A65" s="104"/>
      <c r="B65" s="104"/>
      <c r="D65" s="104"/>
      <c r="E65" s="104"/>
      <c r="F65" s="104"/>
      <c r="G65" s="104"/>
    </row>
    <row r="66" spans="1:7" ht="12.5" x14ac:dyDescent="0.25">
      <c r="A66" s="104"/>
      <c r="B66" s="104"/>
      <c r="D66" s="104"/>
      <c r="E66" s="104"/>
      <c r="F66" s="104"/>
      <c r="G66" s="104"/>
    </row>
    <row r="67" spans="1:7" ht="12.5" x14ac:dyDescent="0.25">
      <c r="A67" s="104"/>
      <c r="B67" s="104"/>
      <c r="D67" s="104"/>
      <c r="E67" s="104"/>
      <c r="F67" s="104"/>
      <c r="G67" s="104"/>
    </row>
    <row r="68" spans="1:7" ht="12.5" x14ac:dyDescent="0.25">
      <c r="A68" s="104"/>
      <c r="B68" s="104"/>
      <c r="D68" s="104"/>
      <c r="E68" s="104"/>
      <c r="F68" s="104"/>
      <c r="G68" s="104"/>
    </row>
    <row r="69" spans="1:7" ht="12.5" x14ac:dyDescent="0.25">
      <c r="A69" s="104"/>
      <c r="B69" s="104"/>
      <c r="D69" s="104"/>
      <c r="E69" s="104"/>
      <c r="F69" s="104"/>
      <c r="G69" s="104"/>
    </row>
    <row r="70" spans="1:7" ht="12.5" x14ac:dyDescent="0.25">
      <c r="A70" s="104"/>
      <c r="B70" s="104"/>
      <c r="D70" s="104"/>
      <c r="E70" s="104"/>
      <c r="F70" s="104"/>
      <c r="G70" s="104"/>
    </row>
    <row r="71" spans="1:7" ht="12.5" x14ac:dyDescent="0.25">
      <c r="A71" s="104"/>
      <c r="B71" s="104"/>
      <c r="D71" s="104"/>
      <c r="E71" s="104"/>
      <c r="F71" s="104"/>
      <c r="G71" s="104"/>
    </row>
    <row r="72" spans="1:7" ht="12.5" x14ac:dyDescent="0.25">
      <c r="A72" s="104"/>
      <c r="B72" s="104"/>
      <c r="D72" s="104"/>
      <c r="E72" s="104"/>
      <c r="F72" s="104"/>
      <c r="G72" s="104"/>
    </row>
    <row r="73" spans="1:7" ht="12.5" x14ac:dyDescent="0.25">
      <c r="A73" s="104"/>
      <c r="B73" s="104"/>
      <c r="D73" s="104"/>
      <c r="E73" s="104"/>
      <c r="F73" s="104"/>
      <c r="G73" s="104"/>
    </row>
    <row r="74" spans="1:7" ht="12.5" x14ac:dyDescent="0.25">
      <c r="A74" s="104"/>
      <c r="B74" s="104"/>
      <c r="D74" s="104"/>
      <c r="E74" s="104"/>
      <c r="F74" s="104"/>
      <c r="G74" s="104"/>
    </row>
    <row r="75" spans="1:7" ht="12.5" x14ac:dyDescent="0.25">
      <c r="A75" s="104"/>
      <c r="B75" s="104"/>
      <c r="D75" s="104"/>
      <c r="E75" s="104"/>
      <c r="F75" s="104"/>
      <c r="G75" s="104"/>
    </row>
    <row r="76" spans="1:7" ht="12.5" x14ac:dyDescent="0.25">
      <c r="A76" s="104"/>
      <c r="B76" s="104"/>
      <c r="D76" s="104"/>
      <c r="E76" s="104"/>
      <c r="F76" s="104"/>
      <c r="G76" s="104"/>
    </row>
    <row r="77" spans="1:7" ht="12.5" x14ac:dyDescent="0.25">
      <c r="A77" s="104"/>
      <c r="B77" s="104"/>
      <c r="D77" s="104"/>
      <c r="E77" s="104"/>
      <c r="F77" s="104"/>
      <c r="G77" s="104"/>
    </row>
    <row r="78" spans="1:7" ht="12.5" x14ac:dyDescent="0.25">
      <c r="A78" s="104"/>
      <c r="B78" s="104"/>
      <c r="D78" s="104"/>
      <c r="E78" s="104"/>
      <c r="F78" s="104"/>
      <c r="G78" s="104"/>
    </row>
    <row r="79" spans="1:7" ht="12.5" x14ac:dyDescent="0.25">
      <c r="A79" s="104"/>
      <c r="B79" s="104"/>
      <c r="D79" s="104"/>
      <c r="E79" s="104"/>
      <c r="F79" s="104"/>
      <c r="G79" s="104"/>
    </row>
    <row r="80" spans="1:7" ht="12.5" x14ac:dyDescent="0.25">
      <c r="A80" s="104"/>
      <c r="B80" s="104"/>
      <c r="D80" s="104"/>
      <c r="E80" s="104"/>
      <c r="F80" s="104"/>
      <c r="G80" s="104"/>
    </row>
    <row r="81" spans="1:7" ht="12.5" x14ac:dyDescent="0.25">
      <c r="A81" s="104"/>
      <c r="B81" s="104"/>
      <c r="D81" s="104"/>
      <c r="E81" s="104"/>
      <c r="F81" s="104"/>
      <c r="G81" s="104"/>
    </row>
    <row r="82" spans="1:7" ht="12.5" x14ac:dyDescent="0.25">
      <c r="A82" s="104"/>
      <c r="B82" s="104"/>
      <c r="D82" s="104"/>
      <c r="E82" s="104"/>
      <c r="F82" s="104"/>
      <c r="G82" s="104"/>
    </row>
    <row r="83" spans="1:7" ht="12.5" x14ac:dyDescent="0.25">
      <c r="A83" s="104"/>
      <c r="B83" s="104"/>
      <c r="D83" s="104"/>
      <c r="E83" s="104"/>
      <c r="F83" s="104"/>
      <c r="G83" s="104"/>
    </row>
    <row r="84" spans="1:7" ht="12.5" x14ac:dyDescent="0.25">
      <c r="A84" s="104"/>
      <c r="B84" s="104"/>
      <c r="D84" s="104"/>
      <c r="E84" s="104"/>
      <c r="F84" s="104"/>
      <c r="G84" s="104"/>
    </row>
    <row r="85" spans="1:7" ht="12.5" x14ac:dyDescent="0.25">
      <c r="A85" s="104"/>
      <c r="B85" s="104"/>
      <c r="D85" s="104"/>
      <c r="E85" s="104"/>
      <c r="F85" s="104"/>
      <c r="G85" s="104"/>
    </row>
    <row r="86" spans="1:7" ht="12.5" x14ac:dyDescent="0.25">
      <c r="A86" s="104"/>
      <c r="B86" s="104"/>
      <c r="D86" s="104"/>
      <c r="E86" s="104"/>
      <c r="F86" s="104"/>
      <c r="G86" s="104"/>
    </row>
    <row r="87" spans="1:7" ht="12.5" x14ac:dyDescent="0.25">
      <c r="A87" s="104"/>
      <c r="B87" s="104"/>
      <c r="D87" s="104"/>
      <c r="E87" s="104"/>
      <c r="F87" s="104"/>
      <c r="G87" s="104"/>
    </row>
    <row r="88" spans="1:7" ht="12.5" x14ac:dyDescent="0.25">
      <c r="A88" s="104"/>
      <c r="B88" s="104"/>
      <c r="D88" s="104"/>
      <c r="E88" s="104"/>
      <c r="F88" s="104"/>
      <c r="G88" s="104"/>
    </row>
    <row r="89" spans="1:7" ht="12.5" x14ac:dyDescent="0.25">
      <c r="A89" s="104"/>
      <c r="B89" s="104"/>
      <c r="D89" s="104"/>
      <c r="E89" s="104"/>
      <c r="F89" s="104"/>
      <c r="G89" s="104"/>
    </row>
    <row r="90" spans="1:7" ht="12.5" x14ac:dyDescent="0.25">
      <c r="A90" s="104"/>
      <c r="B90" s="104"/>
      <c r="D90" s="104"/>
      <c r="E90" s="104"/>
      <c r="F90" s="104"/>
      <c r="G90" s="104"/>
    </row>
    <row r="91" spans="1:7" ht="12.5" x14ac:dyDescent="0.25">
      <c r="A91" s="104"/>
      <c r="B91" s="104"/>
      <c r="D91" s="104"/>
      <c r="E91" s="104"/>
      <c r="F91" s="104"/>
      <c r="G91" s="104"/>
    </row>
    <row r="92" spans="1:7" ht="12.5" x14ac:dyDescent="0.25">
      <c r="A92" s="104"/>
      <c r="B92" s="104"/>
      <c r="D92" s="104"/>
      <c r="E92" s="104"/>
      <c r="F92" s="104"/>
      <c r="G92" s="104"/>
    </row>
    <row r="93" spans="1:7" ht="12.5" x14ac:dyDescent="0.25">
      <c r="A93" s="104"/>
      <c r="B93" s="104"/>
      <c r="D93" s="104"/>
      <c r="E93" s="104"/>
      <c r="F93" s="104"/>
      <c r="G93" s="104"/>
    </row>
    <row r="94" spans="1:7" ht="12.5" x14ac:dyDescent="0.25">
      <c r="A94" s="104"/>
      <c r="B94" s="104"/>
      <c r="D94" s="104"/>
      <c r="E94" s="104"/>
      <c r="F94" s="104"/>
      <c r="G94" s="104"/>
    </row>
    <row r="95" spans="1:7" ht="12.5" x14ac:dyDescent="0.25">
      <c r="A95" s="104"/>
      <c r="B95" s="104"/>
      <c r="D95" s="104"/>
      <c r="E95" s="104"/>
      <c r="F95" s="104"/>
      <c r="G95" s="104"/>
    </row>
    <row r="96" spans="1:7" ht="12.5" x14ac:dyDescent="0.25">
      <c r="A96" s="104"/>
      <c r="B96" s="104"/>
      <c r="D96" s="104"/>
      <c r="E96" s="104"/>
      <c r="F96" s="104"/>
      <c r="G96" s="104"/>
    </row>
    <row r="97" spans="1:7" ht="12.5" x14ac:dyDescent="0.25">
      <c r="A97" s="104"/>
      <c r="B97" s="104"/>
      <c r="D97" s="104"/>
      <c r="E97" s="104"/>
      <c r="F97" s="104"/>
      <c r="G97" s="104"/>
    </row>
    <row r="98" spans="1:7" ht="12.5" x14ac:dyDescent="0.25">
      <c r="A98" s="104"/>
      <c r="B98" s="104"/>
      <c r="D98" s="104"/>
      <c r="E98" s="104"/>
      <c r="F98" s="104"/>
      <c r="G98" s="104"/>
    </row>
    <row r="99" spans="1:7" ht="12.5" x14ac:dyDescent="0.25">
      <c r="A99" s="104"/>
      <c r="B99" s="104"/>
      <c r="D99" s="104"/>
      <c r="E99" s="104"/>
      <c r="F99" s="104"/>
      <c r="G99" s="104"/>
    </row>
    <row r="100" spans="1:7" ht="12.5" x14ac:dyDescent="0.25">
      <c r="A100" s="104"/>
      <c r="B100" s="104"/>
      <c r="D100" s="104"/>
      <c r="E100" s="104"/>
      <c r="F100" s="104"/>
      <c r="G100" s="104"/>
    </row>
    <row r="101" spans="1:7" ht="12.5" x14ac:dyDescent="0.25">
      <c r="A101" s="104"/>
      <c r="B101" s="104"/>
      <c r="D101" s="104"/>
      <c r="E101" s="104"/>
      <c r="F101" s="104"/>
      <c r="G101" s="104"/>
    </row>
    <row r="102" spans="1:7" ht="12.5" x14ac:dyDescent="0.25">
      <c r="A102" s="104"/>
      <c r="B102" s="104"/>
      <c r="D102" s="104"/>
      <c r="E102" s="104"/>
      <c r="F102" s="104"/>
      <c r="G102" s="104"/>
    </row>
    <row r="103" spans="1:7" ht="12.5" x14ac:dyDescent="0.25">
      <c r="A103" s="104"/>
      <c r="B103" s="104"/>
      <c r="D103" s="104"/>
      <c r="E103" s="104"/>
      <c r="F103" s="104"/>
      <c r="G103" s="104"/>
    </row>
    <row r="104" spans="1:7" ht="12.5" x14ac:dyDescent="0.25">
      <c r="A104" s="104"/>
      <c r="B104" s="104"/>
      <c r="D104" s="104"/>
      <c r="E104" s="104"/>
      <c r="F104" s="104"/>
      <c r="G104" s="104"/>
    </row>
    <row r="105" spans="1:7" ht="12.5" x14ac:dyDescent="0.25">
      <c r="A105" s="104"/>
      <c r="B105" s="104"/>
      <c r="D105" s="104"/>
      <c r="E105" s="104"/>
      <c r="F105" s="104"/>
      <c r="G105" s="104"/>
    </row>
    <row r="106" spans="1:7" ht="12.5" x14ac:dyDescent="0.25">
      <c r="A106" s="104"/>
      <c r="B106" s="104"/>
      <c r="D106" s="104"/>
      <c r="E106" s="104"/>
      <c r="F106" s="104"/>
      <c r="G106" s="104"/>
    </row>
    <row r="107" spans="1:7" ht="12.5" x14ac:dyDescent="0.25">
      <c r="A107" s="104"/>
      <c r="B107" s="104"/>
      <c r="D107" s="104"/>
      <c r="E107" s="104"/>
      <c r="F107" s="104"/>
      <c r="G107" s="104"/>
    </row>
    <row r="108" spans="1:7" ht="12.5" x14ac:dyDescent="0.25">
      <c r="A108" s="104"/>
      <c r="B108" s="104"/>
      <c r="D108" s="104"/>
      <c r="E108" s="104"/>
      <c r="F108" s="104"/>
      <c r="G108" s="104"/>
    </row>
    <row r="109" spans="1:7" ht="12.5" x14ac:dyDescent="0.25">
      <c r="A109" s="104"/>
      <c r="B109" s="104"/>
      <c r="D109" s="104"/>
      <c r="E109" s="104"/>
      <c r="F109" s="104"/>
      <c r="G109" s="104"/>
    </row>
    <row r="110" spans="1:7" ht="12.5" x14ac:dyDescent="0.25">
      <c r="A110" s="104"/>
      <c r="B110" s="104"/>
      <c r="D110" s="104"/>
      <c r="E110" s="104"/>
      <c r="F110" s="104"/>
      <c r="G110" s="104"/>
    </row>
    <row r="111" spans="1:7" ht="12.5" x14ac:dyDescent="0.25">
      <c r="A111" s="104"/>
      <c r="B111" s="104"/>
      <c r="D111" s="104"/>
      <c r="E111" s="104"/>
      <c r="F111" s="104"/>
      <c r="G111" s="104"/>
    </row>
    <row r="112" spans="1:7" ht="12.5" x14ac:dyDescent="0.25">
      <c r="A112" s="104"/>
      <c r="B112" s="104"/>
      <c r="D112" s="104"/>
      <c r="E112" s="104"/>
      <c r="F112" s="104"/>
      <c r="G112" s="104"/>
    </row>
    <row r="113" spans="1:7" ht="12.5" x14ac:dyDescent="0.25">
      <c r="A113" s="104"/>
      <c r="B113" s="104"/>
      <c r="D113" s="104"/>
      <c r="E113" s="104"/>
      <c r="F113" s="104"/>
      <c r="G113" s="104"/>
    </row>
    <row r="114" spans="1:7" ht="12.5" x14ac:dyDescent="0.25">
      <c r="A114" s="104"/>
      <c r="B114" s="104"/>
      <c r="D114" s="104"/>
      <c r="E114" s="104"/>
      <c r="F114" s="104"/>
      <c r="G114" s="104"/>
    </row>
    <row r="115" spans="1:7" ht="12.5" x14ac:dyDescent="0.25">
      <c r="A115" s="104"/>
      <c r="B115" s="104"/>
      <c r="D115" s="104"/>
      <c r="E115" s="104"/>
      <c r="F115" s="104"/>
      <c r="G115" s="104"/>
    </row>
    <row r="116" spans="1:7" ht="12.5" x14ac:dyDescent="0.25">
      <c r="A116" s="104"/>
      <c r="B116" s="104"/>
      <c r="D116" s="104"/>
      <c r="E116" s="104"/>
      <c r="F116" s="104"/>
      <c r="G116" s="104"/>
    </row>
    <row r="117" spans="1:7" ht="12.5" x14ac:dyDescent="0.25">
      <c r="A117" s="104"/>
      <c r="B117" s="104"/>
      <c r="D117" s="104"/>
      <c r="E117" s="104"/>
      <c r="F117" s="104"/>
      <c r="G117" s="104"/>
    </row>
    <row r="118" spans="1:7" ht="12.5" x14ac:dyDescent="0.25">
      <c r="A118" s="104"/>
      <c r="B118" s="104"/>
      <c r="D118" s="104"/>
      <c r="E118" s="104"/>
      <c r="F118" s="104"/>
      <c r="G118" s="104"/>
    </row>
    <row r="119" spans="1:7" ht="12.5" x14ac:dyDescent="0.25">
      <c r="A119" s="104"/>
      <c r="B119" s="104"/>
      <c r="D119" s="104"/>
      <c r="E119" s="104"/>
      <c r="F119" s="104"/>
      <c r="G119" s="104"/>
    </row>
    <row r="120" spans="1:7" ht="12.5" x14ac:dyDescent="0.25">
      <c r="A120" s="104"/>
      <c r="B120" s="104"/>
      <c r="D120" s="104"/>
      <c r="E120" s="104"/>
      <c r="F120" s="104"/>
      <c r="G120" s="104"/>
    </row>
    <row r="121" spans="1:7" ht="12.5" x14ac:dyDescent="0.25">
      <c r="A121" s="104"/>
      <c r="B121" s="104"/>
      <c r="D121" s="104"/>
      <c r="E121" s="104"/>
      <c r="F121" s="104"/>
      <c r="G121" s="104"/>
    </row>
    <row r="122" spans="1:7" ht="12.5" x14ac:dyDescent="0.25">
      <c r="A122" s="104"/>
      <c r="B122" s="104"/>
      <c r="D122" s="104"/>
      <c r="E122" s="104"/>
      <c r="F122" s="104"/>
      <c r="G122" s="104"/>
    </row>
    <row r="123" spans="1:7" ht="12.5" x14ac:dyDescent="0.25">
      <c r="A123" s="104"/>
      <c r="B123" s="104"/>
      <c r="D123" s="104"/>
      <c r="E123" s="104"/>
      <c r="F123" s="104"/>
      <c r="G123" s="104"/>
    </row>
    <row r="124" spans="1:7" ht="12.5" x14ac:dyDescent="0.25">
      <c r="A124" s="104"/>
      <c r="B124" s="104"/>
      <c r="D124" s="104"/>
      <c r="E124" s="104"/>
      <c r="F124" s="104"/>
      <c r="G124" s="104"/>
    </row>
    <row r="125" spans="1:7" ht="12.5" x14ac:dyDescent="0.25">
      <c r="A125" s="104"/>
      <c r="B125" s="104"/>
      <c r="D125" s="104"/>
      <c r="E125" s="104"/>
      <c r="F125" s="104"/>
      <c r="G125" s="104"/>
    </row>
    <row r="126" spans="1:7" ht="12.5" x14ac:dyDescent="0.25">
      <c r="A126" s="104"/>
      <c r="B126" s="104"/>
      <c r="D126" s="104"/>
      <c r="E126" s="104"/>
      <c r="F126" s="104"/>
      <c r="G126" s="104"/>
    </row>
    <row r="127" spans="1:7" ht="12.5" x14ac:dyDescent="0.25">
      <c r="A127" s="104"/>
      <c r="B127" s="104"/>
      <c r="D127" s="104"/>
      <c r="E127" s="104"/>
      <c r="F127" s="104"/>
      <c r="G127" s="104"/>
    </row>
    <row r="128" spans="1:7" ht="12.5" x14ac:dyDescent="0.25">
      <c r="A128" s="104"/>
      <c r="B128" s="104"/>
      <c r="D128" s="104"/>
      <c r="E128" s="104"/>
      <c r="F128" s="104"/>
      <c r="G128" s="104"/>
    </row>
    <row r="129" spans="1:7" ht="12.5" x14ac:dyDescent="0.25">
      <c r="A129" s="104"/>
      <c r="B129" s="104"/>
      <c r="D129" s="104"/>
      <c r="E129" s="104"/>
      <c r="F129" s="104"/>
      <c r="G129" s="104"/>
    </row>
    <row r="130" spans="1:7" ht="12.5" x14ac:dyDescent="0.25">
      <c r="A130" s="104"/>
      <c r="B130" s="104"/>
      <c r="D130" s="104"/>
      <c r="E130" s="104"/>
      <c r="F130" s="104"/>
      <c r="G130" s="104"/>
    </row>
    <row r="131" spans="1:7" ht="12.5" x14ac:dyDescent="0.25">
      <c r="A131" s="104"/>
      <c r="B131" s="104"/>
      <c r="D131" s="104"/>
      <c r="E131" s="104"/>
      <c r="F131" s="104"/>
      <c r="G131" s="104"/>
    </row>
    <row r="132" spans="1:7" ht="12.5" x14ac:dyDescent="0.25">
      <c r="A132" s="104"/>
      <c r="B132" s="104"/>
      <c r="D132" s="104"/>
      <c r="E132" s="104"/>
      <c r="F132" s="104"/>
      <c r="G132" s="104"/>
    </row>
    <row r="133" spans="1:7" ht="12.5" x14ac:dyDescent="0.25">
      <c r="A133" s="104"/>
      <c r="B133" s="104"/>
      <c r="D133" s="104"/>
      <c r="E133" s="104"/>
      <c r="F133" s="104"/>
      <c r="G133" s="104"/>
    </row>
    <row r="134" spans="1:7" ht="12.5" x14ac:dyDescent="0.25">
      <c r="A134" s="104"/>
      <c r="B134" s="104"/>
      <c r="D134" s="104"/>
      <c r="E134" s="104"/>
      <c r="F134" s="104"/>
      <c r="G134" s="104"/>
    </row>
    <row r="135" spans="1:7" ht="12.5" x14ac:dyDescent="0.25">
      <c r="A135" s="104"/>
      <c r="B135" s="104"/>
      <c r="D135" s="104"/>
      <c r="E135" s="104"/>
      <c r="F135" s="104"/>
      <c r="G135" s="104"/>
    </row>
    <row r="136" spans="1:7" ht="12.5" x14ac:dyDescent="0.25">
      <c r="A136" s="104"/>
      <c r="B136" s="104"/>
      <c r="D136" s="104"/>
      <c r="E136" s="104"/>
      <c r="F136" s="104"/>
      <c r="G136" s="104"/>
    </row>
    <row r="137" spans="1:7" ht="12.5" x14ac:dyDescent="0.25">
      <c r="A137" s="104"/>
      <c r="B137" s="104"/>
      <c r="D137" s="104"/>
      <c r="E137" s="104"/>
      <c r="F137" s="104"/>
      <c r="G137" s="104"/>
    </row>
    <row r="138" spans="1:7" ht="12.5" x14ac:dyDescent="0.25">
      <c r="A138" s="104"/>
      <c r="B138" s="104"/>
      <c r="D138" s="104"/>
      <c r="E138" s="104"/>
      <c r="F138" s="104"/>
      <c r="G138" s="104"/>
    </row>
    <row r="139" spans="1:7" ht="12.5" x14ac:dyDescent="0.25">
      <c r="A139" s="104"/>
      <c r="B139" s="104"/>
      <c r="D139" s="104"/>
      <c r="E139" s="104"/>
      <c r="F139" s="104"/>
      <c r="G139" s="104"/>
    </row>
    <row r="140" spans="1:7" ht="12.5" x14ac:dyDescent="0.25">
      <c r="A140" s="104"/>
      <c r="B140" s="104"/>
      <c r="D140" s="104"/>
      <c r="E140" s="104"/>
      <c r="F140" s="104"/>
      <c r="G140" s="104"/>
    </row>
    <row r="141" spans="1:7" ht="12.5" x14ac:dyDescent="0.25">
      <c r="A141" s="104"/>
      <c r="B141" s="104"/>
      <c r="D141" s="104"/>
      <c r="E141" s="104"/>
      <c r="F141" s="104"/>
      <c r="G141" s="104"/>
    </row>
    <row r="142" spans="1:7" ht="12.5" x14ac:dyDescent="0.25">
      <c r="A142" s="104"/>
      <c r="B142" s="104"/>
      <c r="D142" s="104"/>
      <c r="E142" s="104"/>
      <c r="F142" s="104"/>
      <c r="G142" s="104"/>
    </row>
    <row r="143" spans="1:7" ht="12.5" x14ac:dyDescent="0.25">
      <c r="A143" s="104"/>
      <c r="B143" s="104"/>
      <c r="D143" s="104"/>
      <c r="E143" s="104"/>
      <c r="F143" s="104"/>
      <c r="G143" s="104"/>
    </row>
    <row r="144" spans="1:7" ht="12.5" x14ac:dyDescent="0.25">
      <c r="A144" s="104"/>
      <c r="B144" s="104"/>
      <c r="D144" s="104"/>
      <c r="E144" s="104"/>
      <c r="F144" s="104"/>
      <c r="G144" s="104"/>
    </row>
    <row r="145" spans="1:7" ht="12.5" x14ac:dyDescent="0.25">
      <c r="A145" s="104"/>
      <c r="B145" s="104"/>
      <c r="D145" s="104"/>
      <c r="E145" s="104"/>
      <c r="F145" s="104"/>
      <c r="G145" s="104"/>
    </row>
    <row r="146" spans="1:7" ht="12.5" x14ac:dyDescent="0.25">
      <c r="A146" s="104"/>
      <c r="B146" s="104"/>
      <c r="D146" s="104"/>
      <c r="E146" s="104"/>
      <c r="F146" s="104"/>
      <c r="G146" s="104"/>
    </row>
    <row r="147" spans="1:7" ht="12.5" x14ac:dyDescent="0.25">
      <c r="A147" s="104"/>
      <c r="B147" s="104"/>
      <c r="D147" s="104"/>
      <c r="E147" s="104"/>
      <c r="F147" s="104"/>
      <c r="G147" s="104"/>
    </row>
    <row r="148" spans="1:7" ht="12.5" x14ac:dyDescent="0.25">
      <c r="A148" s="104"/>
      <c r="B148" s="104"/>
      <c r="D148" s="104"/>
      <c r="E148" s="104"/>
      <c r="F148" s="104"/>
      <c r="G148" s="104"/>
    </row>
    <row r="149" spans="1:7" ht="12.5" x14ac:dyDescent="0.25">
      <c r="A149" s="104"/>
      <c r="B149" s="104"/>
      <c r="D149" s="104"/>
      <c r="E149" s="104"/>
      <c r="F149" s="104"/>
      <c r="G149" s="104"/>
    </row>
    <row r="150" spans="1:7" ht="12.5" x14ac:dyDescent="0.25">
      <c r="A150" s="104"/>
      <c r="B150" s="104"/>
      <c r="D150" s="104"/>
      <c r="E150" s="104"/>
      <c r="F150" s="104"/>
      <c r="G150" s="104"/>
    </row>
    <row r="151" spans="1:7" ht="12.5" x14ac:dyDescent="0.25">
      <c r="A151" s="104"/>
      <c r="B151" s="104"/>
      <c r="D151" s="104"/>
      <c r="E151" s="104"/>
      <c r="F151" s="104"/>
      <c r="G151" s="104"/>
    </row>
    <row r="152" spans="1:7" ht="12.5" x14ac:dyDescent="0.25">
      <c r="A152" s="104"/>
      <c r="B152" s="104"/>
      <c r="D152" s="104"/>
      <c r="E152" s="104"/>
      <c r="F152" s="104"/>
      <c r="G152" s="104"/>
    </row>
    <row r="153" spans="1:7" ht="12.5" x14ac:dyDescent="0.25">
      <c r="A153" s="104"/>
      <c r="B153" s="104"/>
      <c r="D153" s="104"/>
      <c r="E153" s="104"/>
      <c r="F153" s="104"/>
      <c r="G153" s="104"/>
    </row>
    <row r="154" spans="1:7" ht="12.5" x14ac:dyDescent="0.25">
      <c r="A154" s="104"/>
      <c r="B154" s="104"/>
      <c r="D154" s="104"/>
      <c r="E154" s="104"/>
      <c r="F154" s="104"/>
      <c r="G154" s="104"/>
    </row>
    <row r="155" spans="1:7" ht="12.5" x14ac:dyDescent="0.25">
      <c r="A155" s="104"/>
      <c r="B155" s="104"/>
      <c r="D155" s="104"/>
      <c r="E155" s="104"/>
      <c r="F155" s="104"/>
      <c r="G155" s="104"/>
    </row>
    <row r="156" spans="1:7" ht="12.5" x14ac:dyDescent="0.25">
      <c r="A156" s="104"/>
      <c r="B156" s="104"/>
      <c r="D156" s="104"/>
      <c r="E156" s="104"/>
      <c r="F156" s="104"/>
      <c r="G156" s="104"/>
    </row>
    <row r="157" spans="1:7" ht="12.5" x14ac:dyDescent="0.25">
      <c r="A157" s="104"/>
      <c r="B157" s="104"/>
      <c r="D157" s="104"/>
      <c r="E157" s="104"/>
      <c r="F157" s="104"/>
      <c r="G157" s="104"/>
    </row>
    <row r="158" spans="1:7" ht="12.5" x14ac:dyDescent="0.25">
      <c r="A158" s="104"/>
      <c r="B158" s="104"/>
      <c r="D158" s="104"/>
      <c r="E158" s="104"/>
      <c r="F158" s="104"/>
      <c r="G158" s="104"/>
    </row>
    <row r="159" spans="1:7" ht="12.5" x14ac:dyDescent="0.25">
      <c r="A159" s="104"/>
      <c r="B159" s="104"/>
      <c r="D159" s="104"/>
      <c r="E159" s="104"/>
      <c r="F159" s="104"/>
      <c r="G159" s="104"/>
    </row>
    <row r="160" spans="1:7" ht="12.5" x14ac:dyDescent="0.25">
      <c r="A160" s="104"/>
      <c r="B160" s="104"/>
      <c r="D160" s="104"/>
      <c r="E160" s="104"/>
      <c r="F160" s="104"/>
      <c r="G160" s="104"/>
    </row>
    <row r="161" spans="1:7" ht="12.5" x14ac:dyDescent="0.25">
      <c r="A161" s="104"/>
      <c r="B161" s="104"/>
      <c r="D161" s="104"/>
      <c r="E161" s="104"/>
      <c r="F161" s="104"/>
      <c r="G161" s="104"/>
    </row>
    <row r="162" spans="1:7" ht="12.5" x14ac:dyDescent="0.25">
      <c r="A162" s="104"/>
      <c r="B162" s="104"/>
      <c r="D162" s="104"/>
      <c r="E162" s="104"/>
      <c r="F162" s="104"/>
      <c r="G162" s="104"/>
    </row>
    <row r="163" spans="1:7" ht="12.5" x14ac:dyDescent="0.25">
      <c r="A163" s="104"/>
      <c r="B163" s="104"/>
      <c r="D163" s="104"/>
      <c r="E163" s="104"/>
      <c r="F163" s="104"/>
      <c r="G163" s="104"/>
    </row>
    <row r="164" spans="1:7" ht="12.5" x14ac:dyDescent="0.25">
      <c r="A164" s="104"/>
      <c r="B164" s="104"/>
      <c r="D164" s="104"/>
      <c r="E164" s="104"/>
      <c r="F164" s="104"/>
      <c r="G164" s="104"/>
    </row>
    <row r="165" spans="1:7" ht="12.5" x14ac:dyDescent="0.25">
      <c r="A165" s="104"/>
      <c r="B165" s="104"/>
      <c r="D165" s="104"/>
      <c r="E165" s="104"/>
      <c r="F165" s="104"/>
      <c r="G165" s="104"/>
    </row>
    <row r="166" spans="1:7" ht="12.5" x14ac:dyDescent="0.25">
      <c r="A166" s="104"/>
      <c r="B166" s="104"/>
      <c r="D166" s="104"/>
      <c r="E166" s="104"/>
      <c r="F166" s="104"/>
      <c r="G166" s="104"/>
    </row>
    <row r="167" spans="1:7" ht="12.5" x14ac:dyDescent="0.25">
      <c r="A167" s="104"/>
      <c r="B167" s="104"/>
      <c r="D167" s="104"/>
      <c r="E167" s="104"/>
      <c r="F167" s="104"/>
      <c r="G167" s="104"/>
    </row>
    <row r="168" spans="1:7" ht="12.5" x14ac:dyDescent="0.25">
      <c r="A168" s="104"/>
      <c r="B168" s="104"/>
      <c r="D168" s="104"/>
      <c r="E168" s="104"/>
      <c r="F168" s="104"/>
      <c r="G168" s="104"/>
    </row>
    <row r="169" spans="1:7" ht="12.5" x14ac:dyDescent="0.25">
      <c r="A169" s="104"/>
      <c r="B169" s="104"/>
      <c r="D169" s="104"/>
      <c r="E169" s="104"/>
      <c r="F169" s="104"/>
      <c r="G169" s="104"/>
    </row>
    <row r="170" spans="1:7" ht="12.5" x14ac:dyDescent="0.25">
      <c r="A170" s="104"/>
      <c r="B170" s="104"/>
      <c r="D170" s="104"/>
      <c r="E170" s="104"/>
      <c r="F170" s="104"/>
      <c r="G170" s="104"/>
    </row>
    <row r="171" spans="1:7" ht="12.5" x14ac:dyDescent="0.25">
      <c r="A171" s="104"/>
      <c r="B171" s="104"/>
      <c r="D171" s="104"/>
      <c r="E171" s="104"/>
      <c r="F171" s="104"/>
      <c r="G171" s="104"/>
    </row>
    <row r="172" spans="1:7" ht="12.5" x14ac:dyDescent="0.25">
      <c r="A172" s="104"/>
      <c r="B172" s="104"/>
      <c r="D172" s="104"/>
      <c r="E172" s="104"/>
      <c r="F172" s="104"/>
      <c r="G172" s="104"/>
    </row>
    <row r="173" spans="1:7" ht="12.5" x14ac:dyDescent="0.25">
      <c r="A173" s="104"/>
      <c r="B173" s="104"/>
      <c r="D173" s="104"/>
      <c r="E173" s="104"/>
      <c r="F173" s="104"/>
      <c r="G173" s="104"/>
    </row>
    <row r="174" spans="1:7" ht="12.5" x14ac:dyDescent="0.25">
      <c r="A174" s="104"/>
      <c r="B174" s="104"/>
      <c r="D174" s="104"/>
      <c r="E174" s="104"/>
      <c r="F174" s="104"/>
      <c r="G174" s="104"/>
    </row>
    <row r="175" spans="1:7" ht="12.5" x14ac:dyDescent="0.25">
      <c r="A175" s="104"/>
      <c r="B175" s="104"/>
      <c r="D175" s="104"/>
      <c r="E175" s="104"/>
      <c r="F175" s="104"/>
      <c r="G175" s="104"/>
    </row>
    <row r="176" spans="1:7" ht="12.5" x14ac:dyDescent="0.25">
      <c r="A176" s="104"/>
      <c r="B176" s="104"/>
      <c r="D176" s="104"/>
      <c r="E176" s="104"/>
      <c r="F176" s="104"/>
      <c r="G176" s="104"/>
    </row>
    <row r="177" spans="1:7" ht="12.5" x14ac:dyDescent="0.25">
      <c r="A177" s="104"/>
      <c r="B177" s="104"/>
      <c r="D177" s="104"/>
      <c r="E177" s="104"/>
      <c r="F177" s="104"/>
      <c r="G177" s="104"/>
    </row>
    <row r="178" spans="1:7" ht="12.5" x14ac:dyDescent="0.25">
      <c r="A178" s="104"/>
      <c r="B178" s="104"/>
      <c r="D178" s="104"/>
      <c r="E178" s="104"/>
      <c r="F178" s="104"/>
      <c r="G178" s="104"/>
    </row>
    <row r="179" spans="1:7" ht="12.5" x14ac:dyDescent="0.25">
      <c r="A179" s="104"/>
      <c r="B179" s="104"/>
      <c r="D179" s="104"/>
      <c r="E179" s="104"/>
      <c r="F179" s="104"/>
      <c r="G179" s="104"/>
    </row>
    <row r="180" spans="1:7" ht="12.5" x14ac:dyDescent="0.25">
      <c r="A180" s="104"/>
      <c r="B180" s="104"/>
      <c r="D180" s="104"/>
      <c r="E180" s="104"/>
      <c r="F180" s="104"/>
      <c r="G180" s="104"/>
    </row>
    <row r="181" spans="1:7" ht="12.5" x14ac:dyDescent="0.25">
      <c r="A181" s="104"/>
      <c r="B181" s="104"/>
      <c r="D181" s="104"/>
      <c r="E181" s="104"/>
      <c r="F181" s="104"/>
      <c r="G181" s="104"/>
    </row>
    <row r="182" spans="1:7" ht="12.5" x14ac:dyDescent="0.25">
      <c r="A182" s="104"/>
      <c r="B182" s="104"/>
      <c r="D182" s="104"/>
      <c r="E182" s="104"/>
      <c r="F182" s="104"/>
      <c r="G182" s="104"/>
    </row>
    <row r="183" spans="1:7" ht="12.5" x14ac:dyDescent="0.25">
      <c r="A183" s="104"/>
      <c r="B183" s="104"/>
      <c r="D183" s="104"/>
      <c r="E183" s="104"/>
      <c r="F183" s="104"/>
      <c r="G183" s="104"/>
    </row>
    <row r="184" spans="1:7" ht="12.5" x14ac:dyDescent="0.25">
      <c r="A184" s="104"/>
      <c r="B184" s="104"/>
      <c r="D184" s="104"/>
      <c r="E184" s="104"/>
      <c r="F184" s="104"/>
      <c r="G184" s="104"/>
    </row>
    <row r="185" spans="1:7" ht="12.5" x14ac:dyDescent="0.25">
      <c r="A185" s="104"/>
      <c r="B185" s="104"/>
      <c r="D185" s="104"/>
      <c r="E185" s="104"/>
      <c r="F185" s="104"/>
      <c r="G185" s="104"/>
    </row>
    <row r="186" spans="1:7" ht="12.5" x14ac:dyDescent="0.25">
      <c r="A186" s="104"/>
      <c r="B186" s="104"/>
      <c r="D186" s="104"/>
      <c r="E186" s="104"/>
      <c r="F186" s="104"/>
      <c r="G186" s="104"/>
    </row>
    <row r="187" spans="1:7" ht="12.5" x14ac:dyDescent="0.25">
      <c r="A187" s="104"/>
      <c r="B187" s="104"/>
      <c r="D187" s="104"/>
      <c r="E187" s="104"/>
      <c r="F187" s="104"/>
      <c r="G187" s="104"/>
    </row>
    <row r="188" spans="1:7" ht="12.5" x14ac:dyDescent="0.25">
      <c r="A188" s="104"/>
      <c r="B188" s="104"/>
      <c r="D188" s="104"/>
      <c r="E188" s="104"/>
      <c r="F188" s="104"/>
      <c r="G188" s="104"/>
    </row>
    <row r="189" spans="1:7" ht="12.5" x14ac:dyDescent="0.25">
      <c r="A189" s="104"/>
      <c r="B189" s="104"/>
      <c r="D189" s="104"/>
      <c r="E189" s="104"/>
      <c r="F189" s="104"/>
      <c r="G189" s="104"/>
    </row>
    <row r="190" spans="1:7" ht="12.5" x14ac:dyDescent="0.25">
      <c r="A190" s="104"/>
      <c r="B190" s="104"/>
      <c r="D190" s="104"/>
      <c r="E190" s="104"/>
      <c r="F190" s="104"/>
      <c r="G190" s="104"/>
    </row>
    <row r="191" spans="1:7" ht="12.5" x14ac:dyDescent="0.25">
      <c r="A191" s="104"/>
      <c r="B191" s="104"/>
      <c r="D191" s="104"/>
      <c r="E191" s="104"/>
      <c r="F191" s="104"/>
      <c r="G191" s="104"/>
    </row>
    <row r="192" spans="1:7" ht="12.5" x14ac:dyDescent="0.25">
      <c r="A192" s="104"/>
      <c r="B192" s="104"/>
      <c r="D192" s="104"/>
      <c r="E192" s="104"/>
      <c r="F192" s="104"/>
      <c r="G192" s="104"/>
    </row>
    <row r="193" spans="1:7" ht="12.5" x14ac:dyDescent="0.25">
      <c r="A193" s="104"/>
      <c r="B193" s="104"/>
      <c r="D193" s="104"/>
      <c r="E193" s="104"/>
      <c r="F193" s="104"/>
      <c r="G193" s="104"/>
    </row>
    <row r="194" spans="1:7" ht="12.5" x14ac:dyDescent="0.25">
      <c r="A194" s="104"/>
      <c r="B194" s="104"/>
      <c r="D194" s="104"/>
      <c r="E194" s="104"/>
      <c r="F194" s="104"/>
      <c r="G194" s="104"/>
    </row>
    <row r="195" spans="1:7" ht="12.5" x14ac:dyDescent="0.25">
      <c r="A195" s="104"/>
      <c r="B195" s="104"/>
      <c r="D195" s="104"/>
      <c r="E195" s="104"/>
      <c r="F195" s="104"/>
      <c r="G195" s="104"/>
    </row>
    <row r="196" spans="1:7" ht="12.5" x14ac:dyDescent="0.25">
      <c r="A196" s="104"/>
      <c r="B196" s="104"/>
      <c r="D196" s="104"/>
      <c r="E196" s="104"/>
      <c r="F196" s="104"/>
      <c r="G196" s="104"/>
    </row>
    <row r="197" spans="1:7" ht="12.5" x14ac:dyDescent="0.25">
      <c r="A197" s="104"/>
      <c r="B197" s="104"/>
      <c r="D197" s="104"/>
      <c r="E197" s="104"/>
      <c r="F197" s="104"/>
      <c r="G197" s="104"/>
    </row>
    <row r="198" spans="1:7" ht="12.5" x14ac:dyDescent="0.25">
      <c r="A198" s="104"/>
      <c r="B198" s="104"/>
      <c r="D198" s="104"/>
      <c r="E198" s="104"/>
      <c r="F198" s="104"/>
      <c r="G198" s="104"/>
    </row>
    <row r="199" spans="1:7" ht="12.5" x14ac:dyDescent="0.25">
      <c r="A199" s="104"/>
      <c r="B199" s="104"/>
      <c r="D199" s="104"/>
      <c r="E199" s="104"/>
      <c r="F199" s="104"/>
      <c r="G199" s="104"/>
    </row>
    <row r="200" spans="1:7" ht="12.5" x14ac:dyDescent="0.25">
      <c r="A200" s="104"/>
      <c r="B200" s="104"/>
      <c r="D200" s="104"/>
      <c r="E200" s="104"/>
      <c r="F200" s="104"/>
      <c r="G200" s="104"/>
    </row>
    <row r="201" spans="1:7" ht="12.5" x14ac:dyDescent="0.25">
      <c r="A201" s="104"/>
      <c r="B201" s="104"/>
      <c r="D201" s="104"/>
      <c r="E201" s="104"/>
      <c r="F201" s="104"/>
      <c r="G201" s="104"/>
    </row>
    <row r="202" spans="1:7" ht="12.5" x14ac:dyDescent="0.25">
      <c r="A202" s="104"/>
      <c r="B202" s="104"/>
      <c r="D202" s="104"/>
      <c r="E202" s="104"/>
      <c r="F202" s="104"/>
      <c r="G202" s="104"/>
    </row>
    <row r="203" spans="1:7" ht="12.5" x14ac:dyDescent="0.25">
      <c r="A203" s="104"/>
      <c r="B203" s="104"/>
      <c r="D203" s="104"/>
      <c r="E203" s="104"/>
      <c r="F203" s="104"/>
      <c r="G203" s="104"/>
    </row>
    <row r="204" spans="1:7" ht="12.5" x14ac:dyDescent="0.25">
      <c r="A204" s="104"/>
      <c r="B204" s="104"/>
      <c r="D204" s="104"/>
      <c r="E204" s="104"/>
      <c r="F204" s="104"/>
      <c r="G204" s="104"/>
    </row>
    <row r="205" spans="1:7" ht="12.5" x14ac:dyDescent="0.25">
      <c r="A205" s="104"/>
      <c r="B205" s="104"/>
      <c r="D205" s="104"/>
      <c r="E205" s="104"/>
      <c r="F205" s="104"/>
      <c r="G205" s="104"/>
    </row>
    <row r="206" spans="1:7" ht="12.5" x14ac:dyDescent="0.25">
      <c r="A206" s="104"/>
      <c r="B206" s="104"/>
      <c r="D206" s="104"/>
      <c r="E206" s="104"/>
      <c r="F206" s="104"/>
      <c r="G206" s="104"/>
    </row>
    <row r="207" spans="1:7" ht="12.5" x14ac:dyDescent="0.25">
      <c r="A207" s="104"/>
      <c r="B207" s="104"/>
      <c r="D207" s="104"/>
      <c r="E207" s="104"/>
      <c r="F207" s="104"/>
      <c r="G207" s="104"/>
    </row>
    <row r="208" spans="1:7" ht="12.5" x14ac:dyDescent="0.25">
      <c r="A208" s="104"/>
      <c r="B208" s="104"/>
      <c r="D208" s="104"/>
      <c r="E208" s="104"/>
      <c r="F208" s="104"/>
      <c r="G208" s="104"/>
    </row>
    <row r="209" spans="1:7" ht="12.5" x14ac:dyDescent="0.25">
      <c r="A209" s="104"/>
      <c r="B209" s="104"/>
      <c r="D209" s="104"/>
      <c r="E209" s="104"/>
      <c r="F209" s="104"/>
      <c r="G209" s="104"/>
    </row>
    <row r="210" spans="1:7" ht="12.5" x14ac:dyDescent="0.25">
      <c r="A210" s="104"/>
      <c r="B210" s="104"/>
      <c r="D210" s="104"/>
      <c r="E210" s="104"/>
      <c r="F210" s="104"/>
      <c r="G210" s="104"/>
    </row>
    <row r="211" spans="1:7" ht="12.5" x14ac:dyDescent="0.25">
      <c r="A211" s="104"/>
      <c r="B211" s="104"/>
      <c r="D211" s="104"/>
      <c r="E211" s="104"/>
      <c r="F211" s="104"/>
      <c r="G211" s="104"/>
    </row>
    <row r="212" spans="1:7" ht="12.5" x14ac:dyDescent="0.25">
      <c r="A212" s="104"/>
      <c r="B212" s="104"/>
      <c r="D212" s="104"/>
      <c r="E212" s="104"/>
      <c r="F212" s="104"/>
      <c r="G212" s="104"/>
    </row>
    <row r="213" spans="1:7" ht="12.5" x14ac:dyDescent="0.25">
      <c r="A213" s="104"/>
      <c r="B213" s="104"/>
      <c r="D213" s="104"/>
      <c r="E213" s="104"/>
      <c r="F213" s="104"/>
      <c r="G213" s="104"/>
    </row>
    <row r="214" spans="1:7" ht="12.5" x14ac:dyDescent="0.25">
      <c r="A214" s="104"/>
      <c r="B214" s="104"/>
      <c r="D214" s="104"/>
      <c r="E214" s="104"/>
      <c r="F214" s="104"/>
      <c r="G214" s="104"/>
    </row>
    <row r="215" spans="1:7" ht="12.5" x14ac:dyDescent="0.25">
      <c r="A215" s="104"/>
      <c r="B215" s="104"/>
      <c r="D215" s="104"/>
      <c r="E215" s="104"/>
      <c r="F215" s="104"/>
      <c r="G215" s="104"/>
    </row>
    <row r="216" spans="1:7" ht="12.5" x14ac:dyDescent="0.25">
      <c r="A216" s="104"/>
      <c r="B216" s="104"/>
      <c r="D216" s="104"/>
      <c r="E216" s="104"/>
      <c r="F216" s="104"/>
      <c r="G216" s="104"/>
    </row>
    <row r="217" spans="1:7" ht="12.5" x14ac:dyDescent="0.25">
      <c r="A217" s="104"/>
      <c r="B217" s="104"/>
      <c r="D217" s="104"/>
      <c r="E217" s="104"/>
      <c r="F217" s="104"/>
      <c r="G217" s="104"/>
    </row>
    <row r="218" spans="1:7" ht="12.5" x14ac:dyDescent="0.25">
      <c r="A218" s="104"/>
      <c r="B218" s="104"/>
      <c r="D218" s="104"/>
      <c r="E218" s="104"/>
      <c r="F218" s="104"/>
      <c r="G218" s="104"/>
    </row>
    <row r="219" spans="1:7" ht="12.5" x14ac:dyDescent="0.25">
      <c r="A219" s="104"/>
      <c r="B219" s="104"/>
      <c r="D219" s="104"/>
      <c r="E219" s="104"/>
      <c r="F219" s="104"/>
      <c r="G219" s="104"/>
    </row>
    <row r="220" spans="1:7" ht="12.5" x14ac:dyDescent="0.25">
      <c r="A220" s="104"/>
      <c r="B220" s="104"/>
      <c r="D220" s="104"/>
      <c r="E220" s="104"/>
      <c r="F220" s="104"/>
      <c r="G220" s="104"/>
    </row>
    <row r="221" spans="1:7" ht="12.5" x14ac:dyDescent="0.25">
      <c r="A221" s="104"/>
      <c r="B221" s="104"/>
      <c r="D221" s="104"/>
      <c r="E221" s="104"/>
      <c r="F221" s="104"/>
      <c r="G221" s="104"/>
    </row>
    <row r="222" spans="1:7" ht="12.5" x14ac:dyDescent="0.25">
      <c r="A222" s="104"/>
      <c r="B222" s="104"/>
      <c r="D222" s="104"/>
      <c r="E222" s="104"/>
      <c r="F222" s="104"/>
      <c r="G222" s="104"/>
    </row>
    <row r="223" spans="1:7" ht="12.5" x14ac:dyDescent="0.25">
      <c r="A223" s="104"/>
      <c r="B223" s="104"/>
      <c r="D223" s="104"/>
      <c r="E223" s="104"/>
      <c r="F223" s="104"/>
      <c r="G223" s="104"/>
    </row>
    <row r="224" spans="1:7" ht="12.5" x14ac:dyDescent="0.25">
      <c r="A224" s="104"/>
      <c r="B224" s="104"/>
      <c r="D224" s="104"/>
      <c r="E224" s="104"/>
      <c r="F224" s="104"/>
      <c r="G224" s="104"/>
    </row>
    <row r="225" spans="1:7" ht="12.5" x14ac:dyDescent="0.25">
      <c r="A225" s="104"/>
      <c r="B225" s="104"/>
      <c r="D225" s="104"/>
      <c r="E225" s="104"/>
      <c r="F225" s="104"/>
      <c r="G225" s="104"/>
    </row>
    <row r="226" spans="1:7" ht="12.5" x14ac:dyDescent="0.25">
      <c r="A226" s="104"/>
      <c r="B226" s="104"/>
      <c r="D226" s="104"/>
      <c r="E226" s="104"/>
      <c r="F226" s="104"/>
      <c r="G226" s="104"/>
    </row>
    <row r="227" spans="1:7" ht="12.5" x14ac:dyDescent="0.25">
      <c r="A227" s="104"/>
      <c r="B227" s="104"/>
      <c r="D227" s="104"/>
      <c r="E227" s="104"/>
      <c r="F227" s="104"/>
      <c r="G227" s="104"/>
    </row>
    <row r="228" spans="1:7" ht="12.5" x14ac:dyDescent="0.25">
      <c r="A228" s="104"/>
      <c r="B228" s="104"/>
      <c r="D228" s="104"/>
      <c r="E228" s="104"/>
      <c r="F228" s="104"/>
      <c r="G228" s="104"/>
    </row>
    <row r="229" spans="1:7" ht="12.5" x14ac:dyDescent="0.25">
      <c r="A229" s="104"/>
      <c r="B229" s="104"/>
      <c r="D229" s="104"/>
      <c r="E229" s="104"/>
      <c r="F229" s="104"/>
      <c r="G229" s="104"/>
    </row>
    <row r="230" spans="1:7" ht="12.5" x14ac:dyDescent="0.25">
      <c r="A230" s="104"/>
      <c r="B230" s="104"/>
      <c r="D230" s="104"/>
      <c r="E230" s="104"/>
      <c r="F230" s="104"/>
      <c r="G230" s="104"/>
    </row>
    <row r="231" spans="1:7" ht="12.5" x14ac:dyDescent="0.25">
      <c r="A231" s="104"/>
      <c r="B231" s="104"/>
      <c r="D231" s="104"/>
      <c r="E231" s="104"/>
      <c r="F231" s="104"/>
      <c r="G231" s="104"/>
    </row>
    <row r="232" spans="1:7" ht="12.5" x14ac:dyDescent="0.25">
      <c r="A232" s="104"/>
      <c r="B232" s="104"/>
      <c r="D232" s="104"/>
      <c r="E232" s="104"/>
      <c r="F232" s="104"/>
      <c r="G232" s="104"/>
    </row>
    <row r="233" spans="1:7" ht="12.5" x14ac:dyDescent="0.25">
      <c r="A233" s="104"/>
      <c r="B233" s="104"/>
      <c r="D233" s="104"/>
      <c r="E233" s="104"/>
      <c r="F233" s="104"/>
      <c r="G233" s="104"/>
    </row>
    <row r="234" spans="1:7" ht="12.5" x14ac:dyDescent="0.25">
      <c r="A234" s="104"/>
      <c r="B234" s="104"/>
      <c r="D234" s="104"/>
      <c r="E234" s="104"/>
      <c r="F234" s="104"/>
      <c r="G234" s="104"/>
    </row>
    <row r="235" spans="1:7" ht="12.5" x14ac:dyDescent="0.25">
      <c r="A235" s="104"/>
      <c r="B235" s="104"/>
      <c r="D235" s="104"/>
      <c r="E235" s="104"/>
      <c r="F235" s="104"/>
      <c r="G235" s="104"/>
    </row>
    <row r="236" spans="1:7" ht="12.5" x14ac:dyDescent="0.25">
      <c r="A236" s="104"/>
      <c r="B236" s="104"/>
      <c r="D236" s="104"/>
      <c r="E236" s="104"/>
      <c r="F236" s="104"/>
      <c r="G236" s="104"/>
    </row>
    <row r="237" spans="1:7" ht="12.5" x14ac:dyDescent="0.25">
      <c r="A237" s="104"/>
      <c r="B237" s="104"/>
      <c r="D237" s="104"/>
      <c r="E237" s="104"/>
      <c r="F237" s="104"/>
      <c r="G237" s="104"/>
    </row>
    <row r="238" spans="1:7" ht="12.5" x14ac:dyDescent="0.25">
      <c r="A238" s="104"/>
      <c r="B238" s="104"/>
      <c r="D238" s="104"/>
      <c r="E238" s="104"/>
      <c r="F238" s="104"/>
      <c r="G238" s="104"/>
    </row>
    <row r="239" spans="1:7" ht="12.5" x14ac:dyDescent="0.25">
      <c r="A239" s="104"/>
      <c r="B239" s="104"/>
      <c r="D239" s="104"/>
      <c r="E239" s="104"/>
      <c r="F239" s="104"/>
      <c r="G239" s="104"/>
    </row>
    <row r="240" spans="1:7" ht="12.5" x14ac:dyDescent="0.25">
      <c r="A240" s="104"/>
      <c r="B240" s="104"/>
      <c r="D240" s="104"/>
      <c r="E240" s="104"/>
      <c r="F240" s="104"/>
      <c r="G240" s="104"/>
    </row>
    <row r="241" spans="1:7" ht="12.5" x14ac:dyDescent="0.25">
      <c r="A241" s="104"/>
      <c r="B241" s="104"/>
      <c r="D241" s="104"/>
      <c r="E241" s="104"/>
      <c r="F241" s="104"/>
      <c r="G241" s="104"/>
    </row>
    <row r="242" spans="1:7" ht="12.5" x14ac:dyDescent="0.25">
      <c r="A242" s="104"/>
      <c r="B242" s="104"/>
      <c r="D242" s="104"/>
      <c r="E242" s="104"/>
      <c r="F242" s="104"/>
      <c r="G242" s="104"/>
    </row>
    <row r="243" spans="1:7" ht="12.5" x14ac:dyDescent="0.25">
      <c r="A243" s="104"/>
      <c r="B243" s="104"/>
      <c r="D243" s="104"/>
      <c r="E243" s="104"/>
      <c r="F243" s="104"/>
      <c r="G243" s="104"/>
    </row>
    <row r="244" spans="1:7" ht="12.5" x14ac:dyDescent="0.25">
      <c r="A244" s="104"/>
      <c r="B244" s="104"/>
      <c r="D244" s="104"/>
      <c r="E244" s="104"/>
      <c r="F244" s="104"/>
      <c r="G244" s="104"/>
    </row>
    <row r="245" spans="1:7" ht="12.5" x14ac:dyDescent="0.25">
      <c r="A245" s="104"/>
      <c r="B245" s="104"/>
      <c r="D245" s="104"/>
      <c r="E245" s="104"/>
      <c r="F245" s="104"/>
      <c r="G245" s="104"/>
    </row>
    <row r="246" spans="1:7" ht="12.5" x14ac:dyDescent="0.25">
      <c r="A246" s="104"/>
      <c r="B246" s="104"/>
      <c r="D246" s="104"/>
      <c r="E246" s="104"/>
      <c r="F246" s="104"/>
      <c r="G246" s="104"/>
    </row>
    <row r="247" spans="1:7" ht="12.5" x14ac:dyDescent="0.25">
      <c r="A247" s="104"/>
      <c r="B247" s="104"/>
      <c r="D247" s="104"/>
      <c r="E247" s="104"/>
      <c r="F247" s="104"/>
      <c r="G247" s="104"/>
    </row>
    <row r="248" spans="1:7" ht="12.5" x14ac:dyDescent="0.25">
      <c r="A248" s="104"/>
      <c r="B248" s="104"/>
      <c r="D248" s="104"/>
      <c r="E248" s="104"/>
      <c r="F248" s="104"/>
      <c r="G248" s="104"/>
    </row>
    <row r="249" spans="1:7" ht="12.5" x14ac:dyDescent="0.25">
      <c r="A249" s="104"/>
      <c r="B249" s="104"/>
      <c r="D249" s="104"/>
      <c r="E249" s="104"/>
      <c r="F249" s="104"/>
      <c r="G249" s="104"/>
    </row>
    <row r="250" spans="1:7" ht="12.5" x14ac:dyDescent="0.25">
      <c r="A250" s="104"/>
      <c r="B250" s="104"/>
      <c r="D250" s="104"/>
      <c r="E250" s="104"/>
      <c r="F250" s="104"/>
      <c r="G250" s="104"/>
    </row>
    <row r="251" spans="1:7" ht="12.5" x14ac:dyDescent="0.25">
      <c r="A251" s="104"/>
      <c r="B251" s="104"/>
      <c r="D251" s="104"/>
      <c r="E251" s="104"/>
      <c r="F251" s="104"/>
      <c r="G251" s="104"/>
    </row>
    <row r="252" spans="1:7" ht="12.5" x14ac:dyDescent="0.25">
      <c r="A252" s="104"/>
      <c r="B252" s="104"/>
      <c r="D252" s="104"/>
      <c r="E252" s="104"/>
      <c r="F252" s="104"/>
      <c r="G252" s="104"/>
    </row>
    <row r="253" spans="1:7" ht="12.5" x14ac:dyDescent="0.25">
      <c r="A253" s="104"/>
      <c r="B253" s="104"/>
      <c r="D253" s="104"/>
      <c r="E253" s="104"/>
      <c r="F253" s="104"/>
      <c r="G253" s="104"/>
    </row>
    <row r="254" spans="1:7" ht="12.5" x14ac:dyDescent="0.25">
      <c r="A254" s="104"/>
      <c r="B254" s="104"/>
      <c r="D254" s="104"/>
      <c r="E254" s="104"/>
      <c r="F254" s="104"/>
      <c r="G254" s="104"/>
    </row>
    <row r="255" spans="1:7" ht="12.5" x14ac:dyDescent="0.25">
      <c r="A255" s="104"/>
      <c r="B255" s="104"/>
      <c r="D255" s="104"/>
      <c r="E255" s="104"/>
      <c r="F255" s="104"/>
      <c r="G255" s="104"/>
    </row>
    <row r="256" spans="1:7" ht="12.5" x14ac:dyDescent="0.25">
      <c r="A256" s="104"/>
      <c r="B256" s="104"/>
      <c r="D256" s="104"/>
      <c r="E256" s="104"/>
      <c r="F256" s="104"/>
      <c r="G256" s="104"/>
    </row>
    <row r="257" spans="1:7" ht="12.5" x14ac:dyDescent="0.25">
      <c r="A257" s="104"/>
      <c r="B257" s="104"/>
      <c r="D257" s="104"/>
      <c r="E257" s="104"/>
      <c r="F257" s="104"/>
      <c r="G257" s="104"/>
    </row>
    <row r="258" spans="1:7" ht="12.5" x14ac:dyDescent="0.25">
      <c r="A258" s="104"/>
      <c r="B258" s="104"/>
      <c r="D258" s="104"/>
      <c r="E258" s="104"/>
      <c r="F258" s="104"/>
      <c r="G258" s="104"/>
    </row>
    <row r="259" spans="1:7" ht="12.5" x14ac:dyDescent="0.25">
      <c r="A259" s="104"/>
      <c r="B259" s="104"/>
      <c r="D259" s="104"/>
      <c r="E259" s="104"/>
      <c r="F259" s="104"/>
      <c r="G259" s="104"/>
    </row>
    <row r="260" spans="1:7" ht="12.5" x14ac:dyDescent="0.25">
      <c r="A260" s="104"/>
      <c r="B260" s="104"/>
      <c r="D260" s="104"/>
      <c r="E260" s="104"/>
      <c r="F260" s="104"/>
      <c r="G260" s="104"/>
    </row>
    <row r="261" spans="1:7" ht="12.5" x14ac:dyDescent="0.25">
      <c r="A261" s="104"/>
      <c r="B261" s="104"/>
      <c r="D261" s="104"/>
      <c r="E261" s="104"/>
      <c r="F261" s="104"/>
      <c r="G261" s="104"/>
    </row>
    <row r="262" spans="1:7" ht="12.5" x14ac:dyDescent="0.25">
      <c r="A262" s="104"/>
      <c r="B262" s="104"/>
      <c r="D262" s="104"/>
      <c r="E262" s="104"/>
      <c r="F262" s="104"/>
      <c r="G262" s="104"/>
    </row>
    <row r="263" spans="1:7" ht="12.5" x14ac:dyDescent="0.25">
      <c r="A263" s="104"/>
      <c r="B263" s="104"/>
      <c r="D263" s="104"/>
      <c r="E263" s="104"/>
      <c r="F263" s="104"/>
      <c r="G263" s="104"/>
    </row>
    <row r="264" spans="1:7" ht="12.5" x14ac:dyDescent="0.25">
      <c r="A264" s="104"/>
      <c r="B264" s="104"/>
      <c r="D264" s="104"/>
      <c r="E264" s="104"/>
      <c r="F264" s="104"/>
      <c r="G264" s="104"/>
    </row>
    <row r="265" spans="1:7" ht="12.5" x14ac:dyDescent="0.25">
      <c r="A265" s="104"/>
      <c r="B265" s="104"/>
      <c r="D265" s="104"/>
      <c r="E265" s="104"/>
      <c r="F265" s="104"/>
      <c r="G265" s="104"/>
    </row>
    <row r="266" spans="1:7" ht="12.5" x14ac:dyDescent="0.25">
      <c r="A266" s="104"/>
      <c r="B266" s="104"/>
      <c r="D266" s="104"/>
      <c r="E266" s="104"/>
      <c r="F266" s="104"/>
      <c r="G266" s="104"/>
    </row>
    <row r="267" spans="1:7" ht="12.5" x14ac:dyDescent="0.25">
      <c r="A267" s="104"/>
      <c r="B267" s="104"/>
      <c r="D267" s="104"/>
      <c r="E267" s="104"/>
      <c r="F267" s="104"/>
      <c r="G267" s="104"/>
    </row>
    <row r="268" spans="1:7" ht="12.5" x14ac:dyDescent="0.25">
      <c r="A268" s="104"/>
      <c r="B268" s="104"/>
      <c r="D268" s="104"/>
      <c r="E268" s="104"/>
      <c r="F268" s="104"/>
      <c r="G268" s="104"/>
    </row>
    <row r="269" spans="1:7" ht="12.5" x14ac:dyDescent="0.25">
      <c r="A269" s="104"/>
      <c r="B269" s="104"/>
      <c r="D269" s="104"/>
      <c r="E269" s="104"/>
      <c r="F269" s="104"/>
      <c r="G269" s="104"/>
    </row>
    <row r="270" spans="1:7" ht="12.5" x14ac:dyDescent="0.25">
      <c r="A270" s="104"/>
      <c r="B270" s="104"/>
      <c r="D270" s="104"/>
      <c r="E270" s="104"/>
      <c r="F270" s="104"/>
      <c r="G270" s="104"/>
    </row>
    <row r="271" spans="1:7" ht="12.5" x14ac:dyDescent="0.25">
      <c r="A271" s="104"/>
      <c r="B271" s="104"/>
      <c r="D271" s="104"/>
      <c r="E271" s="104"/>
      <c r="F271" s="104"/>
      <c r="G271" s="104"/>
    </row>
    <row r="272" spans="1:7" ht="12.5" x14ac:dyDescent="0.25">
      <c r="A272" s="104"/>
      <c r="B272" s="104"/>
      <c r="D272" s="104"/>
      <c r="E272" s="104"/>
      <c r="F272" s="104"/>
      <c r="G272" s="104"/>
    </row>
    <row r="273" spans="1:7" ht="12.5" x14ac:dyDescent="0.25">
      <c r="A273" s="104"/>
      <c r="B273" s="104"/>
      <c r="D273" s="104"/>
      <c r="E273" s="104"/>
      <c r="F273" s="104"/>
      <c r="G273" s="104"/>
    </row>
    <row r="274" spans="1:7" ht="12.5" x14ac:dyDescent="0.25">
      <c r="A274" s="104"/>
      <c r="B274" s="104"/>
      <c r="D274" s="104"/>
      <c r="E274" s="104"/>
      <c r="F274" s="104"/>
      <c r="G274" s="104"/>
    </row>
    <row r="275" spans="1:7" ht="12.5" x14ac:dyDescent="0.25">
      <c r="A275" s="104"/>
      <c r="B275" s="104"/>
      <c r="D275" s="104"/>
      <c r="E275" s="104"/>
      <c r="F275" s="104"/>
      <c r="G275" s="104"/>
    </row>
    <row r="276" spans="1:7" ht="12.5" x14ac:dyDescent="0.25">
      <c r="A276" s="104"/>
      <c r="B276" s="104"/>
      <c r="D276" s="104"/>
      <c r="E276" s="104"/>
      <c r="F276" s="104"/>
      <c r="G276" s="104"/>
    </row>
    <row r="277" spans="1:7" ht="12.5" x14ac:dyDescent="0.25">
      <c r="A277" s="104"/>
      <c r="B277" s="104"/>
      <c r="D277" s="104"/>
      <c r="E277" s="104"/>
      <c r="F277" s="104"/>
      <c r="G277" s="104"/>
    </row>
    <row r="278" spans="1:7" ht="12.5" x14ac:dyDescent="0.25">
      <c r="A278" s="104"/>
      <c r="B278" s="104"/>
      <c r="D278" s="104"/>
      <c r="E278" s="104"/>
      <c r="F278" s="104"/>
      <c r="G278" s="104"/>
    </row>
    <row r="279" spans="1:7" ht="12.5" x14ac:dyDescent="0.25">
      <c r="A279" s="104"/>
      <c r="B279" s="104"/>
      <c r="D279" s="104"/>
      <c r="E279" s="104"/>
      <c r="F279" s="104"/>
      <c r="G279" s="104"/>
    </row>
    <row r="280" spans="1:7" ht="12.5" x14ac:dyDescent="0.25">
      <c r="A280" s="104"/>
      <c r="B280" s="104"/>
      <c r="D280" s="104"/>
      <c r="E280" s="104"/>
      <c r="F280" s="104"/>
      <c r="G280" s="104"/>
    </row>
    <row r="281" spans="1:7" ht="12.5" x14ac:dyDescent="0.25">
      <c r="A281" s="104"/>
      <c r="B281" s="104"/>
      <c r="D281" s="104"/>
      <c r="E281" s="104"/>
      <c r="F281" s="104"/>
      <c r="G281" s="104"/>
    </row>
    <row r="282" spans="1:7" ht="12.5" x14ac:dyDescent="0.25">
      <c r="A282" s="104"/>
      <c r="B282" s="104"/>
      <c r="D282" s="104"/>
      <c r="E282" s="104"/>
      <c r="F282" s="104"/>
      <c r="G282" s="104"/>
    </row>
    <row r="283" spans="1:7" ht="12.5" x14ac:dyDescent="0.25">
      <c r="A283" s="104"/>
      <c r="B283" s="104"/>
      <c r="D283" s="104"/>
      <c r="E283" s="104"/>
      <c r="F283" s="104"/>
      <c r="G283" s="104"/>
    </row>
    <row r="284" spans="1:7" ht="12.5" x14ac:dyDescent="0.25">
      <c r="A284" s="104"/>
      <c r="B284" s="104"/>
      <c r="D284" s="104"/>
      <c r="E284" s="104"/>
      <c r="F284" s="104"/>
      <c r="G284" s="104"/>
    </row>
    <row r="285" spans="1:7" ht="12.5" x14ac:dyDescent="0.25">
      <c r="A285" s="104"/>
      <c r="B285" s="104"/>
      <c r="D285" s="104"/>
      <c r="E285" s="104"/>
      <c r="F285" s="104"/>
      <c r="G285" s="104"/>
    </row>
    <row r="286" spans="1:7" ht="12.5" x14ac:dyDescent="0.25">
      <c r="A286" s="104"/>
      <c r="B286" s="104"/>
      <c r="D286" s="104"/>
      <c r="E286" s="104"/>
      <c r="F286" s="104"/>
      <c r="G286" s="104"/>
    </row>
    <row r="287" spans="1:7" ht="12.5" x14ac:dyDescent="0.25">
      <c r="A287" s="104"/>
      <c r="B287" s="104"/>
      <c r="D287" s="104"/>
      <c r="E287" s="104"/>
      <c r="F287" s="104"/>
      <c r="G287" s="104"/>
    </row>
    <row r="288" spans="1:7" ht="12.5" x14ac:dyDescent="0.25">
      <c r="A288" s="104"/>
      <c r="B288" s="104"/>
      <c r="D288" s="104"/>
      <c r="E288" s="104"/>
      <c r="F288" s="104"/>
      <c r="G288" s="104"/>
    </row>
    <row r="289" spans="1:7" ht="12.5" x14ac:dyDescent="0.25">
      <c r="A289" s="104"/>
      <c r="B289" s="104"/>
      <c r="D289" s="104"/>
      <c r="E289" s="104"/>
      <c r="F289" s="104"/>
      <c r="G289" s="104"/>
    </row>
    <row r="290" spans="1:7" ht="12.5" x14ac:dyDescent="0.25">
      <c r="A290" s="104"/>
      <c r="B290" s="104"/>
      <c r="D290" s="104"/>
      <c r="E290" s="104"/>
      <c r="F290" s="104"/>
      <c r="G290" s="104"/>
    </row>
    <row r="291" spans="1:7" ht="12.5" x14ac:dyDescent="0.25">
      <c r="A291" s="104"/>
      <c r="B291" s="104"/>
      <c r="D291" s="104"/>
      <c r="E291" s="104"/>
      <c r="F291" s="104"/>
      <c r="G291" s="104"/>
    </row>
    <row r="292" spans="1:7" ht="12.5" x14ac:dyDescent="0.25">
      <c r="A292" s="104"/>
      <c r="B292" s="104"/>
      <c r="D292" s="104"/>
      <c r="E292" s="104"/>
      <c r="F292" s="104"/>
      <c r="G292" s="104"/>
    </row>
    <row r="293" spans="1:7" ht="12.5" x14ac:dyDescent="0.25">
      <c r="A293" s="104"/>
      <c r="B293" s="104"/>
      <c r="D293" s="104"/>
      <c r="E293" s="104"/>
      <c r="F293" s="104"/>
      <c r="G293" s="104"/>
    </row>
    <row r="294" spans="1:7" ht="12.5" x14ac:dyDescent="0.25">
      <c r="A294" s="104"/>
      <c r="B294" s="104"/>
      <c r="D294" s="104"/>
      <c r="E294" s="104"/>
      <c r="F294" s="104"/>
      <c r="G294" s="104"/>
    </row>
    <row r="295" spans="1:7" ht="12.5" x14ac:dyDescent="0.25">
      <c r="A295" s="104"/>
      <c r="B295" s="104"/>
      <c r="D295" s="104"/>
      <c r="E295" s="104"/>
      <c r="F295" s="104"/>
      <c r="G295" s="104"/>
    </row>
    <row r="296" spans="1:7" ht="12.5" x14ac:dyDescent="0.25">
      <c r="A296" s="104"/>
      <c r="B296" s="104"/>
      <c r="D296" s="104"/>
      <c r="E296" s="104"/>
      <c r="F296" s="104"/>
      <c r="G296" s="104"/>
    </row>
    <row r="297" spans="1:7" ht="12.5" x14ac:dyDescent="0.25">
      <c r="A297" s="104"/>
      <c r="B297" s="104"/>
      <c r="D297" s="104"/>
      <c r="E297" s="104"/>
      <c r="F297" s="104"/>
      <c r="G297" s="104"/>
    </row>
    <row r="298" spans="1:7" ht="12.5" x14ac:dyDescent="0.25">
      <c r="A298" s="104"/>
      <c r="B298" s="104"/>
      <c r="D298" s="104"/>
      <c r="E298" s="104"/>
      <c r="F298" s="104"/>
      <c r="G298" s="104"/>
    </row>
    <row r="299" spans="1:7" ht="12.5" x14ac:dyDescent="0.25">
      <c r="A299" s="104"/>
      <c r="B299" s="104"/>
      <c r="D299" s="104"/>
      <c r="E299" s="104"/>
      <c r="F299" s="104"/>
      <c r="G299" s="104"/>
    </row>
    <row r="300" spans="1:7" ht="12.5" x14ac:dyDescent="0.25">
      <c r="A300" s="104"/>
      <c r="B300" s="104"/>
      <c r="D300" s="104"/>
      <c r="E300" s="104"/>
      <c r="F300" s="104"/>
      <c r="G300" s="104"/>
    </row>
    <row r="301" spans="1:7" ht="12.5" x14ac:dyDescent="0.25">
      <c r="A301" s="104"/>
      <c r="B301" s="104"/>
      <c r="D301" s="104"/>
      <c r="E301" s="104"/>
      <c r="F301" s="104"/>
      <c r="G301" s="104"/>
    </row>
    <row r="302" spans="1:7" ht="12.5" x14ac:dyDescent="0.25">
      <c r="A302" s="104"/>
      <c r="B302" s="104"/>
      <c r="D302" s="104"/>
      <c r="E302" s="104"/>
      <c r="F302" s="104"/>
      <c r="G302" s="104"/>
    </row>
    <row r="303" spans="1:7" ht="12.5" x14ac:dyDescent="0.25">
      <c r="A303" s="104"/>
      <c r="B303" s="104"/>
      <c r="D303" s="104"/>
      <c r="E303" s="104"/>
      <c r="F303" s="104"/>
      <c r="G303" s="104"/>
    </row>
    <row r="304" spans="1:7" ht="12.5" x14ac:dyDescent="0.25">
      <c r="A304" s="104"/>
      <c r="B304" s="104"/>
      <c r="D304" s="104"/>
      <c r="E304" s="104"/>
      <c r="F304" s="104"/>
      <c r="G304" s="104"/>
    </row>
    <row r="305" spans="1:7" ht="12.5" x14ac:dyDescent="0.25">
      <c r="A305" s="104"/>
      <c r="B305" s="104"/>
      <c r="D305" s="104"/>
      <c r="E305" s="104"/>
      <c r="F305" s="104"/>
      <c r="G305" s="104"/>
    </row>
    <row r="306" spans="1:7" ht="12.5" x14ac:dyDescent="0.25">
      <c r="A306" s="104"/>
      <c r="B306" s="104"/>
      <c r="D306" s="104"/>
      <c r="E306" s="104"/>
      <c r="F306" s="104"/>
      <c r="G306" s="104"/>
    </row>
    <row r="307" spans="1:7" ht="12.5" x14ac:dyDescent="0.25">
      <c r="A307" s="104"/>
      <c r="B307" s="104"/>
      <c r="D307" s="104"/>
      <c r="E307" s="104"/>
      <c r="F307" s="104"/>
      <c r="G307" s="104"/>
    </row>
    <row r="308" spans="1:7" ht="12.5" x14ac:dyDescent="0.25">
      <c r="A308" s="104"/>
      <c r="B308" s="104"/>
      <c r="D308" s="104"/>
      <c r="E308" s="104"/>
      <c r="F308" s="104"/>
      <c r="G308" s="104"/>
    </row>
    <row r="309" spans="1:7" ht="12.5" x14ac:dyDescent="0.25">
      <c r="A309" s="104"/>
      <c r="B309" s="104"/>
      <c r="D309" s="104"/>
      <c r="E309" s="104"/>
      <c r="F309" s="104"/>
      <c r="G309" s="104"/>
    </row>
    <row r="310" spans="1:7" ht="12.5" x14ac:dyDescent="0.25">
      <c r="A310" s="104"/>
      <c r="B310" s="104"/>
      <c r="D310" s="104"/>
      <c r="E310" s="104"/>
      <c r="F310" s="104"/>
      <c r="G310" s="104"/>
    </row>
    <row r="311" spans="1:7" ht="12.5" x14ac:dyDescent="0.25">
      <c r="A311" s="104"/>
      <c r="B311" s="104"/>
      <c r="D311" s="104"/>
      <c r="E311" s="104"/>
      <c r="F311" s="104"/>
      <c r="G311" s="104"/>
    </row>
    <row r="312" spans="1:7" ht="12.5" x14ac:dyDescent="0.25">
      <c r="A312" s="104"/>
      <c r="B312" s="104"/>
      <c r="D312" s="104"/>
      <c r="E312" s="104"/>
      <c r="F312" s="104"/>
      <c r="G312" s="104"/>
    </row>
    <row r="313" spans="1:7" ht="12.5" x14ac:dyDescent="0.25">
      <c r="A313" s="104"/>
      <c r="B313" s="104"/>
      <c r="D313" s="104"/>
      <c r="E313" s="104"/>
      <c r="F313" s="104"/>
      <c r="G313" s="104"/>
    </row>
    <row r="314" spans="1:7" ht="12.5" x14ac:dyDescent="0.25">
      <c r="A314" s="104"/>
      <c r="B314" s="104"/>
      <c r="D314" s="104"/>
      <c r="E314" s="104"/>
      <c r="F314" s="104"/>
      <c r="G314" s="104"/>
    </row>
    <row r="315" spans="1:7" ht="12.5" x14ac:dyDescent="0.25">
      <c r="A315" s="104"/>
      <c r="B315" s="104"/>
      <c r="D315" s="104"/>
      <c r="E315" s="104"/>
      <c r="F315" s="104"/>
      <c r="G315" s="104"/>
    </row>
    <row r="316" spans="1:7" ht="12.5" x14ac:dyDescent="0.25">
      <c r="A316" s="104"/>
      <c r="B316" s="104"/>
      <c r="D316" s="104"/>
      <c r="E316" s="104"/>
      <c r="F316" s="104"/>
      <c r="G316" s="104"/>
    </row>
    <row r="317" spans="1:7" ht="12.5" x14ac:dyDescent="0.25">
      <c r="A317" s="104"/>
      <c r="B317" s="104"/>
      <c r="D317" s="104"/>
      <c r="E317" s="104"/>
      <c r="F317" s="104"/>
      <c r="G317" s="104"/>
    </row>
    <row r="318" spans="1:7" ht="12.5" x14ac:dyDescent="0.25">
      <c r="A318" s="104"/>
      <c r="B318" s="104"/>
      <c r="D318" s="104"/>
      <c r="E318" s="104"/>
      <c r="F318" s="104"/>
      <c r="G318" s="104"/>
    </row>
    <row r="319" spans="1:7" ht="12.5" x14ac:dyDescent="0.25">
      <c r="A319" s="104"/>
      <c r="B319" s="104"/>
      <c r="D319" s="104"/>
      <c r="E319" s="104"/>
      <c r="F319" s="104"/>
      <c r="G319" s="104"/>
    </row>
    <row r="320" spans="1:7" ht="12.5" x14ac:dyDescent="0.25">
      <c r="A320" s="104"/>
      <c r="B320" s="104"/>
      <c r="D320" s="104"/>
      <c r="E320" s="104"/>
      <c r="F320" s="104"/>
      <c r="G320" s="104"/>
    </row>
    <row r="321" spans="1:7" ht="12.5" x14ac:dyDescent="0.25">
      <c r="A321" s="104"/>
      <c r="B321" s="104"/>
      <c r="D321" s="104"/>
      <c r="E321" s="104"/>
      <c r="F321" s="104"/>
      <c r="G321" s="104"/>
    </row>
    <row r="322" spans="1:7" ht="12.5" x14ac:dyDescent="0.25">
      <c r="A322" s="104"/>
      <c r="B322" s="104"/>
      <c r="D322" s="104"/>
      <c r="E322" s="104"/>
      <c r="F322" s="104"/>
      <c r="G322" s="104"/>
    </row>
    <row r="323" spans="1:7" ht="12.5" x14ac:dyDescent="0.25">
      <c r="A323" s="104"/>
      <c r="B323" s="104"/>
      <c r="D323" s="104"/>
      <c r="E323" s="104"/>
      <c r="F323" s="104"/>
      <c r="G323" s="104"/>
    </row>
    <row r="324" spans="1:7" ht="12.5" x14ac:dyDescent="0.25">
      <c r="A324" s="104"/>
      <c r="B324" s="104"/>
      <c r="D324" s="104"/>
      <c r="E324" s="104"/>
      <c r="F324" s="104"/>
      <c r="G324" s="104"/>
    </row>
    <row r="325" spans="1:7" ht="12.5" x14ac:dyDescent="0.25">
      <c r="A325" s="104"/>
      <c r="B325" s="104"/>
      <c r="D325" s="104"/>
      <c r="E325" s="104"/>
      <c r="F325" s="104"/>
      <c r="G325" s="104"/>
    </row>
    <row r="326" spans="1:7" ht="12.5" x14ac:dyDescent="0.25">
      <c r="A326" s="104"/>
      <c r="B326" s="104"/>
      <c r="D326" s="104"/>
      <c r="E326" s="104"/>
      <c r="F326" s="104"/>
      <c r="G326" s="104"/>
    </row>
    <row r="327" spans="1:7" ht="12.5" x14ac:dyDescent="0.25">
      <c r="A327" s="104"/>
      <c r="B327" s="104"/>
      <c r="D327" s="104"/>
      <c r="E327" s="104"/>
      <c r="F327" s="104"/>
      <c r="G327" s="104"/>
    </row>
    <row r="328" spans="1:7" ht="12.5" x14ac:dyDescent="0.25">
      <c r="A328" s="104"/>
      <c r="B328" s="104"/>
      <c r="D328" s="104"/>
      <c r="E328" s="104"/>
      <c r="F328" s="104"/>
      <c r="G328" s="104"/>
    </row>
    <row r="329" spans="1:7" ht="12.5" x14ac:dyDescent="0.25">
      <c r="A329" s="104"/>
      <c r="B329" s="104"/>
      <c r="D329" s="104"/>
      <c r="E329" s="104"/>
      <c r="F329" s="104"/>
      <c r="G329" s="104"/>
    </row>
    <row r="330" spans="1:7" ht="12.5" x14ac:dyDescent="0.25">
      <c r="A330" s="104"/>
      <c r="B330" s="104"/>
      <c r="D330" s="104"/>
      <c r="E330" s="104"/>
      <c r="F330" s="104"/>
      <c r="G330" s="104"/>
    </row>
    <row r="331" spans="1:7" ht="12.5" x14ac:dyDescent="0.25">
      <c r="A331" s="104"/>
      <c r="B331" s="104"/>
      <c r="D331" s="104"/>
      <c r="E331" s="104"/>
      <c r="F331" s="104"/>
      <c r="G331" s="104"/>
    </row>
    <row r="332" spans="1:7" ht="12.5" x14ac:dyDescent="0.25">
      <c r="A332" s="104"/>
      <c r="B332" s="104"/>
      <c r="D332" s="104"/>
      <c r="E332" s="104"/>
      <c r="F332" s="104"/>
      <c r="G332" s="104"/>
    </row>
    <row r="333" spans="1:7" ht="12.5" x14ac:dyDescent="0.25">
      <c r="A333" s="104"/>
      <c r="B333" s="104"/>
      <c r="D333" s="104"/>
      <c r="E333" s="104"/>
      <c r="F333" s="104"/>
      <c r="G333" s="104"/>
    </row>
    <row r="334" spans="1:7" ht="12.5" x14ac:dyDescent="0.25">
      <c r="A334" s="104"/>
      <c r="B334" s="104"/>
      <c r="D334" s="104"/>
      <c r="E334" s="104"/>
      <c r="F334" s="104"/>
      <c r="G334" s="104"/>
    </row>
    <row r="335" spans="1:7" ht="12.5" x14ac:dyDescent="0.25">
      <c r="A335" s="104"/>
      <c r="B335" s="104"/>
      <c r="D335" s="104"/>
      <c r="E335" s="104"/>
      <c r="F335" s="104"/>
      <c r="G335" s="104"/>
    </row>
    <row r="336" spans="1:7" ht="12.5" x14ac:dyDescent="0.25">
      <c r="A336" s="104"/>
      <c r="B336" s="104"/>
      <c r="D336" s="104"/>
      <c r="E336" s="104"/>
      <c r="F336" s="104"/>
      <c r="G336" s="104"/>
    </row>
    <row r="337" spans="1:7" ht="12.5" x14ac:dyDescent="0.25">
      <c r="A337" s="104"/>
      <c r="B337" s="104"/>
      <c r="D337" s="104"/>
      <c r="E337" s="104"/>
      <c r="F337" s="104"/>
      <c r="G337" s="104"/>
    </row>
    <row r="338" spans="1:7" ht="12.5" x14ac:dyDescent="0.25">
      <c r="A338" s="104"/>
      <c r="B338" s="104"/>
      <c r="D338" s="104"/>
      <c r="E338" s="104"/>
      <c r="F338" s="104"/>
      <c r="G338" s="104"/>
    </row>
    <row r="339" spans="1:7" ht="12.5" x14ac:dyDescent="0.25">
      <c r="A339" s="104"/>
      <c r="B339" s="104"/>
      <c r="D339" s="104"/>
      <c r="E339" s="104"/>
      <c r="F339" s="104"/>
      <c r="G339" s="104"/>
    </row>
    <row r="340" spans="1:7" ht="12.5" x14ac:dyDescent="0.25">
      <c r="A340" s="104"/>
      <c r="B340" s="104"/>
      <c r="D340" s="104"/>
      <c r="E340" s="104"/>
      <c r="F340" s="104"/>
      <c r="G340" s="104"/>
    </row>
    <row r="341" spans="1:7" ht="12.5" x14ac:dyDescent="0.25">
      <c r="A341" s="104"/>
      <c r="B341" s="104"/>
      <c r="D341" s="104"/>
      <c r="E341" s="104"/>
      <c r="F341" s="104"/>
      <c r="G341" s="104"/>
    </row>
    <row r="342" spans="1:7" ht="12.5" x14ac:dyDescent="0.25">
      <c r="A342" s="104"/>
      <c r="B342" s="104"/>
      <c r="D342" s="104"/>
      <c r="E342" s="104"/>
      <c r="F342" s="104"/>
      <c r="G342" s="104"/>
    </row>
    <row r="343" spans="1:7" ht="12.5" x14ac:dyDescent="0.25">
      <c r="A343" s="104"/>
      <c r="B343" s="104"/>
      <c r="D343" s="104"/>
      <c r="E343" s="104"/>
      <c r="F343" s="104"/>
      <c r="G343" s="104"/>
    </row>
    <row r="344" spans="1:7" ht="12.5" x14ac:dyDescent="0.25">
      <c r="A344" s="104"/>
      <c r="B344" s="104"/>
      <c r="D344" s="104"/>
      <c r="E344" s="104"/>
      <c r="F344" s="104"/>
      <c r="G344" s="104"/>
    </row>
    <row r="345" spans="1:7" ht="12.5" x14ac:dyDescent="0.25">
      <c r="A345" s="104"/>
      <c r="B345" s="104"/>
      <c r="D345" s="104"/>
      <c r="E345" s="104"/>
      <c r="F345" s="104"/>
      <c r="G345" s="104"/>
    </row>
    <row r="346" spans="1:7" ht="12.5" x14ac:dyDescent="0.25">
      <c r="A346" s="104"/>
      <c r="B346" s="104"/>
      <c r="D346" s="104"/>
      <c r="E346" s="104"/>
      <c r="F346" s="104"/>
      <c r="G346" s="104"/>
    </row>
    <row r="347" spans="1:7" ht="12.5" x14ac:dyDescent="0.25">
      <c r="A347" s="104"/>
      <c r="B347" s="104"/>
      <c r="D347" s="104"/>
      <c r="E347" s="104"/>
      <c r="F347" s="104"/>
      <c r="G347" s="104"/>
    </row>
    <row r="348" spans="1:7" ht="12.5" x14ac:dyDescent="0.25">
      <c r="A348" s="104"/>
      <c r="B348" s="104"/>
      <c r="D348" s="104"/>
      <c r="E348" s="104"/>
      <c r="F348" s="104"/>
      <c r="G348" s="104"/>
    </row>
    <row r="349" spans="1:7" ht="12.5" x14ac:dyDescent="0.25">
      <c r="A349" s="104"/>
      <c r="B349" s="104"/>
      <c r="D349" s="104"/>
      <c r="E349" s="104"/>
      <c r="F349" s="104"/>
      <c r="G349" s="104"/>
    </row>
    <row r="350" spans="1:7" ht="12.5" x14ac:dyDescent="0.25">
      <c r="A350" s="104"/>
      <c r="B350" s="104"/>
      <c r="D350" s="104"/>
      <c r="E350" s="104"/>
      <c r="F350" s="104"/>
      <c r="G350" s="104"/>
    </row>
    <row r="351" spans="1:7" ht="12.5" x14ac:dyDescent="0.25">
      <c r="A351" s="104"/>
      <c r="B351" s="104"/>
      <c r="D351" s="104"/>
      <c r="E351" s="104"/>
      <c r="F351" s="104"/>
      <c r="G351" s="104"/>
    </row>
    <row r="352" spans="1:7" ht="12.5" x14ac:dyDescent="0.25">
      <c r="A352" s="104"/>
      <c r="B352" s="104"/>
      <c r="D352" s="104"/>
      <c r="E352" s="104"/>
      <c r="F352" s="104"/>
      <c r="G352" s="104"/>
    </row>
    <row r="353" spans="1:7" ht="12.5" x14ac:dyDescent="0.25">
      <c r="A353" s="104"/>
      <c r="B353" s="104"/>
      <c r="D353" s="104"/>
      <c r="E353" s="104"/>
      <c r="F353" s="104"/>
      <c r="G353" s="104"/>
    </row>
    <row r="354" spans="1:7" ht="12.5" x14ac:dyDescent="0.25">
      <c r="A354" s="104"/>
      <c r="B354" s="104"/>
      <c r="D354" s="104"/>
      <c r="E354" s="104"/>
      <c r="F354" s="104"/>
      <c r="G354" s="104"/>
    </row>
    <row r="355" spans="1:7" ht="12.5" x14ac:dyDescent="0.25">
      <c r="A355" s="104"/>
      <c r="B355" s="104"/>
      <c r="D355" s="104"/>
      <c r="E355" s="104"/>
      <c r="F355" s="104"/>
      <c r="G355" s="104"/>
    </row>
    <row r="356" spans="1:7" ht="12.5" x14ac:dyDescent="0.25">
      <c r="A356" s="104"/>
      <c r="B356" s="104"/>
      <c r="D356" s="104"/>
      <c r="E356" s="104"/>
      <c r="F356" s="104"/>
      <c r="G356" s="104"/>
    </row>
    <row r="357" spans="1:7" ht="12.5" x14ac:dyDescent="0.25">
      <c r="A357" s="104"/>
      <c r="B357" s="104"/>
      <c r="D357" s="104"/>
      <c r="E357" s="104"/>
      <c r="F357" s="104"/>
      <c r="G357" s="104"/>
    </row>
    <row r="358" spans="1:7" ht="12.5" x14ac:dyDescent="0.25">
      <c r="A358" s="104"/>
      <c r="B358" s="104"/>
      <c r="D358" s="104"/>
      <c r="E358" s="104"/>
      <c r="F358" s="104"/>
      <c r="G358" s="104"/>
    </row>
    <row r="359" spans="1:7" ht="12.5" x14ac:dyDescent="0.25">
      <c r="A359" s="104"/>
      <c r="B359" s="104"/>
      <c r="D359" s="104"/>
      <c r="E359" s="104"/>
      <c r="F359" s="104"/>
      <c r="G359" s="104"/>
    </row>
    <row r="360" spans="1:7" ht="12.5" x14ac:dyDescent="0.25">
      <c r="A360" s="104"/>
      <c r="B360" s="104"/>
      <c r="D360" s="104"/>
      <c r="E360" s="104"/>
      <c r="F360" s="104"/>
      <c r="G360" s="104"/>
    </row>
    <row r="361" spans="1:7" ht="12.5" x14ac:dyDescent="0.25">
      <c r="A361" s="104"/>
      <c r="B361" s="104"/>
      <c r="D361" s="104"/>
      <c r="E361" s="104"/>
      <c r="F361" s="104"/>
      <c r="G361" s="104"/>
    </row>
    <row r="362" spans="1:7" ht="12.5" x14ac:dyDescent="0.25">
      <c r="A362" s="104"/>
      <c r="B362" s="104"/>
      <c r="D362" s="104"/>
      <c r="E362" s="104"/>
      <c r="F362" s="104"/>
      <c r="G362" s="104"/>
    </row>
    <row r="363" spans="1:7" ht="12.5" x14ac:dyDescent="0.25">
      <c r="A363" s="104"/>
      <c r="B363" s="104"/>
      <c r="D363" s="104"/>
      <c r="E363" s="104"/>
      <c r="F363" s="104"/>
      <c r="G363" s="104"/>
    </row>
    <row r="364" spans="1:7" ht="12.5" x14ac:dyDescent="0.25">
      <c r="A364" s="104"/>
      <c r="B364" s="104"/>
      <c r="D364" s="104"/>
      <c r="E364" s="104"/>
      <c r="F364" s="104"/>
      <c r="G364" s="104"/>
    </row>
    <row r="365" spans="1:7" ht="12.5" x14ac:dyDescent="0.25">
      <c r="A365" s="104"/>
      <c r="B365" s="104"/>
      <c r="D365" s="104"/>
      <c r="E365" s="104"/>
      <c r="F365" s="104"/>
      <c r="G365" s="104"/>
    </row>
    <row r="366" spans="1:7" ht="12.5" x14ac:dyDescent="0.25">
      <c r="A366" s="104"/>
      <c r="B366" s="104"/>
      <c r="D366" s="104"/>
      <c r="E366" s="104"/>
      <c r="F366" s="104"/>
      <c r="G366" s="104"/>
    </row>
    <row r="367" spans="1:7" ht="12.5" x14ac:dyDescent="0.25">
      <c r="A367" s="104"/>
      <c r="B367" s="104"/>
      <c r="D367" s="104"/>
      <c r="E367" s="104"/>
      <c r="F367" s="104"/>
      <c r="G367" s="104"/>
    </row>
    <row r="368" spans="1:7" ht="12.5" x14ac:dyDescent="0.25">
      <c r="A368" s="104"/>
      <c r="B368" s="104"/>
      <c r="D368" s="104"/>
      <c r="E368" s="104"/>
      <c r="F368" s="104"/>
      <c r="G368" s="104"/>
    </row>
    <row r="369" spans="1:7" ht="12.5" x14ac:dyDescent="0.25">
      <c r="A369" s="104"/>
      <c r="B369" s="104"/>
      <c r="D369" s="104"/>
      <c r="E369" s="104"/>
      <c r="F369" s="104"/>
      <c r="G369" s="104"/>
    </row>
    <row r="370" spans="1:7" ht="12.5" x14ac:dyDescent="0.25">
      <c r="A370" s="104"/>
      <c r="B370" s="104"/>
      <c r="D370" s="104"/>
      <c r="E370" s="104"/>
      <c r="F370" s="104"/>
      <c r="G370" s="104"/>
    </row>
    <row r="371" spans="1:7" ht="12.5" x14ac:dyDescent="0.25">
      <c r="A371" s="104"/>
      <c r="B371" s="104"/>
      <c r="D371" s="104"/>
      <c r="E371" s="104"/>
      <c r="F371" s="104"/>
      <c r="G371" s="104"/>
    </row>
    <row r="372" spans="1:7" ht="12.5" x14ac:dyDescent="0.25">
      <c r="A372" s="104"/>
      <c r="B372" s="104"/>
      <c r="D372" s="104"/>
      <c r="E372" s="104"/>
      <c r="F372" s="104"/>
      <c r="G372" s="104"/>
    </row>
    <row r="373" spans="1:7" ht="12.5" x14ac:dyDescent="0.25">
      <c r="A373" s="104"/>
      <c r="B373" s="104"/>
      <c r="D373" s="104"/>
      <c r="E373" s="104"/>
      <c r="F373" s="104"/>
      <c r="G373" s="104"/>
    </row>
    <row r="374" spans="1:7" ht="12.5" x14ac:dyDescent="0.25">
      <c r="A374" s="104"/>
      <c r="B374" s="104"/>
      <c r="D374" s="104"/>
      <c r="E374" s="104"/>
      <c r="F374" s="104"/>
      <c r="G374" s="104"/>
    </row>
    <row r="375" spans="1:7" ht="12.5" x14ac:dyDescent="0.25">
      <c r="A375" s="104"/>
      <c r="B375" s="104"/>
      <c r="D375" s="104"/>
      <c r="E375" s="104"/>
      <c r="F375" s="104"/>
      <c r="G375" s="104"/>
    </row>
    <row r="376" spans="1:7" ht="12.5" x14ac:dyDescent="0.25">
      <c r="A376" s="104"/>
      <c r="B376" s="104"/>
      <c r="D376" s="104"/>
      <c r="E376" s="104"/>
      <c r="F376" s="104"/>
      <c r="G376" s="104"/>
    </row>
    <row r="377" spans="1:7" ht="12.5" x14ac:dyDescent="0.25">
      <c r="A377" s="104"/>
      <c r="B377" s="104"/>
      <c r="D377" s="104"/>
      <c r="E377" s="104"/>
      <c r="F377" s="104"/>
      <c r="G377" s="104"/>
    </row>
    <row r="378" spans="1:7" ht="12.5" x14ac:dyDescent="0.25">
      <c r="A378" s="104"/>
      <c r="B378" s="104"/>
      <c r="D378" s="104"/>
      <c r="E378" s="104"/>
      <c r="F378" s="104"/>
      <c r="G378" s="104"/>
    </row>
    <row r="379" spans="1:7" ht="12.5" x14ac:dyDescent="0.25">
      <c r="A379" s="104"/>
      <c r="B379" s="104"/>
      <c r="D379" s="104"/>
      <c r="E379" s="104"/>
      <c r="F379" s="104"/>
      <c r="G379" s="104"/>
    </row>
    <row r="380" spans="1:7" ht="12.5" x14ac:dyDescent="0.25">
      <c r="A380" s="104"/>
      <c r="B380" s="104"/>
      <c r="D380" s="104"/>
      <c r="E380" s="104"/>
      <c r="F380" s="104"/>
      <c r="G380" s="104"/>
    </row>
    <row r="381" spans="1:7" ht="12.5" x14ac:dyDescent="0.25">
      <c r="A381" s="104"/>
      <c r="B381" s="104"/>
      <c r="D381" s="104"/>
      <c r="E381" s="104"/>
      <c r="F381" s="104"/>
      <c r="G381" s="104"/>
    </row>
    <row r="382" spans="1:7" ht="12.5" x14ac:dyDescent="0.25">
      <c r="A382" s="104"/>
      <c r="B382" s="104"/>
      <c r="D382" s="104"/>
      <c r="E382" s="104"/>
      <c r="F382" s="104"/>
      <c r="G382" s="104"/>
    </row>
    <row r="383" spans="1:7" ht="12.5" x14ac:dyDescent="0.25">
      <c r="A383" s="104"/>
      <c r="B383" s="104"/>
      <c r="D383" s="104"/>
      <c r="E383" s="104"/>
      <c r="F383" s="104"/>
      <c r="G383" s="104"/>
    </row>
    <row r="384" spans="1:7" ht="12.5" x14ac:dyDescent="0.25">
      <c r="A384" s="104"/>
      <c r="B384" s="104"/>
      <c r="D384" s="104"/>
      <c r="E384" s="104"/>
      <c r="F384" s="104"/>
      <c r="G384" s="104"/>
    </row>
    <row r="385" spans="1:7" ht="12.5" x14ac:dyDescent="0.25">
      <c r="A385" s="104"/>
      <c r="B385" s="104"/>
      <c r="D385" s="104"/>
      <c r="E385" s="104"/>
      <c r="F385" s="104"/>
      <c r="G385" s="104"/>
    </row>
    <row r="386" spans="1:7" ht="12.5" x14ac:dyDescent="0.25">
      <c r="A386" s="104"/>
      <c r="B386" s="104"/>
      <c r="D386" s="104"/>
      <c r="E386" s="104"/>
      <c r="F386" s="104"/>
      <c r="G386" s="104"/>
    </row>
    <row r="387" spans="1:7" ht="12.5" x14ac:dyDescent="0.25">
      <c r="A387" s="104"/>
      <c r="B387" s="104"/>
      <c r="D387" s="104"/>
      <c r="E387" s="104"/>
      <c r="F387" s="104"/>
      <c r="G387" s="104"/>
    </row>
    <row r="388" spans="1:7" ht="12.5" x14ac:dyDescent="0.25">
      <c r="A388" s="104"/>
      <c r="B388" s="104"/>
      <c r="D388" s="104"/>
      <c r="E388" s="104"/>
      <c r="F388" s="104"/>
      <c r="G388" s="104"/>
    </row>
    <row r="389" spans="1:7" ht="12.5" x14ac:dyDescent="0.25">
      <c r="A389" s="104"/>
      <c r="B389" s="104"/>
      <c r="D389" s="104"/>
      <c r="E389" s="104"/>
      <c r="F389" s="104"/>
      <c r="G389" s="104"/>
    </row>
    <row r="390" spans="1:7" ht="12.5" x14ac:dyDescent="0.25">
      <c r="A390" s="104"/>
      <c r="B390" s="104"/>
      <c r="D390" s="104"/>
      <c r="E390" s="104"/>
      <c r="F390" s="104"/>
      <c r="G390" s="104"/>
    </row>
    <row r="391" spans="1:7" ht="12.5" x14ac:dyDescent="0.25">
      <c r="A391" s="104"/>
      <c r="B391" s="104"/>
      <c r="D391" s="104"/>
      <c r="E391" s="104"/>
      <c r="F391" s="104"/>
      <c r="G391" s="104"/>
    </row>
    <row r="392" spans="1:7" ht="12.5" x14ac:dyDescent="0.25">
      <c r="A392" s="104"/>
      <c r="B392" s="104"/>
      <c r="D392" s="104"/>
      <c r="E392" s="104"/>
      <c r="F392" s="104"/>
      <c r="G392" s="104"/>
    </row>
    <row r="393" spans="1:7" ht="12.5" x14ac:dyDescent="0.25">
      <c r="A393" s="104"/>
      <c r="B393" s="104"/>
      <c r="D393" s="104"/>
      <c r="E393" s="104"/>
      <c r="F393" s="104"/>
      <c r="G393" s="104"/>
    </row>
    <row r="394" spans="1:7" ht="12.5" x14ac:dyDescent="0.25">
      <c r="A394" s="104"/>
      <c r="B394" s="104"/>
      <c r="D394" s="104"/>
      <c r="E394" s="104"/>
      <c r="F394" s="104"/>
      <c r="G394" s="104"/>
    </row>
    <row r="395" spans="1:7" ht="12.5" x14ac:dyDescent="0.25">
      <c r="A395" s="104"/>
      <c r="B395" s="104"/>
      <c r="D395" s="104"/>
      <c r="E395" s="104"/>
      <c r="F395" s="104"/>
      <c r="G395" s="104"/>
    </row>
    <row r="396" spans="1:7" ht="12.5" x14ac:dyDescent="0.25">
      <c r="A396" s="104"/>
      <c r="B396" s="104"/>
      <c r="D396" s="104"/>
      <c r="E396" s="104"/>
      <c r="F396" s="104"/>
      <c r="G396" s="104"/>
    </row>
    <row r="397" spans="1:7" ht="12.5" x14ac:dyDescent="0.25">
      <c r="A397" s="104"/>
      <c r="B397" s="104"/>
      <c r="D397" s="104"/>
      <c r="E397" s="104"/>
      <c r="F397" s="104"/>
      <c r="G397" s="104"/>
    </row>
    <row r="398" spans="1:7" ht="12.5" x14ac:dyDescent="0.25">
      <c r="A398" s="104"/>
      <c r="B398" s="104"/>
      <c r="D398" s="104"/>
      <c r="E398" s="104"/>
      <c r="F398" s="104"/>
      <c r="G398" s="104"/>
    </row>
    <row r="399" spans="1:7" ht="12.5" x14ac:dyDescent="0.25">
      <c r="A399" s="104"/>
      <c r="B399" s="104"/>
      <c r="D399" s="104"/>
      <c r="E399" s="104"/>
      <c r="F399" s="104"/>
      <c r="G399" s="104"/>
    </row>
    <row r="400" spans="1:7" ht="12.5" x14ac:dyDescent="0.25">
      <c r="A400" s="104"/>
      <c r="B400" s="104"/>
      <c r="D400" s="104"/>
      <c r="E400" s="104"/>
      <c r="F400" s="104"/>
      <c r="G400" s="104"/>
    </row>
    <row r="401" spans="1:7" ht="12.5" x14ac:dyDescent="0.25">
      <c r="A401" s="104"/>
      <c r="B401" s="104"/>
      <c r="D401" s="104"/>
      <c r="E401" s="104"/>
      <c r="F401" s="104"/>
      <c r="G401" s="104"/>
    </row>
    <row r="402" spans="1:7" ht="12.5" x14ac:dyDescent="0.25">
      <c r="A402" s="104"/>
      <c r="B402" s="104"/>
      <c r="D402" s="104"/>
      <c r="E402" s="104"/>
      <c r="F402" s="104"/>
      <c r="G402" s="104"/>
    </row>
    <row r="403" spans="1:7" ht="12.5" x14ac:dyDescent="0.25">
      <c r="A403" s="104"/>
      <c r="B403" s="104"/>
      <c r="D403" s="104"/>
      <c r="E403" s="104"/>
      <c r="F403" s="104"/>
      <c r="G403" s="104"/>
    </row>
    <row r="404" spans="1:7" ht="12.5" x14ac:dyDescent="0.25">
      <c r="A404" s="104"/>
      <c r="B404" s="104"/>
      <c r="D404" s="104"/>
      <c r="E404" s="104"/>
      <c r="F404" s="104"/>
      <c r="G404" s="104"/>
    </row>
    <row r="405" spans="1:7" ht="12.5" x14ac:dyDescent="0.25">
      <c r="A405" s="104"/>
      <c r="B405" s="104"/>
      <c r="D405" s="104"/>
      <c r="E405" s="104"/>
      <c r="F405" s="104"/>
      <c r="G405" s="104"/>
    </row>
    <row r="406" spans="1:7" ht="12.5" x14ac:dyDescent="0.25">
      <c r="A406" s="104"/>
      <c r="B406" s="104"/>
      <c r="D406" s="104"/>
      <c r="E406" s="104"/>
      <c r="F406" s="104"/>
      <c r="G406" s="104"/>
    </row>
    <row r="407" spans="1:7" ht="12.5" x14ac:dyDescent="0.25">
      <c r="A407" s="104"/>
      <c r="B407" s="104"/>
      <c r="D407" s="104"/>
      <c r="E407" s="104"/>
      <c r="F407" s="104"/>
      <c r="G407" s="104"/>
    </row>
    <row r="408" spans="1:7" ht="12.5" x14ac:dyDescent="0.25">
      <c r="A408" s="104"/>
      <c r="B408" s="104"/>
      <c r="D408" s="104"/>
      <c r="E408" s="104"/>
      <c r="F408" s="104"/>
      <c r="G408" s="104"/>
    </row>
    <row r="409" spans="1:7" ht="12.5" x14ac:dyDescent="0.25">
      <c r="A409" s="104"/>
      <c r="B409" s="104"/>
      <c r="D409" s="104"/>
      <c r="E409" s="104"/>
      <c r="F409" s="104"/>
      <c r="G409" s="104"/>
    </row>
    <row r="410" spans="1:7" ht="12.5" x14ac:dyDescent="0.25">
      <c r="A410" s="104"/>
      <c r="B410" s="104"/>
      <c r="D410" s="104"/>
      <c r="E410" s="104"/>
      <c r="F410" s="104"/>
      <c r="G410" s="104"/>
    </row>
    <row r="411" spans="1:7" ht="12.5" x14ac:dyDescent="0.25">
      <c r="A411" s="104"/>
      <c r="B411" s="104"/>
      <c r="D411" s="104"/>
      <c r="E411" s="104"/>
      <c r="F411" s="104"/>
      <c r="G411" s="104"/>
    </row>
    <row r="412" spans="1:7" ht="12.5" x14ac:dyDescent="0.25">
      <c r="A412" s="104"/>
      <c r="B412" s="104"/>
      <c r="D412" s="104"/>
      <c r="E412" s="104"/>
      <c r="F412" s="104"/>
      <c r="G412" s="104"/>
    </row>
    <row r="413" spans="1:7" ht="12.5" x14ac:dyDescent="0.25">
      <c r="A413" s="104"/>
      <c r="B413" s="104"/>
      <c r="D413" s="104"/>
      <c r="E413" s="104"/>
      <c r="F413" s="104"/>
      <c r="G413" s="104"/>
    </row>
    <row r="414" spans="1:7" ht="12.5" x14ac:dyDescent="0.25">
      <c r="A414" s="104"/>
      <c r="B414" s="104"/>
      <c r="D414" s="104"/>
      <c r="E414" s="104"/>
      <c r="F414" s="104"/>
      <c r="G414" s="104"/>
    </row>
    <row r="415" spans="1:7" ht="12.5" x14ac:dyDescent="0.25">
      <c r="A415" s="104"/>
      <c r="B415" s="104"/>
      <c r="D415" s="104"/>
      <c r="E415" s="104"/>
      <c r="F415" s="104"/>
      <c r="G415" s="104"/>
    </row>
    <row r="416" spans="1:7" ht="12.5" x14ac:dyDescent="0.25">
      <c r="A416" s="104"/>
      <c r="B416" s="104"/>
      <c r="D416" s="104"/>
      <c r="E416" s="104"/>
      <c r="F416" s="104"/>
      <c r="G416" s="104"/>
    </row>
    <row r="417" spans="1:7" ht="12.5" x14ac:dyDescent="0.25">
      <c r="A417" s="104"/>
      <c r="B417" s="104"/>
      <c r="D417" s="104"/>
      <c r="E417" s="104"/>
      <c r="F417" s="104"/>
      <c r="G417" s="104"/>
    </row>
    <row r="418" spans="1:7" ht="12.5" x14ac:dyDescent="0.25">
      <c r="A418" s="104"/>
      <c r="B418" s="104"/>
      <c r="D418" s="104"/>
      <c r="E418" s="104"/>
      <c r="F418" s="104"/>
      <c r="G418" s="104"/>
    </row>
    <row r="419" spans="1:7" ht="12.5" x14ac:dyDescent="0.25">
      <c r="A419" s="104"/>
      <c r="B419" s="104"/>
      <c r="D419" s="104"/>
      <c r="E419" s="104"/>
      <c r="F419" s="104"/>
      <c r="G419" s="104"/>
    </row>
    <row r="420" spans="1:7" ht="12.5" x14ac:dyDescent="0.25">
      <c r="A420" s="104"/>
      <c r="B420" s="104"/>
      <c r="D420" s="104"/>
      <c r="E420" s="104"/>
      <c r="F420" s="104"/>
      <c r="G420" s="104"/>
    </row>
    <row r="421" spans="1:7" ht="12.5" x14ac:dyDescent="0.25">
      <c r="A421" s="104"/>
      <c r="B421" s="104"/>
      <c r="D421" s="104"/>
      <c r="E421" s="104"/>
      <c r="F421" s="104"/>
      <c r="G421" s="104"/>
    </row>
    <row r="422" spans="1:7" ht="12.5" x14ac:dyDescent="0.25">
      <c r="A422" s="104"/>
      <c r="B422" s="104"/>
      <c r="D422" s="104"/>
      <c r="E422" s="104"/>
      <c r="F422" s="104"/>
      <c r="G422" s="104"/>
    </row>
    <row r="423" spans="1:7" ht="12.5" x14ac:dyDescent="0.25">
      <c r="A423" s="104"/>
      <c r="B423" s="104"/>
      <c r="D423" s="104"/>
      <c r="E423" s="104"/>
      <c r="F423" s="104"/>
      <c r="G423" s="104"/>
    </row>
    <row r="424" spans="1:7" ht="12.5" x14ac:dyDescent="0.25">
      <c r="A424" s="104"/>
      <c r="B424" s="104"/>
      <c r="D424" s="104"/>
      <c r="E424" s="104"/>
      <c r="F424" s="104"/>
      <c r="G424" s="104"/>
    </row>
    <row r="425" spans="1:7" ht="12.5" x14ac:dyDescent="0.25">
      <c r="A425" s="104"/>
      <c r="B425" s="104"/>
      <c r="D425" s="104"/>
      <c r="E425" s="104"/>
      <c r="F425" s="104"/>
      <c r="G425" s="104"/>
    </row>
    <row r="426" spans="1:7" ht="12.5" x14ac:dyDescent="0.25">
      <c r="A426" s="104"/>
      <c r="B426" s="104"/>
      <c r="D426" s="104"/>
      <c r="E426" s="104"/>
      <c r="F426" s="104"/>
      <c r="G426" s="104"/>
    </row>
    <row r="427" spans="1:7" ht="12.5" x14ac:dyDescent="0.25">
      <c r="A427" s="104"/>
      <c r="B427" s="104"/>
      <c r="D427" s="104"/>
      <c r="E427" s="104"/>
      <c r="F427" s="104"/>
      <c r="G427" s="104"/>
    </row>
    <row r="428" spans="1:7" ht="12.5" x14ac:dyDescent="0.25">
      <c r="A428" s="104"/>
      <c r="B428" s="104"/>
      <c r="D428" s="104"/>
      <c r="E428" s="104"/>
      <c r="F428" s="104"/>
      <c r="G428" s="104"/>
    </row>
    <row r="429" spans="1:7" ht="12.5" x14ac:dyDescent="0.25">
      <c r="A429" s="104"/>
      <c r="B429" s="104"/>
      <c r="D429" s="104"/>
      <c r="E429" s="104"/>
      <c r="F429" s="104"/>
      <c r="G429" s="104"/>
    </row>
    <row r="430" spans="1:7" ht="12.5" x14ac:dyDescent="0.25">
      <c r="A430" s="104"/>
      <c r="B430" s="104"/>
      <c r="D430" s="104"/>
      <c r="E430" s="104"/>
      <c r="F430" s="104"/>
      <c r="G430" s="104"/>
    </row>
    <row r="431" spans="1:7" ht="12.5" x14ac:dyDescent="0.25">
      <c r="A431" s="104"/>
      <c r="B431" s="104"/>
      <c r="D431" s="104"/>
      <c r="E431" s="104"/>
      <c r="F431" s="104"/>
      <c r="G431" s="104"/>
    </row>
    <row r="432" spans="1:7" ht="12.5" x14ac:dyDescent="0.25">
      <c r="A432" s="104"/>
      <c r="B432" s="104"/>
      <c r="D432" s="104"/>
      <c r="E432" s="104"/>
      <c r="F432" s="104"/>
      <c r="G432" s="104"/>
    </row>
    <row r="433" spans="1:7" ht="12.5" x14ac:dyDescent="0.25">
      <c r="A433" s="104"/>
      <c r="B433" s="104"/>
      <c r="D433" s="104"/>
      <c r="E433" s="104"/>
      <c r="F433" s="104"/>
      <c r="G433" s="104"/>
    </row>
    <row r="434" spans="1:7" ht="12.5" x14ac:dyDescent="0.25">
      <c r="A434" s="104"/>
      <c r="B434" s="104"/>
      <c r="D434" s="104"/>
      <c r="E434" s="104"/>
      <c r="F434" s="104"/>
      <c r="G434" s="104"/>
    </row>
    <row r="435" spans="1:7" ht="12.5" x14ac:dyDescent="0.25">
      <c r="A435" s="104"/>
      <c r="B435" s="104"/>
      <c r="D435" s="104"/>
      <c r="E435" s="104"/>
      <c r="F435" s="104"/>
      <c r="G435" s="104"/>
    </row>
    <row r="436" spans="1:7" ht="12.5" x14ac:dyDescent="0.25">
      <c r="A436" s="104"/>
      <c r="B436" s="104"/>
      <c r="D436" s="104"/>
      <c r="E436" s="104"/>
      <c r="F436" s="104"/>
      <c r="G436" s="104"/>
    </row>
    <row r="437" spans="1:7" ht="12.5" x14ac:dyDescent="0.25">
      <c r="A437" s="104"/>
      <c r="B437" s="104"/>
      <c r="D437" s="104"/>
      <c r="E437" s="104"/>
      <c r="F437" s="104"/>
      <c r="G437" s="104"/>
    </row>
    <row r="438" spans="1:7" ht="12.5" x14ac:dyDescent="0.25">
      <c r="A438" s="104"/>
      <c r="B438" s="104"/>
      <c r="D438" s="104"/>
      <c r="E438" s="104"/>
      <c r="F438" s="104"/>
      <c r="G438" s="104"/>
    </row>
    <row r="439" spans="1:7" ht="12.5" x14ac:dyDescent="0.25">
      <c r="A439" s="104"/>
      <c r="B439" s="104"/>
      <c r="D439" s="104"/>
      <c r="E439" s="104"/>
      <c r="F439" s="104"/>
      <c r="G439" s="104"/>
    </row>
    <row r="440" spans="1:7" ht="12.5" x14ac:dyDescent="0.25">
      <c r="A440" s="104"/>
      <c r="B440" s="104"/>
      <c r="D440" s="104"/>
      <c r="E440" s="104"/>
      <c r="F440" s="104"/>
      <c r="G440" s="104"/>
    </row>
    <row r="441" spans="1:7" ht="12.5" x14ac:dyDescent="0.25">
      <c r="A441" s="104"/>
      <c r="B441" s="104"/>
      <c r="D441" s="104"/>
      <c r="E441" s="104"/>
      <c r="F441" s="104"/>
      <c r="G441" s="104"/>
    </row>
    <row r="442" spans="1:7" ht="12.5" x14ac:dyDescent="0.25">
      <c r="A442" s="104"/>
      <c r="B442" s="104"/>
      <c r="D442" s="104"/>
      <c r="E442" s="104"/>
      <c r="F442" s="104"/>
      <c r="G442" s="104"/>
    </row>
    <row r="443" spans="1:7" ht="12.5" x14ac:dyDescent="0.25">
      <c r="A443" s="104"/>
      <c r="B443" s="104"/>
      <c r="D443" s="104"/>
      <c r="E443" s="104"/>
      <c r="F443" s="104"/>
      <c r="G443" s="104"/>
    </row>
    <row r="444" spans="1:7" ht="12.5" x14ac:dyDescent="0.25">
      <c r="A444" s="104"/>
      <c r="B444" s="104"/>
      <c r="D444" s="104"/>
      <c r="E444" s="104"/>
      <c r="F444" s="104"/>
      <c r="G444" s="104"/>
    </row>
    <row r="445" spans="1:7" ht="12.5" x14ac:dyDescent="0.25">
      <c r="A445" s="104"/>
      <c r="B445" s="104"/>
      <c r="D445" s="104"/>
      <c r="E445" s="104"/>
      <c r="F445" s="104"/>
      <c r="G445" s="104"/>
    </row>
    <row r="446" spans="1:7" ht="12.5" x14ac:dyDescent="0.25">
      <c r="A446" s="104"/>
      <c r="B446" s="104"/>
      <c r="D446" s="104"/>
      <c r="E446" s="104"/>
      <c r="F446" s="104"/>
      <c r="G446" s="104"/>
    </row>
    <row r="447" spans="1:7" ht="12.5" x14ac:dyDescent="0.25">
      <c r="A447" s="104"/>
      <c r="B447" s="104"/>
      <c r="D447" s="104"/>
      <c r="E447" s="104"/>
      <c r="F447" s="104"/>
      <c r="G447" s="104"/>
    </row>
    <row r="448" spans="1:7" ht="12.5" x14ac:dyDescent="0.25">
      <c r="A448" s="104"/>
      <c r="B448" s="104"/>
      <c r="D448" s="104"/>
      <c r="E448" s="104"/>
      <c r="F448" s="104"/>
      <c r="G448" s="104"/>
    </row>
    <row r="449" spans="1:7" ht="12.5" x14ac:dyDescent="0.25">
      <c r="A449" s="104"/>
      <c r="B449" s="104"/>
      <c r="D449" s="104"/>
      <c r="E449" s="104"/>
      <c r="F449" s="104"/>
      <c r="G449" s="104"/>
    </row>
    <row r="450" spans="1:7" ht="12.5" x14ac:dyDescent="0.25">
      <c r="A450" s="104"/>
      <c r="B450" s="104"/>
      <c r="D450" s="104"/>
      <c r="E450" s="104"/>
      <c r="F450" s="104"/>
      <c r="G450" s="104"/>
    </row>
    <row r="451" spans="1:7" ht="12.5" x14ac:dyDescent="0.25">
      <c r="A451" s="104"/>
      <c r="B451" s="104"/>
      <c r="D451" s="104"/>
      <c r="E451" s="104"/>
      <c r="F451" s="104"/>
      <c r="G451" s="104"/>
    </row>
    <row r="452" spans="1:7" ht="12.5" x14ac:dyDescent="0.25">
      <c r="A452" s="104"/>
      <c r="B452" s="104"/>
      <c r="D452" s="104"/>
      <c r="E452" s="104"/>
      <c r="F452" s="104"/>
      <c r="G452" s="104"/>
    </row>
    <row r="453" spans="1:7" ht="12.5" x14ac:dyDescent="0.25">
      <c r="A453" s="104"/>
      <c r="B453" s="104"/>
      <c r="D453" s="104"/>
      <c r="E453" s="104"/>
      <c r="F453" s="104"/>
      <c r="G453" s="104"/>
    </row>
    <row r="454" spans="1:7" ht="12.5" x14ac:dyDescent="0.25">
      <c r="A454" s="104"/>
      <c r="B454" s="104"/>
      <c r="D454" s="104"/>
      <c r="E454" s="104"/>
      <c r="F454" s="104"/>
      <c r="G454" s="104"/>
    </row>
    <row r="455" spans="1:7" ht="12.5" x14ac:dyDescent="0.25">
      <c r="A455" s="104"/>
      <c r="B455" s="104"/>
      <c r="D455" s="104"/>
      <c r="E455" s="104"/>
      <c r="F455" s="104"/>
      <c r="G455" s="104"/>
    </row>
    <row r="456" spans="1:7" ht="12.5" x14ac:dyDescent="0.25">
      <c r="A456" s="104"/>
      <c r="B456" s="104"/>
      <c r="D456" s="104"/>
      <c r="E456" s="104"/>
      <c r="F456" s="104"/>
      <c r="G456" s="104"/>
    </row>
    <row r="457" spans="1:7" ht="12.5" x14ac:dyDescent="0.25">
      <c r="A457" s="104"/>
      <c r="B457" s="104"/>
      <c r="D457" s="104"/>
      <c r="E457" s="104"/>
      <c r="F457" s="104"/>
      <c r="G457" s="104"/>
    </row>
    <row r="458" spans="1:7" ht="12.5" x14ac:dyDescent="0.25">
      <c r="A458" s="104"/>
      <c r="B458" s="104"/>
      <c r="D458" s="104"/>
      <c r="E458" s="104"/>
      <c r="F458" s="104"/>
      <c r="G458" s="104"/>
    </row>
    <row r="459" spans="1:7" ht="12.5" x14ac:dyDescent="0.25">
      <c r="A459" s="104"/>
      <c r="B459" s="104"/>
      <c r="D459" s="104"/>
      <c r="E459" s="104"/>
      <c r="F459" s="104"/>
      <c r="G459" s="104"/>
    </row>
    <row r="460" spans="1:7" ht="12.5" x14ac:dyDescent="0.25">
      <c r="A460" s="104"/>
      <c r="B460" s="104"/>
      <c r="D460" s="104"/>
      <c r="E460" s="104"/>
      <c r="F460" s="104"/>
      <c r="G460" s="104"/>
    </row>
    <row r="461" spans="1:7" ht="12.5" x14ac:dyDescent="0.25">
      <c r="A461" s="104"/>
      <c r="B461" s="104"/>
      <c r="D461" s="104"/>
      <c r="E461" s="104"/>
      <c r="F461" s="104"/>
      <c r="G461" s="104"/>
    </row>
    <row r="462" spans="1:7" ht="12.5" x14ac:dyDescent="0.25">
      <c r="A462" s="104"/>
      <c r="B462" s="104"/>
      <c r="D462" s="104"/>
      <c r="E462" s="104"/>
      <c r="F462" s="104"/>
      <c r="G462" s="104"/>
    </row>
    <row r="463" spans="1:7" ht="12.5" x14ac:dyDescent="0.25">
      <c r="A463" s="104"/>
      <c r="B463" s="104"/>
      <c r="D463" s="104"/>
      <c r="E463" s="104"/>
      <c r="F463" s="104"/>
      <c r="G463" s="104"/>
    </row>
    <row r="464" spans="1:7" ht="12.5" x14ac:dyDescent="0.25">
      <c r="A464" s="104"/>
      <c r="B464" s="104"/>
      <c r="D464" s="104"/>
      <c r="E464" s="104"/>
      <c r="F464" s="104"/>
      <c r="G464" s="104"/>
    </row>
    <row r="465" spans="1:7" ht="12.5" x14ac:dyDescent="0.25">
      <c r="A465" s="104"/>
      <c r="B465" s="104"/>
      <c r="D465" s="104"/>
      <c r="E465" s="104"/>
      <c r="F465" s="104"/>
      <c r="G465" s="104"/>
    </row>
    <row r="466" spans="1:7" ht="12.5" x14ac:dyDescent="0.25">
      <c r="A466" s="104"/>
      <c r="B466" s="104"/>
      <c r="D466" s="104"/>
      <c r="E466" s="104"/>
      <c r="F466" s="104"/>
      <c r="G466" s="104"/>
    </row>
    <row r="467" spans="1:7" ht="12.5" x14ac:dyDescent="0.25">
      <c r="A467" s="104"/>
      <c r="B467" s="104"/>
      <c r="D467" s="104"/>
      <c r="E467" s="104"/>
      <c r="F467" s="104"/>
      <c r="G467" s="104"/>
    </row>
    <row r="468" spans="1:7" ht="12.5" x14ac:dyDescent="0.25">
      <c r="A468" s="104"/>
      <c r="B468" s="104"/>
      <c r="D468" s="104"/>
      <c r="E468" s="104"/>
      <c r="F468" s="104"/>
      <c r="G468" s="104"/>
    </row>
    <row r="469" spans="1:7" ht="12.5" x14ac:dyDescent="0.25">
      <c r="A469" s="104"/>
      <c r="B469" s="104"/>
      <c r="D469" s="104"/>
      <c r="E469" s="104"/>
      <c r="F469" s="104"/>
      <c r="G469" s="104"/>
    </row>
    <row r="470" spans="1:7" ht="12.5" x14ac:dyDescent="0.25">
      <c r="A470" s="104"/>
      <c r="B470" s="104"/>
      <c r="D470" s="104"/>
      <c r="E470" s="104"/>
      <c r="F470" s="104"/>
      <c r="G470" s="104"/>
    </row>
    <row r="471" spans="1:7" ht="12.5" x14ac:dyDescent="0.25">
      <c r="A471" s="104"/>
      <c r="B471" s="104"/>
      <c r="D471" s="104"/>
      <c r="E471" s="104"/>
      <c r="F471" s="104"/>
      <c r="G471" s="104"/>
    </row>
    <row r="472" spans="1:7" ht="12.5" x14ac:dyDescent="0.25">
      <c r="A472" s="104"/>
      <c r="B472" s="104"/>
      <c r="D472" s="104"/>
      <c r="E472" s="104"/>
      <c r="F472" s="104"/>
      <c r="G472" s="104"/>
    </row>
    <row r="473" spans="1:7" ht="12.5" x14ac:dyDescent="0.25">
      <c r="A473" s="104"/>
      <c r="B473" s="104"/>
      <c r="D473" s="104"/>
      <c r="E473" s="104"/>
      <c r="F473" s="104"/>
      <c r="G473" s="104"/>
    </row>
    <row r="474" spans="1:7" ht="12.5" x14ac:dyDescent="0.25">
      <c r="A474" s="104"/>
      <c r="B474" s="104"/>
      <c r="D474" s="104"/>
      <c r="E474" s="104"/>
      <c r="F474" s="104"/>
      <c r="G474" s="104"/>
    </row>
    <row r="475" spans="1:7" ht="12.5" x14ac:dyDescent="0.25">
      <c r="A475" s="104"/>
      <c r="B475" s="104"/>
      <c r="D475" s="104"/>
      <c r="E475" s="104"/>
      <c r="F475" s="104"/>
      <c r="G475" s="104"/>
    </row>
    <row r="476" spans="1:7" ht="12.5" x14ac:dyDescent="0.25">
      <c r="A476" s="104"/>
      <c r="B476" s="104"/>
      <c r="D476" s="104"/>
      <c r="E476" s="104"/>
      <c r="F476" s="104"/>
      <c r="G476" s="104"/>
    </row>
    <row r="477" spans="1:7" ht="12.5" x14ac:dyDescent="0.25">
      <c r="A477" s="104"/>
      <c r="B477" s="104"/>
      <c r="D477" s="104"/>
      <c r="E477" s="104"/>
      <c r="F477" s="104"/>
      <c r="G477" s="104"/>
    </row>
    <row r="478" spans="1:7" ht="12.5" x14ac:dyDescent="0.25">
      <c r="A478" s="104"/>
      <c r="B478" s="104"/>
      <c r="D478" s="104"/>
      <c r="E478" s="104"/>
      <c r="F478" s="104"/>
      <c r="G478" s="104"/>
    </row>
    <row r="479" spans="1:7" ht="12.5" x14ac:dyDescent="0.25">
      <c r="A479" s="104"/>
      <c r="B479" s="104"/>
      <c r="D479" s="104"/>
      <c r="E479" s="104"/>
      <c r="F479" s="104"/>
      <c r="G479" s="104"/>
    </row>
    <row r="480" spans="1:7" ht="12.5" x14ac:dyDescent="0.25">
      <c r="A480" s="104"/>
      <c r="B480" s="104"/>
      <c r="D480" s="104"/>
      <c r="E480" s="104"/>
      <c r="F480" s="104"/>
      <c r="G480" s="104"/>
    </row>
    <row r="481" spans="1:7" ht="12.5" x14ac:dyDescent="0.25">
      <c r="A481" s="104"/>
      <c r="B481" s="104"/>
      <c r="D481" s="104"/>
      <c r="E481" s="104"/>
      <c r="F481" s="104"/>
      <c r="G481" s="104"/>
    </row>
    <row r="482" spans="1:7" ht="12.5" x14ac:dyDescent="0.25">
      <c r="A482" s="104"/>
      <c r="B482" s="104"/>
      <c r="D482" s="104"/>
      <c r="E482" s="104"/>
      <c r="F482" s="104"/>
      <c r="G482" s="104"/>
    </row>
    <row r="483" spans="1:7" ht="12.5" x14ac:dyDescent="0.25">
      <c r="A483" s="104"/>
      <c r="B483" s="104"/>
      <c r="D483" s="104"/>
      <c r="E483" s="104"/>
      <c r="F483" s="104"/>
      <c r="G483" s="104"/>
    </row>
    <row r="484" spans="1:7" ht="12.5" x14ac:dyDescent="0.25">
      <c r="A484" s="104"/>
      <c r="B484" s="104"/>
      <c r="D484" s="104"/>
      <c r="E484" s="104"/>
      <c r="F484" s="104"/>
      <c r="G484" s="104"/>
    </row>
    <row r="485" spans="1:7" ht="12.5" x14ac:dyDescent="0.25">
      <c r="A485" s="104"/>
      <c r="B485" s="104"/>
      <c r="D485" s="104"/>
      <c r="E485" s="104"/>
      <c r="F485" s="104"/>
      <c r="G485" s="104"/>
    </row>
    <row r="486" spans="1:7" ht="12.5" x14ac:dyDescent="0.25">
      <c r="A486" s="104"/>
      <c r="B486" s="104"/>
      <c r="D486" s="104"/>
      <c r="E486" s="104"/>
      <c r="F486" s="104"/>
      <c r="G486" s="104"/>
    </row>
    <row r="487" spans="1:7" ht="12.5" x14ac:dyDescent="0.25">
      <c r="A487" s="104"/>
      <c r="B487" s="104"/>
      <c r="D487" s="104"/>
      <c r="E487" s="104"/>
      <c r="F487" s="104"/>
      <c r="G487" s="104"/>
    </row>
    <row r="488" spans="1:7" ht="12.5" x14ac:dyDescent="0.25">
      <c r="A488" s="104"/>
      <c r="B488" s="104"/>
      <c r="D488" s="104"/>
      <c r="E488" s="104"/>
      <c r="F488" s="104"/>
      <c r="G488" s="104"/>
    </row>
    <row r="489" spans="1:7" ht="12.5" x14ac:dyDescent="0.25">
      <c r="A489" s="104"/>
      <c r="B489" s="104"/>
      <c r="D489" s="104"/>
      <c r="E489" s="104"/>
      <c r="F489" s="104"/>
      <c r="G489" s="104"/>
    </row>
    <row r="490" spans="1:7" ht="12.5" x14ac:dyDescent="0.25">
      <c r="A490" s="104"/>
      <c r="B490" s="104"/>
      <c r="D490" s="104"/>
      <c r="E490" s="104"/>
      <c r="F490" s="104"/>
      <c r="G490" s="104"/>
    </row>
    <row r="491" spans="1:7" ht="12.5" x14ac:dyDescent="0.25">
      <c r="A491" s="104"/>
      <c r="B491" s="104"/>
      <c r="D491" s="104"/>
      <c r="E491" s="104"/>
      <c r="F491" s="104"/>
      <c r="G491" s="104"/>
    </row>
    <row r="492" spans="1:7" ht="12.5" x14ac:dyDescent="0.25">
      <c r="A492" s="104"/>
      <c r="B492" s="104"/>
      <c r="D492" s="104"/>
      <c r="E492" s="104"/>
      <c r="F492" s="104"/>
      <c r="G492" s="104"/>
    </row>
    <row r="493" spans="1:7" ht="12.5" x14ac:dyDescent="0.25">
      <c r="A493" s="104"/>
      <c r="B493" s="104"/>
      <c r="D493" s="104"/>
      <c r="E493" s="104"/>
      <c r="F493" s="104"/>
      <c r="G493" s="104"/>
    </row>
    <row r="494" spans="1:7" ht="12.5" x14ac:dyDescent="0.25">
      <c r="A494" s="104"/>
      <c r="B494" s="104"/>
      <c r="D494" s="104"/>
      <c r="E494" s="104"/>
      <c r="F494" s="104"/>
      <c r="G494" s="104"/>
    </row>
    <row r="495" spans="1:7" ht="12.5" x14ac:dyDescent="0.25">
      <c r="A495" s="104"/>
      <c r="B495" s="104"/>
      <c r="D495" s="104"/>
      <c r="E495" s="104"/>
      <c r="F495" s="104"/>
      <c r="G495" s="104"/>
    </row>
    <row r="496" spans="1:7" ht="12.5" x14ac:dyDescent="0.25">
      <c r="A496" s="104"/>
      <c r="B496" s="104"/>
      <c r="D496" s="104"/>
      <c r="E496" s="104"/>
      <c r="F496" s="104"/>
      <c r="G496" s="104"/>
    </row>
    <row r="497" spans="1:7" ht="12.5" x14ac:dyDescent="0.25">
      <c r="A497" s="104"/>
      <c r="B497" s="104"/>
      <c r="D497" s="104"/>
      <c r="E497" s="104"/>
      <c r="F497" s="104"/>
      <c r="G497" s="104"/>
    </row>
    <row r="498" spans="1:7" ht="12.5" x14ac:dyDescent="0.25">
      <c r="A498" s="104"/>
      <c r="B498" s="104"/>
      <c r="D498" s="104"/>
      <c r="E498" s="104"/>
      <c r="F498" s="104"/>
      <c r="G498" s="104"/>
    </row>
    <row r="499" spans="1:7" ht="12.5" x14ac:dyDescent="0.25">
      <c r="A499" s="104"/>
      <c r="B499" s="104"/>
      <c r="D499" s="104"/>
      <c r="E499" s="104"/>
      <c r="F499" s="104"/>
      <c r="G499" s="104"/>
    </row>
    <row r="500" spans="1:7" ht="12.5" x14ac:dyDescent="0.25">
      <c r="A500" s="104"/>
      <c r="B500" s="104"/>
      <c r="D500" s="104"/>
      <c r="E500" s="104"/>
      <c r="F500" s="104"/>
      <c r="G500" s="104"/>
    </row>
    <row r="501" spans="1:7" ht="12.5" x14ac:dyDescent="0.25">
      <c r="A501" s="104"/>
      <c r="B501" s="104"/>
      <c r="D501" s="104"/>
      <c r="E501" s="104"/>
      <c r="F501" s="104"/>
      <c r="G501" s="104"/>
    </row>
    <row r="502" spans="1:7" ht="12.5" x14ac:dyDescent="0.25">
      <c r="A502" s="104"/>
      <c r="B502" s="104"/>
      <c r="D502" s="104"/>
      <c r="E502" s="104"/>
      <c r="F502" s="104"/>
      <c r="G502" s="104"/>
    </row>
    <row r="503" spans="1:7" ht="12.5" x14ac:dyDescent="0.25">
      <c r="A503" s="104"/>
      <c r="B503" s="104"/>
      <c r="D503" s="104"/>
      <c r="E503" s="104"/>
      <c r="F503" s="104"/>
      <c r="G503" s="104"/>
    </row>
    <row r="504" spans="1:7" ht="12.5" x14ac:dyDescent="0.25">
      <c r="A504" s="104"/>
      <c r="B504" s="104"/>
      <c r="D504" s="104"/>
      <c r="E504" s="104"/>
      <c r="F504" s="104"/>
      <c r="G504" s="104"/>
    </row>
    <row r="505" spans="1:7" ht="12.5" x14ac:dyDescent="0.25">
      <c r="A505" s="104"/>
      <c r="B505" s="104"/>
      <c r="D505" s="104"/>
      <c r="E505" s="104"/>
      <c r="F505" s="104"/>
      <c r="G505" s="104"/>
    </row>
    <row r="506" spans="1:7" ht="12.5" x14ac:dyDescent="0.25">
      <c r="A506" s="104"/>
      <c r="B506" s="104"/>
      <c r="D506" s="104"/>
      <c r="E506" s="104"/>
      <c r="F506" s="104"/>
      <c r="G506" s="104"/>
    </row>
    <row r="507" spans="1:7" ht="12.5" x14ac:dyDescent="0.25">
      <c r="A507" s="104"/>
      <c r="B507" s="104"/>
      <c r="D507" s="104"/>
      <c r="E507" s="104"/>
      <c r="F507" s="104"/>
      <c r="G507" s="104"/>
    </row>
    <row r="508" spans="1:7" ht="12.5" x14ac:dyDescent="0.25">
      <c r="A508" s="104"/>
      <c r="B508" s="104"/>
      <c r="D508" s="104"/>
      <c r="E508" s="104"/>
      <c r="F508" s="104"/>
      <c r="G508" s="104"/>
    </row>
    <row r="509" spans="1:7" ht="12.5" x14ac:dyDescent="0.25">
      <c r="A509" s="104"/>
      <c r="B509" s="104"/>
      <c r="D509" s="104"/>
      <c r="E509" s="104"/>
      <c r="F509" s="104"/>
      <c r="G509" s="104"/>
    </row>
    <row r="510" spans="1:7" ht="12.5" x14ac:dyDescent="0.25">
      <c r="A510" s="104"/>
      <c r="B510" s="104"/>
      <c r="D510" s="104"/>
      <c r="E510" s="104"/>
      <c r="F510" s="104"/>
      <c r="G510" s="104"/>
    </row>
    <row r="511" spans="1:7" ht="12.5" x14ac:dyDescent="0.25">
      <c r="A511" s="104"/>
      <c r="B511" s="104"/>
      <c r="D511" s="104"/>
      <c r="E511" s="104"/>
      <c r="F511" s="104"/>
      <c r="G511" s="104"/>
    </row>
    <row r="512" spans="1:7" ht="12.5" x14ac:dyDescent="0.25">
      <c r="A512" s="104"/>
      <c r="B512" s="104"/>
      <c r="D512" s="104"/>
      <c r="E512" s="104"/>
      <c r="F512" s="104"/>
      <c r="G512" s="104"/>
    </row>
    <row r="513" spans="1:7" ht="12.5" x14ac:dyDescent="0.25">
      <c r="A513" s="104"/>
      <c r="B513" s="104"/>
      <c r="D513" s="104"/>
      <c r="E513" s="104"/>
      <c r="F513" s="104"/>
      <c r="G513" s="104"/>
    </row>
    <row r="514" spans="1:7" ht="12.5" x14ac:dyDescent="0.25">
      <c r="A514" s="104"/>
      <c r="B514" s="104"/>
      <c r="D514" s="104"/>
      <c r="E514" s="104"/>
      <c r="F514" s="104"/>
      <c r="G514" s="104"/>
    </row>
    <row r="515" spans="1:7" ht="12.5" x14ac:dyDescent="0.25">
      <c r="A515" s="104"/>
      <c r="B515" s="104"/>
      <c r="D515" s="104"/>
      <c r="E515" s="104"/>
      <c r="F515" s="104"/>
      <c r="G515" s="104"/>
    </row>
    <row r="516" spans="1:7" ht="12.5" x14ac:dyDescent="0.25">
      <c r="A516" s="104"/>
      <c r="B516" s="104"/>
      <c r="D516" s="104"/>
      <c r="E516" s="104"/>
      <c r="F516" s="104"/>
      <c r="G516" s="104"/>
    </row>
    <row r="517" spans="1:7" ht="12.5" x14ac:dyDescent="0.25">
      <c r="A517" s="104"/>
      <c r="B517" s="104"/>
      <c r="D517" s="104"/>
      <c r="E517" s="104"/>
      <c r="F517" s="104"/>
      <c r="G517" s="104"/>
    </row>
    <row r="518" spans="1:7" ht="12.5" x14ac:dyDescent="0.25">
      <c r="A518" s="104"/>
      <c r="B518" s="104"/>
      <c r="D518" s="104"/>
      <c r="E518" s="104"/>
      <c r="F518" s="104"/>
      <c r="G518" s="104"/>
    </row>
    <row r="519" spans="1:7" ht="12.5" x14ac:dyDescent="0.25">
      <c r="A519" s="104"/>
      <c r="B519" s="104"/>
      <c r="D519" s="104"/>
      <c r="E519" s="104"/>
      <c r="F519" s="104"/>
      <c r="G519" s="104"/>
    </row>
    <row r="520" spans="1:7" ht="12.5" x14ac:dyDescent="0.25">
      <c r="A520" s="104"/>
      <c r="B520" s="104"/>
      <c r="D520" s="104"/>
      <c r="E520" s="104"/>
      <c r="F520" s="104"/>
      <c r="G520" s="104"/>
    </row>
    <row r="521" spans="1:7" ht="12.5" x14ac:dyDescent="0.25">
      <c r="A521" s="104"/>
      <c r="B521" s="104"/>
      <c r="D521" s="104"/>
      <c r="E521" s="104"/>
      <c r="F521" s="104"/>
      <c r="G521" s="104"/>
    </row>
    <row r="522" spans="1:7" ht="12.5" x14ac:dyDescent="0.25">
      <c r="A522" s="104"/>
      <c r="B522" s="104"/>
      <c r="D522" s="104"/>
      <c r="E522" s="104"/>
      <c r="F522" s="104"/>
      <c r="G522" s="104"/>
    </row>
    <row r="523" spans="1:7" ht="12.5" x14ac:dyDescent="0.25">
      <c r="A523" s="104"/>
      <c r="B523" s="104"/>
      <c r="D523" s="104"/>
      <c r="E523" s="104"/>
      <c r="F523" s="104"/>
      <c r="G523" s="104"/>
    </row>
    <row r="524" spans="1:7" ht="12.5" x14ac:dyDescent="0.25">
      <c r="A524" s="104"/>
      <c r="B524" s="104"/>
      <c r="D524" s="104"/>
      <c r="E524" s="104"/>
      <c r="F524" s="104"/>
      <c r="G524" s="104"/>
    </row>
    <row r="525" spans="1:7" ht="12.5" x14ac:dyDescent="0.25">
      <c r="A525" s="104"/>
      <c r="B525" s="104"/>
      <c r="D525" s="104"/>
      <c r="E525" s="104"/>
      <c r="F525" s="104"/>
      <c r="G525" s="104"/>
    </row>
    <row r="526" spans="1:7" ht="12.5" x14ac:dyDescent="0.25">
      <c r="A526" s="104"/>
      <c r="B526" s="104"/>
      <c r="D526" s="104"/>
      <c r="E526" s="104"/>
      <c r="F526" s="104"/>
      <c r="G526" s="104"/>
    </row>
    <row r="527" spans="1:7" ht="12.5" x14ac:dyDescent="0.25">
      <c r="A527" s="104"/>
      <c r="B527" s="104"/>
      <c r="D527" s="104"/>
      <c r="E527" s="104"/>
      <c r="F527" s="104"/>
      <c r="G527" s="104"/>
    </row>
    <row r="528" spans="1:7" ht="12.5" x14ac:dyDescent="0.25">
      <c r="A528" s="104"/>
      <c r="B528" s="104"/>
      <c r="D528" s="104"/>
      <c r="E528" s="104"/>
      <c r="F528" s="104"/>
      <c r="G528" s="104"/>
    </row>
    <row r="529" spans="1:7" ht="12.5" x14ac:dyDescent="0.25">
      <c r="A529" s="104"/>
      <c r="B529" s="104"/>
      <c r="D529" s="104"/>
      <c r="E529" s="104"/>
      <c r="F529" s="104"/>
      <c r="G529" s="104"/>
    </row>
    <row r="530" spans="1:7" ht="12.5" x14ac:dyDescent="0.25">
      <c r="A530" s="104"/>
      <c r="B530" s="104"/>
      <c r="D530" s="104"/>
      <c r="E530" s="104"/>
      <c r="F530" s="104"/>
      <c r="G530" s="104"/>
    </row>
    <row r="531" spans="1:7" ht="12.5" x14ac:dyDescent="0.25">
      <c r="A531" s="104"/>
      <c r="B531" s="104"/>
      <c r="D531" s="104"/>
      <c r="E531" s="104"/>
      <c r="F531" s="104"/>
      <c r="G531" s="104"/>
    </row>
    <row r="532" spans="1:7" ht="12.5" x14ac:dyDescent="0.25">
      <c r="A532" s="104"/>
      <c r="B532" s="104"/>
      <c r="D532" s="104"/>
      <c r="E532" s="104"/>
      <c r="F532" s="104"/>
      <c r="G532" s="104"/>
    </row>
    <row r="533" spans="1:7" ht="12.5" x14ac:dyDescent="0.25">
      <c r="A533" s="104"/>
      <c r="B533" s="104"/>
      <c r="D533" s="104"/>
      <c r="E533" s="104"/>
      <c r="F533" s="104"/>
      <c r="G533" s="104"/>
    </row>
    <row r="534" spans="1:7" ht="12.5" x14ac:dyDescent="0.25">
      <c r="A534" s="104"/>
      <c r="B534" s="104"/>
      <c r="D534" s="104"/>
      <c r="E534" s="104"/>
      <c r="F534" s="104"/>
      <c r="G534" s="104"/>
    </row>
    <row r="535" spans="1:7" ht="12.5" x14ac:dyDescent="0.25">
      <c r="A535" s="104"/>
      <c r="B535" s="104"/>
      <c r="D535" s="104"/>
      <c r="E535" s="104"/>
      <c r="F535" s="104"/>
      <c r="G535" s="104"/>
    </row>
    <row r="536" spans="1:7" ht="12.5" x14ac:dyDescent="0.25">
      <c r="A536" s="104"/>
      <c r="B536" s="104"/>
      <c r="D536" s="104"/>
      <c r="E536" s="104"/>
      <c r="F536" s="104"/>
      <c r="G536" s="104"/>
    </row>
    <row r="537" spans="1:7" ht="12.5" x14ac:dyDescent="0.25">
      <c r="A537" s="104"/>
      <c r="B537" s="104"/>
      <c r="D537" s="104"/>
      <c r="E537" s="104"/>
      <c r="F537" s="104"/>
      <c r="G537" s="104"/>
    </row>
    <row r="538" spans="1:7" ht="12.5" x14ac:dyDescent="0.25">
      <c r="A538" s="104"/>
      <c r="B538" s="104"/>
      <c r="D538" s="104"/>
      <c r="E538" s="104"/>
      <c r="F538" s="104"/>
      <c r="G538" s="104"/>
    </row>
    <row r="539" spans="1:7" ht="12.5" x14ac:dyDescent="0.25">
      <c r="A539" s="104"/>
      <c r="B539" s="104"/>
      <c r="D539" s="104"/>
      <c r="E539" s="104"/>
      <c r="F539" s="104"/>
      <c r="G539" s="104"/>
    </row>
    <row r="540" spans="1:7" ht="12.5" x14ac:dyDescent="0.25">
      <c r="A540" s="104"/>
      <c r="B540" s="104"/>
      <c r="D540" s="104"/>
      <c r="E540" s="104"/>
      <c r="F540" s="104"/>
      <c r="G540" s="104"/>
    </row>
    <row r="541" spans="1:7" ht="12.5" x14ac:dyDescent="0.25">
      <c r="A541" s="104"/>
      <c r="B541" s="104"/>
      <c r="D541" s="104"/>
      <c r="E541" s="104"/>
      <c r="F541" s="104"/>
      <c r="G541" s="104"/>
    </row>
    <row r="542" spans="1:7" ht="12.5" x14ac:dyDescent="0.25">
      <c r="A542" s="104"/>
      <c r="B542" s="104"/>
      <c r="D542" s="104"/>
      <c r="E542" s="104"/>
      <c r="F542" s="104"/>
      <c r="G542" s="104"/>
    </row>
    <row r="543" spans="1:7" ht="12.5" x14ac:dyDescent="0.25">
      <c r="A543" s="104"/>
      <c r="B543" s="104"/>
      <c r="D543" s="104"/>
      <c r="E543" s="104"/>
      <c r="F543" s="104"/>
      <c r="G543" s="104"/>
    </row>
    <row r="544" spans="1:7" ht="12.5" x14ac:dyDescent="0.25">
      <c r="A544" s="104"/>
      <c r="B544" s="104"/>
      <c r="D544" s="104"/>
      <c r="E544" s="104"/>
      <c r="F544" s="104"/>
      <c r="G544" s="104"/>
    </row>
    <row r="545" spans="1:7" ht="12.5" x14ac:dyDescent="0.25">
      <c r="A545" s="104"/>
      <c r="B545" s="104"/>
      <c r="D545" s="104"/>
      <c r="E545" s="104"/>
      <c r="F545" s="104"/>
      <c r="G545" s="104"/>
    </row>
    <row r="546" spans="1:7" ht="12.5" x14ac:dyDescent="0.25">
      <c r="A546" s="104"/>
      <c r="B546" s="104"/>
      <c r="D546" s="104"/>
      <c r="E546" s="104"/>
      <c r="F546" s="104"/>
      <c r="G546" s="104"/>
    </row>
    <row r="547" spans="1:7" ht="12.5" x14ac:dyDescent="0.25">
      <c r="A547" s="104"/>
      <c r="B547" s="104"/>
      <c r="D547" s="104"/>
      <c r="E547" s="104"/>
      <c r="F547" s="104"/>
      <c r="G547" s="104"/>
    </row>
    <row r="548" spans="1:7" ht="12.5" x14ac:dyDescent="0.25">
      <c r="A548" s="104"/>
      <c r="B548" s="104"/>
      <c r="D548" s="104"/>
      <c r="E548" s="104"/>
      <c r="F548" s="104"/>
      <c r="G548" s="104"/>
    </row>
    <row r="549" spans="1:7" ht="12.5" x14ac:dyDescent="0.25">
      <c r="A549" s="104"/>
      <c r="B549" s="104"/>
      <c r="D549" s="104"/>
      <c r="E549" s="104"/>
      <c r="F549" s="104"/>
      <c r="G549" s="104"/>
    </row>
    <row r="550" spans="1:7" ht="12.5" x14ac:dyDescent="0.25">
      <c r="A550" s="104"/>
      <c r="B550" s="104"/>
      <c r="D550" s="104"/>
      <c r="E550" s="104"/>
      <c r="F550" s="104"/>
      <c r="G550" s="104"/>
    </row>
    <row r="551" spans="1:7" ht="12.5" x14ac:dyDescent="0.25">
      <c r="A551" s="104"/>
      <c r="B551" s="104"/>
      <c r="D551" s="104"/>
      <c r="E551" s="104"/>
      <c r="F551" s="104"/>
      <c r="G551" s="104"/>
    </row>
    <row r="552" spans="1:7" ht="12.5" x14ac:dyDescent="0.25">
      <c r="A552" s="104"/>
      <c r="B552" s="104"/>
      <c r="D552" s="104"/>
      <c r="E552" s="104"/>
      <c r="F552" s="104"/>
      <c r="G552" s="104"/>
    </row>
    <row r="553" spans="1:7" ht="12.5" x14ac:dyDescent="0.25">
      <c r="A553" s="104"/>
      <c r="B553" s="104"/>
      <c r="D553" s="104"/>
      <c r="E553" s="104"/>
      <c r="F553" s="104"/>
      <c r="G553" s="104"/>
    </row>
    <row r="554" spans="1:7" ht="12.5" x14ac:dyDescent="0.25">
      <c r="A554" s="104"/>
      <c r="B554" s="104"/>
      <c r="D554" s="104"/>
      <c r="E554" s="104"/>
      <c r="F554" s="104"/>
      <c r="G554" s="104"/>
    </row>
    <row r="555" spans="1:7" ht="12.5" x14ac:dyDescent="0.25">
      <c r="A555" s="104"/>
      <c r="B555" s="104"/>
      <c r="D555" s="104"/>
      <c r="E555" s="104"/>
      <c r="F555" s="104"/>
      <c r="G555" s="104"/>
    </row>
    <row r="556" spans="1:7" ht="12.5" x14ac:dyDescent="0.25">
      <c r="A556" s="104"/>
      <c r="B556" s="104"/>
      <c r="D556" s="104"/>
      <c r="E556" s="104"/>
      <c r="F556" s="104"/>
      <c r="G556" s="104"/>
    </row>
    <row r="557" spans="1:7" ht="12.5" x14ac:dyDescent="0.25">
      <c r="A557" s="104"/>
      <c r="B557" s="104"/>
      <c r="D557" s="104"/>
      <c r="E557" s="104"/>
      <c r="F557" s="104"/>
      <c r="G557" s="104"/>
    </row>
    <row r="558" spans="1:7" ht="12.5" x14ac:dyDescent="0.25">
      <c r="A558" s="104"/>
      <c r="B558" s="104"/>
      <c r="D558" s="104"/>
      <c r="E558" s="104"/>
      <c r="F558" s="104"/>
      <c r="G558" s="104"/>
    </row>
    <row r="559" spans="1:7" ht="12.5" x14ac:dyDescent="0.25">
      <c r="A559" s="104"/>
      <c r="B559" s="104"/>
      <c r="D559" s="104"/>
      <c r="E559" s="104"/>
      <c r="F559" s="104"/>
      <c r="G559" s="104"/>
    </row>
    <row r="560" spans="1:7" ht="12.5" x14ac:dyDescent="0.25">
      <c r="A560" s="104"/>
      <c r="B560" s="104"/>
      <c r="D560" s="104"/>
      <c r="E560" s="104"/>
      <c r="F560" s="104"/>
      <c r="G560" s="104"/>
    </row>
    <row r="561" spans="1:7" ht="12.5" x14ac:dyDescent="0.25">
      <c r="A561" s="104"/>
      <c r="B561" s="104"/>
      <c r="D561" s="104"/>
      <c r="E561" s="104"/>
      <c r="F561" s="104"/>
      <c r="G561" s="104"/>
    </row>
    <row r="562" spans="1:7" ht="12.5" x14ac:dyDescent="0.25">
      <c r="A562" s="104"/>
      <c r="B562" s="104"/>
      <c r="D562" s="104"/>
      <c r="E562" s="104"/>
      <c r="F562" s="104"/>
      <c r="G562" s="104"/>
    </row>
    <row r="563" spans="1:7" ht="12.5" x14ac:dyDescent="0.25">
      <c r="A563" s="104"/>
      <c r="B563" s="104"/>
      <c r="D563" s="104"/>
      <c r="E563" s="104"/>
      <c r="F563" s="104"/>
      <c r="G563" s="104"/>
    </row>
    <row r="564" spans="1:7" ht="12.5" x14ac:dyDescent="0.25">
      <c r="A564" s="104"/>
      <c r="B564" s="104"/>
      <c r="D564" s="104"/>
      <c r="E564" s="104"/>
      <c r="F564" s="104"/>
      <c r="G564" s="104"/>
    </row>
    <row r="565" spans="1:7" ht="12.5" x14ac:dyDescent="0.25">
      <c r="A565" s="104"/>
      <c r="B565" s="104"/>
      <c r="D565" s="104"/>
      <c r="E565" s="104"/>
      <c r="F565" s="104"/>
      <c r="G565" s="104"/>
    </row>
    <row r="566" spans="1:7" ht="12.5" x14ac:dyDescent="0.25">
      <c r="A566" s="104"/>
      <c r="B566" s="104"/>
      <c r="D566" s="104"/>
      <c r="E566" s="104"/>
      <c r="F566" s="104"/>
      <c r="G566" s="104"/>
    </row>
    <row r="567" spans="1:7" ht="12.5" x14ac:dyDescent="0.25">
      <c r="A567" s="104"/>
      <c r="B567" s="104"/>
      <c r="D567" s="104"/>
      <c r="E567" s="104"/>
      <c r="F567" s="104"/>
      <c r="G567" s="104"/>
    </row>
    <row r="568" spans="1:7" ht="12.5" x14ac:dyDescent="0.25">
      <c r="A568" s="104"/>
      <c r="B568" s="104"/>
      <c r="D568" s="104"/>
      <c r="E568" s="104"/>
      <c r="F568" s="104"/>
      <c r="G568" s="104"/>
    </row>
    <row r="569" spans="1:7" ht="12.5" x14ac:dyDescent="0.25">
      <c r="A569" s="104"/>
      <c r="B569" s="104"/>
      <c r="D569" s="104"/>
      <c r="E569" s="104"/>
      <c r="F569" s="104"/>
      <c r="G569" s="104"/>
    </row>
    <row r="570" spans="1:7" ht="12.5" x14ac:dyDescent="0.25">
      <c r="A570" s="104"/>
      <c r="B570" s="104"/>
      <c r="D570" s="104"/>
      <c r="E570" s="104"/>
      <c r="F570" s="104"/>
      <c r="G570" s="104"/>
    </row>
    <row r="571" spans="1:7" ht="12.5" x14ac:dyDescent="0.25">
      <c r="A571" s="104"/>
      <c r="B571" s="104"/>
      <c r="D571" s="104"/>
      <c r="E571" s="104"/>
      <c r="F571" s="104"/>
      <c r="G571" s="104"/>
    </row>
    <row r="572" spans="1:7" ht="12.5" x14ac:dyDescent="0.25">
      <c r="A572" s="104"/>
      <c r="B572" s="104"/>
      <c r="D572" s="104"/>
      <c r="E572" s="104"/>
      <c r="F572" s="104"/>
      <c r="G572" s="104"/>
    </row>
    <row r="573" spans="1:7" ht="12.5" x14ac:dyDescent="0.25">
      <c r="A573" s="104"/>
      <c r="B573" s="104"/>
      <c r="D573" s="104"/>
      <c r="E573" s="104"/>
      <c r="F573" s="104"/>
      <c r="G573" s="104"/>
    </row>
    <row r="574" spans="1:7" ht="12.5" x14ac:dyDescent="0.25">
      <c r="A574" s="104"/>
      <c r="B574" s="104"/>
      <c r="D574" s="104"/>
      <c r="E574" s="104"/>
      <c r="F574" s="104"/>
      <c r="G574" s="104"/>
    </row>
    <row r="575" spans="1:7" ht="12.5" x14ac:dyDescent="0.25">
      <c r="A575" s="104"/>
      <c r="B575" s="104"/>
      <c r="D575" s="104"/>
      <c r="E575" s="104"/>
      <c r="F575" s="104"/>
      <c r="G575" s="104"/>
    </row>
    <row r="576" spans="1:7" ht="12.5" x14ac:dyDescent="0.25">
      <c r="A576" s="104"/>
      <c r="B576" s="104"/>
      <c r="D576" s="104"/>
      <c r="E576" s="104"/>
      <c r="F576" s="104"/>
      <c r="G576" s="104"/>
    </row>
    <row r="577" spans="1:7" ht="12.5" x14ac:dyDescent="0.25">
      <c r="A577" s="104"/>
      <c r="B577" s="104"/>
      <c r="D577" s="104"/>
      <c r="E577" s="104"/>
      <c r="F577" s="104"/>
      <c r="G577" s="104"/>
    </row>
    <row r="578" spans="1:7" ht="12.5" x14ac:dyDescent="0.25">
      <c r="A578" s="104"/>
      <c r="B578" s="104"/>
      <c r="D578" s="104"/>
      <c r="E578" s="104"/>
      <c r="F578" s="104"/>
      <c r="G578" s="104"/>
    </row>
    <row r="579" spans="1:7" ht="12.5" x14ac:dyDescent="0.25">
      <c r="A579" s="104"/>
      <c r="B579" s="104"/>
      <c r="D579" s="104"/>
      <c r="E579" s="104"/>
      <c r="F579" s="104"/>
      <c r="G579" s="104"/>
    </row>
    <row r="580" spans="1:7" ht="12.5" x14ac:dyDescent="0.25">
      <c r="A580" s="104"/>
      <c r="B580" s="104"/>
      <c r="D580" s="104"/>
      <c r="E580" s="104"/>
      <c r="F580" s="104"/>
      <c r="G580" s="104"/>
    </row>
    <row r="581" spans="1:7" ht="12.5" x14ac:dyDescent="0.25">
      <c r="A581" s="104"/>
      <c r="B581" s="104"/>
      <c r="D581" s="104"/>
      <c r="E581" s="104"/>
      <c r="F581" s="104"/>
      <c r="G581" s="104"/>
    </row>
    <row r="582" spans="1:7" ht="12.5" x14ac:dyDescent="0.25">
      <c r="A582" s="104"/>
      <c r="B582" s="104"/>
      <c r="D582" s="104"/>
      <c r="E582" s="104"/>
      <c r="F582" s="104"/>
      <c r="G582" s="104"/>
    </row>
    <row r="583" spans="1:7" ht="12.5" x14ac:dyDescent="0.25">
      <c r="A583" s="104"/>
      <c r="B583" s="104"/>
      <c r="D583" s="104"/>
      <c r="E583" s="104"/>
      <c r="F583" s="104"/>
      <c r="G583" s="104"/>
    </row>
    <row r="584" spans="1:7" ht="12.5" x14ac:dyDescent="0.25">
      <c r="A584" s="104"/>
      <c r="B584" s="104"/>
      <c r="D584" s="104"/>
      <c r="E584" s="104"/>
      <c r="F584" s="104"/>
      <c r="G584" s="104"/>
    </row>
    <row r="585" spans="1:7" ht="12.5" x14ac:dyDescent="0.25">
      <c r="A585" s="104"/>
      <c r="B585" s="104"/>
      <c r="D585" s="104"/>
      <c r="E585" s="104"/>
      <c r="F585" s="104"/>
      <c r="G585" s="104"/>
    </row>
    <row r="586" spans="1:7" ht="12.5" x14ac:dyDescent="0.25">
      <c r="A586" s="104"/>
      <c r="B586" s="104"/>
      <c r="D586" s="104"/>
      <c r="E586" s="104"/>
      <c r="F586" s="104"/>
      <c r="G586" s="104"/>
    </row>
    <row r="587" spans="1:7" ht="12.5" x14ac:dyDescent="0.25">
      <c r="A587" s="104"/>
      <c r="B587" s="104"/>
      <c r="D587" s="104"/>
      <c r="E587" s="104"/>
      <c r="F587" s="104"/>
      <c r="G587" s="104"/>
    </row>
    <row r="588" spans="1:7" ht="12.5" x14ac:dyDescent="0.25">
      <c r="A588" s="104"/>
      <c r="B588" s="104"/>
      <c r="D588" s="104"/>
      <c r="E588" s="104"/>
      <c r="F588" s="104"/>
      <c r="G588" s="104"/>
    </row>
    <row r="589" spans="1:7" ht="12.5" x14ac:dyDescent="0.25">
      <c r="A589" s="104"/>
      <c r="B589" s="104"/>
      <c r="D589" s="104"/>
      <c r="E589" s="104"/>
      <c r="F589" s="104"/>
      <c r="G589" s="104"/>
    </row>
    <row r="590" spans="1:7" ht="12.5" x14ac:dyDescent="0.25">
      <c r="A590" s="104"/>
      <c r="B590" s="104"/>
      <c r="D590" s="104"/>
      <c r="E590" s="104"/>
      <c r="F590" s="104"/>
      <c r="G590" s="104"/>
    </row>
    <row r="591" spans="1:7" ht="12.5" x14ac:dyDescent="0.25">
      <c r="A591" s="104"/>
      <c r="B591" s="104"/>
      <c r="D591" s="104"/>
      <c r="E591" s="104"/>
      <c r="F591" s="104"/>
      <c r="G591" s="104"/>
    </row>
    <row r="592" spans="1:7" ht="12.5" x14ac:dyDescent="0.25">
      <c r="A592" s="104"/>
      <c r="B592" s="104"/>
      <c r="D592" s="104"/>
      <c r="E592" s="104"/>
      <c r="F592" s="104"/>
      <c r="G592" s="104"/>
    </row>
    <row r="593" spans="1:7" ht="12.5" x14ac:dyDescent="0.25">
      <c r="A593" s="104"/>
      <c r="B593" s="104"/>
      <c r="D593" s="104"/>
      <c r="E593" s="104"/>
      <c r="F593" s="104"/>
      <c r="G593" s="104"/>
    </row>
    <row r="594" spans="1:7" ht="12.5" x14ac:dyDescent="0.25">
      <c r="A594" s="104"/>
      <c r="B594" s="104"/>
      <c r="D594" s="104"/>
      <c r="E594" s="104"/>
      <c r="F594" s="104"/>
      <c r="G594" s="104"/>
    </row>
    <row r="595" spans="1:7" ht="12.5" x14ac:dyDescent="0.25">
      <c r="A595" s="104"/>
      <c r="B595" s="104"/>
      <c r="D595" s="104"/>
      <c r="E595" s="104"/>
      <c r="F595" s="104"/>
      <c r="G595" s="104"/>
    </row>
    <row r="596" spans="1:7" ht="12.5" x14ac:dyDescent="0.25">
      <c r="A596" s="104"/>
      <c r="B596" s="104"/>
      <c r="D596" s="104"/>
      <c r="E596" s="104"/>
      <c r="F596" s="104"/>
      <c r="G596" s="104"/>
    </row>
    <row r="597" spans="1:7" ht="12.5" x14ac:dyDescent="0.25">
      <c r="A597" s="104"/>
      <c r="B597" s="104"/>
      <c r="D597" s="104"/>
      <c r="E597" s="104"/>
      <c r="F597" s="104"/>
      <c r="G597" s="104"/>
    </row>
    <row r="598" spans="1:7" ht="12.5" x14ac:dyDescent="0.25">
      <c r="A598" s="104"/>
      <c r="B598" s="104"/>
      <c r="D598" s="104"/>
      <c r="E598" s="104"/>
      <c r="F598" s="104"/>
      <c r="G598" s="104"/>
    </row>
    <row r="599" spans="1:7" ht="12.5" x14ac:dyDescent="0.25">
      <c r="A599" s="104"/>
      <c r="B599" s="104"/>
      <c r="D599" s="104"/>
      <c r="E599" s="104"/>
      <c r="F599" s="104"/>
      <c r="G599" s="104"/>
    </row>
    <row r="600" spans="1:7" ht="12.5" x14ac:dyDescent="0.25">
      <c r="A600" s="104"/>
      <c r="B600" s="104"/>
      <c r="D600" s="104"/>
      <c r="E600" s="104"/>
      <c r="F600" s="104"/>
      <c r="G600" s="104"/>
    </row>
    <row r="601" spans="1:7" ht="12.5" x14ac:dyDescent="0.25">
      <c r="A601" s="104"/>
      <c r="B601" s="104"/>
      <c r="D601" s="104"/>
      <c r="E601" s="104"/>
      <c r="F601" s="104"/>
      <c r="G601" s="104"/>
    </row>
    <row r="602" spans="1:7" ht="12.5" x14ac:dyDescent="0.25">
      <c r="A602" s="104"/>
      <c r="B602" s="104"/>
      <c r="D602" s="104"/>
      <c r="E602" s="104"/>
      <c r="F602" s="104"/>
      <c r="G602" s="104"/>
    </row>
    <row r="603" spans="1:7" ht="12.5" x14ac:dyDescent="0.25">
      <c r="A603" s="104"/>
      <c r="B603" s="104"/>
      <c r="D603" s="104"/>
      <c r="E603" s="104"/>
      <c r="F603" s="104"/>
      <c r="G603" s="104"/>
    </row>
    <row r="604" spans="1:7" ht="12.5" x14ac:dyDescent="0.25">
      <c r="A604" s="104"/>
      <c r="B604" s="104"/>
      <c r="D604" s="104"/>
      <c r="E604" s="104"/>
      <c r="F604" s="104"/>
      <c r="G604" s="104"/>
    </row>
    <row r="605" spans="1:7" ht="12.5" x14ac:dyDescent="0.25">
      <c r="A605" s="104"/>
      <c r="B605" s="104"/>
      <c r="D605" s="104"/>
      <c r="E605" s="104"/>
      <c r="F605" s="104"/>
      <c r="G605" s="104"/>
    </row>
    <row r="606" spans="1:7" ht="12.5" x14ac:dyDescent="0.25">
      <c r="A606" s="104"/>
      <c r="B606" s="104"/>
      <c r="D606" s="104"/>
      <c r="E606" s="104"/>
      <c r="F606" s="104"/>
      <c r="G606" s="104"/>
    </row>
    <row r="607" spans="1:7" ht="12.5" x14ac:dyDescent="0.25">
      <c r="A607" s="104"/>
      <c r="B607" s="104"/>
      <c r="D607" s="104"/>
      <c r="E607" s="104"/>
      <c r="F607" s="104"/>
      <c r="G607" s="104"/>
    </row>
    <row r="608" spans="1:7" ht="12.5" x14ac:dyDescent="0.25">
      <c r="A608" s="104"/>
      <c r="B608" s="104"/>
      <c r="D608" s="104"/>
      <c r="E608" s="104"/>
      <c r="F608" s="104"/>
      <c r="G608" s="104"/>
    </row>
    <row r="609" spans="1:7" ht="12.5" x14ac:dyDescent="0.25">
      <c r="A609" s="104"/>
      <c r="B609" s="104"/>
      <c r="D609" s="104"/>
      <c r="E609" s="104"/>
      <c r="F609" s="104"/>
      <c r="G609" s="104"/>
    </row>
    <row r="610" spans="1:7" ht="12.5" x14ac:dyDescent="0.25">
      <c r="A610" s="104"/>
      <c r="B610" s="104"/>
      <c r="D610" s="104"/>
      <c r="E610" s="104"/>
      <c r="F610" s="104"/>
      <c r="G610" s="104"/>
    </row>
    <row r="611" spans="1:7" ht="12.5" x14ac:dyDescent="0.25">
      <c r="A611" s="104"/>
      <c r="B611" s="104"/>
      <c r="D611" s="104"/>
      <c r="E611" s="104"/>
      <c r="F611" s="104"/>
      <c r="G611" s="104"/>
    </row>
    <row r="612" spans="1:7" ht="12.5" x14ac:dyDescent="0.25">
      <c r="A612" s="104"/>
      <c r="B612" s="104"/>
      <c r="D612" s="104"/>
      <c r="E612" s="104"/>
      <c r="F612" s="104"/>
      <c r="G612" s="104"/>
    </row>
    <row r="613" spans="1:7" ht="12.5" x14ac:dyDescent="0.25">
      <c r="A613" s="104"/>
      <c r="B613" s="104"/>
      <c r="D613" s="104"/>
      <c r="E613" s="104"/>
      <c r="F613" s="104"/>
      <c r="G613" s="104"/>
    </row>
    <row r="614" spans="1:7" ht="12.5" x14ac:dyDescent="0.25">
      <c r="A614" s="104"/>
      <c r="B614" s="104"/>
      <c r="D614" s="104"/>
      <c r="E614" s="104"/>
      <c r="F614" s="104"/>
      <c r="G614" s="104"/>
    </row>
    <row r="615" spans="1:7" ht="12.5" x14ac:dyDescent="0.25">
      <c r="A615" s="104"/>
      <c r="B615" s="104"/>
      <c r="D615" s="104"/>
      <c r="E615" s="104"/>
      <c r="F615" s="104"/>
      <c r="G615" s="104"/>
    </row>
    <row r="616" spans="1:7" ht="12.5" x14ac:dyDescent="0.25">
      <c r="A616" s="104"/>
      <c r="B616" s="104"/>
      <c r="D616" s="104"/>
      <c r="E616" s="104"/>
      <c r="F616" s="104"/>
      <c r="G616" s="104"/>
    </row>
    <row r="617" spans="1:7" ht="12.5" x14ac:dyDescent="0.25">
      <c r="A617" s="104"/>
      <c r="B617" s="104"/>
      <c r="D617" s="104"/>
      <c r="E617" s="104"/>
      <c r="F617" s="104"/>
      <c r="G617" s="104"/>
    </row>
    <row r="618" spans="1:7" ht="12.5" x14ac:dyDescent="0.25">
      <c r="A618" s="104"/>
      <c r="B618" s="104"/>
      <c r="D618" s="104"/>
      <c r="E618" s="104"/>
      <c r="F618" s="104"/>
      <c r="G618" s="104"/>
    </row>
    <row r="619" spans="1:7" ht="12.5" x14ac:dyDescent="0.25">
      <c r="A619" s="104"/>
      <c r="B619" s="104"/>
      <c r="D619" s="104"/>
      <c r="E619" s="104"/>
      <c r="F619" s="104"/>
      <c r="G619" s="104"/>
    </row>
    <row r="620" spans="1:7" ht="12.5" x14ac:dyDescent="0.25">
      <c r="A620" s="104"/>
      <c r="B620" s="104"/>
      <c r="D620" s="104"/>
      <c r="E620" s="104"/>
      <c r="F620" s="104"/>
      <c r="G620" s="104"/>
    </row>
    <row r="621" spans="1:7" ht="12.5" x14ac:dyDescent="0.25">
      <c r="A621" s="104"/>
      <c r="B621" s="104"/>
      <c r="D621" s="104"/>
      <c r="E621" s="104"/>
      <c r="F621" s="104"/>
      <c r="G621" s="104"/>
    </row>
    <row r="622" spans="1:7" ht="12.5" x14ac:dyDescent="0.25">
      <c r="A622" s="104"/>
      <c r="B622" s="104"/>
      <c r="D622" s="104"/>
      <c r="E622" s="104"/>
      <c r="F622" s="104"/>
      <c r="G622" s="104"/>
    </row>
    <row r="623" spans="1:7" ht="12.5" x14ac:dyDescent="0.25">
      <c r="A623" s="104"/>
      <c r="B623" s="104"/>
      <c r="D623" s="104"/>
      <c r="E623" s="104"/>
      <c r="F623" s="104"/>
      <c r="G623" s="104"/>
    </row>
    <row r="624" spans="1:7" ht="12.5" x14ac:dyDescent="0.25">
      <c r="A624" s="104"/>
      <c r="B624" s="104"/>
      <c r="D624" s="104"/>
      <c r="E624" s="104"/>
      <c r="F624" s="104"/>
      <c r="G624" s="104"/>
    </row>
    <row r="625" spans="1:7" ht="12.5" x14ac:dyDescent="0.25">
      <c r="A625" s="104"/>
      <c r="B625" s="104"/>
      <c r="D625" s="104"/>
      <c r="E625" s="104"/>
      <c r="F625" s="104"/>
      <c r="G625" s="104"/>
    </row>
    <row r="626" spans="1:7" ht="12.5" x14ac:dyDescent="0.25">
      <c r="A626" s="104"/>
      <c r="B626" s="104"/>
      <c r="D626" s="104"/>
      <c r="E626" s="104"/>
      <c r="F626" s="104"/>
      <c r="G626" s="104"/>
    </row>
    <row r="627" spans="1:7" ht="12.5" x14ac:dyDescent="0.25">
      <c r="A627" s="104"/>
      <c r="B627" s="104"/>
      <c r="D627" s="104"/>
      <c r="E627" s="104"/>
      <c r="F627" s="104"/>
      <c r="G627" s="104"/>
    </row>
    <row r="628" spans="1:7" ht="12.5" x14ac:dyDescent="0.25">
      <c r="A628" s="104"/>
      <c r="B628" s="104"/>
      <c r="D628" s="104"/>
      <c r="E628" s="104"/>
      <c r="F628" s="104"/>
      <c r="G628" s="104"/>
    </row>
    <row r="629" spans="1:7" ht="12.5" x14ac:dyDescent="0.25">
      <c r="A629" s="104"/>
      <c r="B629" s="104"/>
      <c r="D629" s="104"/>
      <c r="E629" s="104"/>
      <c r="F629" s="104"/>
      <c r="G629" s="104"/>
    </row>
    <row r="630" spans="1:7" ht="12.5" x14ac:dyDescent="0.25">
      <c r="A630" s="104"/>
      <c r="B630" s="104"/>
      <c r="D630" s="104"/>
      <c r="E630" s="104"/>
      <c r="F630" s="104"/>
      <c r="G630" s="104"/>
    </row>
    <row r="631" spans="1:7" ht="12.5" x14ac:dyDescent="0.25">
      <c r="A631" s="104"/>
      <c r="B631" s="104"/>
      <c r="D631" s="104"/>
      <c r="E631" s="104"/>
      <c r="F631" s="104"/>
      <c r="G631" s="104"/>
    </row>
    <row r="632" spans="1:7" ht="12.5" x14ac:dyDescent="0.25">
      <c r="A632" s="104"/>
      <c r="B632" s="104"/>
      <c r="D632" s="104"/>
      <c r="E632" s="104"/>
      <c r="F632" s="104"/>
      <c r="G632" s="104"/>
    </row>
    <row r="633" spans="1:7" ht="12.5" x14ac:dyDescent="0.25">
      <c r="A633" s="104"/>
      <c r="B633" s="104"/>
      <c r="D633" s="104"/>
      <c r="E633" s="104"/>
      <c r="F633" s="104"/>
      <c r="G633" s="104"/>
    </row>
    <row r="634" spans="1:7" ht="12.5" x14ac:dyDescent="0.25">
      <c r="A634" s="104"/>
      <c r="B634" s="104"/>
      <c r="D634" s="104"/>
      <c r="E634" s="104"/>
      <c r="F634" s="104"/>
      <c r="G634" s="104"/>
    </row>
    <row r="635" spans="1:7" ht="12.5" x14ac:dyDescent="0.25">
      <c r="A635" s="104"/>
      <c r="B635" s="104"/>
      <c r="D635" s="104"/>
      <c r="E635" s="104"/>
      <c r="F635" s="104"/>
      <c r="G635" s="104"/>
    </row>
    <row r="636" spans="1:7" ht="12.5" x14ac:dyDescent="0.25">
      <c r="A636" s="104"/>
      <c r="B636" s="104"/>
      <c r="D636" s="104"/>
      <c r="E636" s="104"/>
      <c r="F636" s="104"/>
      <c r="G636" s="104"/>
    </row>
    <row r="637" spans="1:7" ht="12.5" x14ac:dyDescent="0.25">
      <c r="A637" s="104"/>
      <c r="B637" s="104"/>
      <c r="D637" s="104"/>
      <c r="E637" s="104"/>
      <c r="F637" s="104"/>
      <c r="G637" s="104"/>
    </row>
    <row r="638" spans="1:7" ht="12.5" x14ac:dyDescent="0.25">
      <c r="A638" s="104"/>
      <c r="B638" s="104"/>
      <c r="D638" s="104"/>
      <c r="E638" s="104"/>
      <c r="F638" s="104"/>
      <c r="G638" s="104"/>
    </row>
    <row r="639" spans="1:7" ht="12.5" x14ac:dyDescent="0.25">
      <c r="A639" s="104"/>
      <c r="B639" s="104"/>
      <c r="D639" s="104"/>
      <c r="E639" s="104"/>
      <c r="F639" s="104"/>
      <c r="G639" s="104"/>
    </row>
    <row r="640" spans="1:7" ht="12.5" x14ac:dyDescent="0.25">
      <c r="A640" s="104"/>
      <c r="B640" s="104"/>
      <c r="D640" s="104"/>
      <c r="E640" s="104"/>
      <c r="F640" s="104"/>
      <c r="G640" s="104"/>
    </row>
    <row r="641" spans="1:7" ht="12.5" x14ac:dyDescent="0.25">
      <c r="A641" s="104"/>
      <c r="B641" s="104"/>
      <c r="D641" s="104"/>
      <c r="E641" s="104"/>
      <c r="F641" s="104"/>
      <c r="G641" s="104"/>
    </row>
    <row r="642" spans="1:7" ht="12.5" x14ac:dyDescent="0.25">
      <c r="A642" s="104"/>
      <c r="B642" s="104"/>
      <c r="D642" s="104"/>
      <c r="E642" s="104"/>
      <c r="F642" s="104"/>
      <c r="G642" s="104"/>
    </row>
    <row r="643" spans="1:7" ht="12.5" x14ac:dyDescent="0.25">
      <c r="A643" s="104"/>
      <c r="B643" s="104"/>
      <c r="D643" s="104"/>
      <c r="E643" s="104"/>
      <c r="F643" s="104"/>
      <c r="G643" s="104"/>
    </row>
    <row r="644" spans="1:7" ht="12.5" x14ac:dyDescent="0.25">
      <c r="A644" s="104"/>
      <c r="B644" s="104"/>
      <c r="D644" s="104"/>
      <c r="E644" s="104"/>
      <c r="F644" s="104"/>
      <c r="G644" s="104"/>
    </row>
    <row r="645" spans="1:7" ht="12.5" x14ac:dyDescent="0.25">
      <c r="A645" s="104"/>
      <c r="B645" s="104"/>
      <c r="D645" s="104"/>
      <c r="E645" s="104"/>
      <c r="F645" s="104"/>
      <c r="G645" s="104"/>
    </row>
    <row r="646" spans="1:7" ht="12.5" x14ac:dyDescent="0.25">
      <c r="A646" s="104"/>
      <c r="B646" s="104"/>
      <c r="D646" s="104"/>
      <c r="E646" s="104"/>
      <c r="F646" s="104"/>
      <c r="G646" s="104"/>
    </row>
    <row r="647" spans="1:7" ht="12.5" x14ac:dyDescent="0.25">
      <c r="A647" s="104"/>
      <c r="B647" s="104"/>
      <c r="D647" s="104"/>
      <c r="E647" s="104"/>
      <c r="F647" s="104"/>
      <c r="G647" s="104"/>
    </row>
    <row r="648" spans="1:7" ht="12.5" x14ac:dyDescent="0.25">
      <c r="A648" s="104"/>
      <c r="B648" s="104"/>
      <c r="D648" s="104"/>
      <c r="E648" s="104"/>
      <c r="F648" s="104"/>
      <c r="G648" s="104"/>
    </row>
    <row r="649" spans="1:7" ht="12.5" x14ac:dyDescent="0.25">
      <c r="A649" s="104"/>
      <c r="B649" s="104"/>
      <c r="D649" s="104"/>
      <c r="E649" s="104"/>
      <c r="F649" s="104"/>
      <c r="G649" s="104"/>
    </row>
    <row r="650" spans="1:7" ht="12.5" x14ac:dyDescent="0.25">
      <c r="A650" s="104"/>
      <c r="B650" s="104"/>
      <c r="D650" s="104"/>
      <c r="E650" s="104"/>
      <c r="F650" s="104"/>
      <c r="G650" s="104"/>
    </row>
    <row r="651" spans="1:7" ht="12.5" x14ac:dyDescent="0.25">
      <c r="A651" s="104"/>
      <c r="B651" s="104"/>
      <c r="D651" s="104"/>
      <c r="E651" s="104"/>
      <c r="F651" s="104"/>
      <c r="G651" s="104"/>
    </row>
    <row r="652" spans="1:7" ht="12.5" x14ac:dyDescent="0.25">
      <c r="A652" s="104"/>
      <c r="B652" s="104"/>
      <c r="D652" s="104"/>
      <c r="E652" s="104"/>
      <c r="F652" s="104"/>
      <c r="G652" s="104"/>
    </row>
    <row r="653" spans="1:7" ht="12.5" x14ac:dyDescent="0.25">
      <c r="A653" s="104"/>
      <c r="B653" s="104"/>
      <c r="D653" s="104"/>
      <c r="E653" s="104"/>
      <c r="F653" s="104"/>
      <c r="G653" s="104"/>
    </row>
    <row r="654" spans="1:7" ht="12.5" x14ac:dyDescent="0.25">
      <c r="A654" s="104"/>
      <c r="B654" s="104"/>
      <c r="D654" s="104"/>
      <c r="E654" s="104"/>
      <c r="F654" s="104"/>
      <c r="G654" s="104"/>
    </row>
    <row r="655" spans="1:7" ht="12.5" x14ac:dyDescent="0.25">
      <c r="A655" s="104"/>
      <c r="B655" s="104"/>
      <c r="D655" s="104"/>
      <c r="E655" s="104"/>
      <c r="F655" s="104"/>
      <c r="G655" s="104"/>
    </row>
    <row r="656" spans="1:7" ht="12.5" x14ac:dyDescent="0.25">
      <c r="A656" s="104"/>
      <c r="B656" s="104"/>
      <c r="D656" s="104"/>
      <c r="E656" s="104"/>
      <c r="F656" s="104"/>
      <c r="G656" s="104"/>
    </row>
    <row r="657" spans="1:7" ht="12.5" x14ac:dyDescent="0.25">
      <c r="A657" s="104"/>
      <c r="B657" s="104"/>
      <c r="D657" s="104"/>
      <c r="E657" s="104"/>
      <c r="F657" s="104"/>
      <c r="G657" s="104"/>
    </row>
    <row r="658" spans="1:7" ht="12.5" x14ac:dyDescent="0.25">
      <c r="A658" s="104"/>
      <c r="B658" s="104"/>
      <c r="D658" s="104"/>
      <c r="E658" s="104"/>
      <c r="F658" s="104"/>
      <c r="G658" s="104"/>
    </row>
    <row r="659" spans="1:7" ht="12.5" x14ac:dyDescent="0.25">
      <c r="A659" s="104"/>
      <c r="B659" s="104"/>
      <c r="D659" s="104"/>
      <c r="E659" s="104"/>
      <c r="F659" s="104"/>
      <c r="G659" s="104"/>
    </row>
    <row r="660" spans="1:7" ht="12.5" x14ac:dyDescent="0.25">
      <c r="A660" s="104"/>
      <c r="B660" s="104"/>
      <c r="D660" s="104"/>
      <c r="E660" s="104"/>
      <c r="F660" s="104"/>
      <c r="G660" s="104"/>
    </row>
    <row r="661" spans="1:7" ht="12.5" x14ac:dyDescent="0.25">
      <c r="A661" s="104"/>
      <c r="B661" s="104"/>
      <c r="D661" s="104"/>
      <c r="E661" s="104"/>
      <c r="F661" s="104"/>
      <c r="G661" s="104"/>
    </row>
    <row r="662" spans="1:7" ht="12.5" x14ac:dyDescent="0.25">
      <c r="A662" s="104"/>
      <c r="B662" s="104"/>
      <c r="D662" s="104"/>
      <c r="E662" s="104"/>
      <c r="F662" s="104"/>
      <c r="G662" s="104"/>
    </row>
    <row r="663" spans="1:7" ht="12.5" x14ac:dyDescent="0.25">
      <c r="A663" s="104"/>
      <c r="B663" s="104"/>
      <c r="D663" s="104"/>
      <c r="E663" s="104"/>
      <c r="F663" s="104"/>
      <c r="G663" s="104"/>
    </row>
    <row r="664" spans="1:7" ht="12.5" x14ac:dyDescent="0.25">
      <c r="A664" s="104"/>
      <c r="B664" s="104"/>
      <c r="D664" s="104"/>
      <c r="E664" s="104"/>
      <c r="F664" s="104"/>
      <c r="G664" s="104"/>
    </row>
    <row r="665" spans="1:7" ht="12.5" x14ac:dyDescent="0.25">
      <c r="A665" s="104"/>
      <c r="B665" s="104"/>
      <c r="D665" s="104"/>
      <c r="E665" s="104"/>
      <c r="F665" s="104"/>
      <c r="G665" s="104"/>
    </row>
    <row r="666" spans="1:7" ht="12.5" x14ac:dyDescent="0.25">
      <c r="A666" s="104"/>
      <c r="B666" s="104"/>
      <c r="D666" s="104"/>
      <c r="E666" s="104"/>
      <c r="F666" s="104"/>
      <c r="G666" s="104"/>
    </row>
    <row r="667" spans="1:7" ht="12.5" x14ac:dyDescent="0.25">
      <c r="A667" s="104"/>
      <c r="B667" s="104"/>
      <c r="D667" s="104"/>
      <c r="E667" s="104"/>
      <c r="F667" s="104"/>
      <c r="G667" s="104"/>
    </row>
    <row r="668" spans="1:7" ht="12.5" x14ac:dyDescent="0.25">
      <c r="A668" s="104"/>
      <c r="B668" s="104"/>
      <c r="D668" s="104"/>
      <c r="E668" s="104"/>
      <c r="F668" s="104"/>
      <c r="G668" s="104"/>
    </row>
    <row r="669" spans="1:7" ht="12.5" x14ac:dyDescent="0.25">
      <c r="A669" s="104"/>
      <c r="B669" s="104"/>
      <c r="D669" s="104"/>
      <c r="E669" s="104"/>
      <c r="F669" s="104"/>
      <c r="G669" s="104"/>
    </row>
    <row r="670" spans="1:7" ht="12.5" x14ac:dyDescent="0.25">
      <c r="A670" s="104"/>
      <c r="B670" s="104"/>
      <c r="D670" s="104"/>
      <c r="E670" s="104"/>
      <c r="F670" s="104"/>
      <c r="G670" s="104"/>
    </row>
    <row r="671" spans="1:7" ht="12.5" x14ac:dyDescent="0.25">
      <c r="A671" s="104"/>
      <c r="B671" s="104"/>
      <c r="D671" s="104"/>
      <c r="E671" s="104"/>
      <c r="F671" s="104"/>
      <c r="G671" s="104"/>
    </row>
    <row r="672" spans="1:7" ht="12.5" x14ac:dyDescent="0.25">
      <c r="A672" s="104"/>
      <c r="B672" s="104"/>
      <c r="D672" s="104"/>
      <c r="E672" s="104"/>
      <c r="F672" s="104"/>
      <c r="G672" s="104"/>
    </row>
    <row r="673" spans="1:7" ht="12.5" x14ac:dyDescent="0.25">
      <c r="A673" s="104"/>
      <c r="B673" s="104"/>
      <c r="D673" s="104"/>
      <c r="E673" s="104"/>
      <c r="F673" s="104"/>
      <c r="G673" s="104"/>
    </row>
    <row r="674" spans="1:7" ht="12.5" x14ac:dyDescent="0.25">
      <c r="A674" s="104"/>
      <c r="B674" s="104"/>
      <c r="D674" s="104"/>
      <c r="E674" s="104"/>
      <c r="F674" s="104"/>
      <c r="G674" s="104"/>
    </row>
    <row r="675" spans="1:7" ht="12.5" x14ac:dyDescent="0.25">
      <c r="A675" s="104"/>
      <c r="B675" s="104"/>
      <c r="D675" s="104"/>
      <c r="E675" s="104"/>
      <c r="F675" s="104"/>
      <c r="G675" s="104"/>
    </row>
    <row r="676" spans="1:7" ht="12.5" x14ac:dyDescent="0.25">
      <c r="A676" s="104"/>
      <c r="B676" s="104"/>
      <c r="D676" s="104"/>
      <c r="E676" s="104"/>
      <c r="F676" s="104"/>
      <c r="G676" s="104"/>
    </row>
    <row r="677" spans="1:7" ht="12.5" x14ac:dyDescent="0.25">
      <c r="A677" s="104"/>
      <c r="B677" s="104"/>
      <c r="D677" s="104"/>
      <c r="E677" s="104"/>
      <c r="F677" s="104"/>
      <c r="G677" s="104"/>
    </row>
    <row r="678" spans="1:7" ht="12.5" x14ac:dyDescent="0.25">
      <c r="A678" s="104"/>
      <c r="B678" s="104"/>
      <c r="D678" s="104"/>
      <c r="E678" s="104"/>
      <c r="F678" s="104"/>
      <c r="G678" s="104"/>
    </row>
    <row r="679" spans="1:7" ht="12.5" x14ac:dyDescent="0.25">
      <c r="A679" s="104"/>
      <c r="B679" s="104"/>
      <c r="D679" s="104"/>
      <c r="E679" s="104"/>
      <c r="F679" s="104"/>
      <c r="G679" s="104"/>
    </row>
    <row r="680" spans="1:7" ht="12.5" x14ac:dyDescent="0.25">
      <c r="A680" s="104"/>
      <c r="B680" s="104"/>
      <c r="D680" s="104"/>
      <c r="E680" s="104"/>
      <c r="F680" s="104"/>
      <c r="G680" s="104"/>
    </row>
    <row r="681" spans="1:7" ht="12.5" x14ac:dyDescent="0.25">
      <c r="A681" s="104"/>
      <c r="B681" s="104"/>
      <c r="D681" s="104"/>
      <c r="E681" s="104"/>
      <c r="F681" s="104"/>
      <c r="G681" s="104"/>
    </row>
    <row r="682" spans="1:7" ht="12.5" x14ac:dyDescent="0.25">
      <c r="A682" s="104"/>
      <c r="B682" s="104"/>
      <c r="D682" s="104"/>
      <c r="E682" s="104"/>
      <c r="F682" s="104"/>
      <c r="G682" s="104"/>
    </row>
    <row r="683" spans="1:7" ht="12.5" x14ac:dyDescent="0.25">
      <c r="A683" s="104"/>
      <c r="B683" s="104"/>
      <c r="D683" s="104"/>
      <c r="E683" s="104"/>
      <c r="F683" s="104"/>
      <c r="G683" s="104"/>
    </row>
    <row r="684" spans="1:7" ht="12.5" x14ac:dyDescent="0.25">
      <c r="A684" s="104"/>
      <c r="B684" s="104"/>
      <c r="D684" s="104"/>
      <c r="E684" s="104"/>
      <c r="F684" s="104"/>
      <c r="G684" s="104"/>
    </row>
    <row r="685" spans="1:7" ht="12.5" x14ac:dyDescent="0.25">
      <c r="A685" s="104"/>
      <c r="B685" s="104"/>
      <c r="D685" s="104"/>
      <c r="E685" s="104"/>
      <c r="F685" s="104"/>
      <c r="G685" s="104"/>
    </row>
    <row r="686" spans="1:7" ht="12.5" x14ac:dyDescent="0.25">
      <c r="A686" s="104"/>
      <c r="B686" s="104"/>
      <c r="D686" s="104"/>
      <c r="E686" s="104"/>
      <c r="F686" s="104"/>
      <c r="G686" s="104"/>
    </row>
    <row r="687" spans="1:7" ht="12.5" x14ac:dyDescent="0.25">
      <c r="A687" s="104"/>
      <c r="B687" s="104"/>
      <c r="D687" s="104"/>
      <c r="E687" s="104"/>
      <c r="F687" s="104"/>
      <c r="G687" s="104"/>
    </row>
    <row r="688" spans="1:7" ht="12.5" x14ac:dyDescent="0.25">
      <c r="A688" s="104"/>
      <c r="B688" s="104"/>
      <c r="D688" s="104"/>
      <c r="E688" s="104"/>
      <c r="F688" s="104"/>
      <c r="G688" s="104"/>
    </row>
    <row r="689" spans="1:7" ht="12.5" x14ac:dyDescent="0.25">
      <c r="A689" s="104"/>
      <c r="B689" s="104"/>
      <c r="D689" s="104"/>
      <c r="E689" s="104"/>
      <c r="F689" s="104"/>
      <c r="G689" s="104"/>
    </row>
    <row r="690" spans="1:7" ht="12.5" x14ac:dyDescent="0.25">
      <c r="A690" s="104"/>
      <c r="B690" s="104"/>
      <c r="D690" s="104"/>
      <c r="E690" s="104"/>
      <c r="F690" s="104"/>
      <c r="G690" s="104"/>
    </row>
    <row r="691" spans="1:7" ht="12.5" x14ac:dyDescent="0.25">
      <c r="A691" s="104"/>
      <c r="B691" s="104"/>
      <c r="D691" s="104"/>
      <c r="E691" s="104"/>
      <c r="F691" s="104"/>
      <c r="G691" s="104"/>
    </row>
    <row r="692" spans="1:7" ht="12.5" x14ac:dyDescent="0.25">
      <c r="A692" s="104"/>
      <c r="B692" s="104"/>
      <c r="D692" s="104"/>
      <c r="E692" s="104"/>
      <c r="F692" s="104"/>
      <c r="G692" s="104"/>
    </row>
    <row r="693" spans="1:7" ht="12.5" x14ac:dyDescent="0.25">
      <c r="A693" s="104"/>
      <c r="B693" s="104"/>
      <c r="D693" s="104"/>
      <c r="E693" s="104"/>
      <c r="F693" s="104"/>
      <c r="G693" s="104"/>
    </row>
    <row r="694" spans="1:7" ht="12.5" x14ac:dyDescent="0.25">
      <c r="A694" s="104"/>
      <c r="B694" s="104"/>
      <c r="D694" s="104"/>
      <c r="E694" s="104"/>
      <c r="F694" s="104"/>
      <c r="G694" s="104"/>
    </row>
    <row r="695" spans="1:7" ht="12.5" x14ac:dyDescent="0.25">
      <c r="A695" s="104"/>
      <c r="B695" s="104"/>
      <c r="D695" s="104"/>
      <c r="E695" s="104"/>
      <c r="F695" s="104"/>
      <c r="G695" s="104"/>
    </row>
    <row r="696" spans="1:7" ht="12.5" x14ac:dyDescent="0.25">
      <c r="A696" s="104"/>
      <c r="B696" s="104"/>
      <c r="D696" s="104"/>
      <c r="E696" s="104"/>
      <c r="F696" s="104"/>
      <c r="G696" s="104"/>
    </row>
    <row r="697" spans="1:7" ht="12.5" x14ac:dyDescent="0.25">
      <c r="A697" s="104"/>
      <c r="B697" s="104"/>
      <c r="D697" s="104"/>
      <c r="E697" s="104"/>
      <c r="F697" s="104"/>
      <c r="G697" s="104"/>
    </row>
    <row r="698" spans="1:7" ht="12.5" x14ac:dyDescent="0.25">
      <c r="A698" s="104"/>
      <c r="B698" s="104"/>
      <c r="D698" s="104"/>
      <c r="E698" s="104"/>
      <c r="F698" s="104"/>
      <c r="G698" s="104"/>
    </row>
    <row r="699" spans="1:7" ht="12.5" x14ac:dyDescent="0.25">
      <c r="A699" s="104"/>
      <c r="B699" s="104"/>
      <c r="D699" s="104"/>
      <c r="E699" s="104"/>
      <c r="F699" s="104"/>
      <c r="G699" s="104"/>
    </row>
    <row r="700" spans="1:7" ht="12.5" x14ac:dyDescent="0.25">
      <c r="A700" s="104"/>
      <c r="B700" s="104"/>
      <c r="D700" s="104"/>
      <c r="E700" s="104"/>
      <c r="F700" s="104"/>
      <c r="G700" s="104"/>
    </row>
    <row r="701" spans="1:7" ht="12.5" x14ac:dyDescent="0.25">
      <c r="A701" s="104"/>
      <c r="B701" s="104"/>
      <c r="D701" s="104"/>
      <c r="E701" s="104"/>
      <c r="F701" s="104"/>
      <c r="G701" s="104"/>
    </row>
    <row r="702" spans="1:7" ht="12.5" x14ac:dyDescent="0.25">
      <c r="A702" s="104"/>
      <c r="B702" s="104"/>
      <c r="D702" s="104"/>
      <c r="E702" s="104"/>
      <c r="F702" s="104"/>
      <c r="G702" s="104"/>
    </row>
    <row r="703" spans="1:7" ht="12.5" x14ac:dyDescent="0.25">
      <c r="A703" s="104"/>
      <c r="B703" s="104"/>
      <c r="D703" s="104"/>
      <c r="E703" s="104"/>
      <c r="F703" s="104"/>
      <c r="G703" s="104"/>
    </row>
    <row r="704" spans="1:7" ht="12.5" x14ac:dyDescent="0.25">
      <c r="A704" s="104"/>
      <c r="B704" s="104"/>
      <c r="D704" s="104"/>
      <c r="E704" s="104"/>
      <c r="F704" s="104"/>
      <c r="G704" s="104"/>
    </row>
    <row r="705" spans="1:7" ht="12.5" x14ac:dyDescent="0.25">
      <c r="A705" s="104"/>
      <c r="B705" s="104"/>
      <c r="D705" s="104"/>
      <c r="E705" s="104"/>
      <c r="F705" s="104"/>
      <c r="G705" s="104"/>
    </row>
    <row r="706" spans="1:7" ht="12.5" x14ac:dyDescent="0.25">
      <c r="A706" s="104"/>
      <c r="B706" s="104"/>
      <c r="D706" s="104"/>
      <c r="E706" s="104"/>
      <c r="F706" s="104"/>
      <c r="G706" s="104"/>
    </row>
    <row r="707" spans="1:7" ht="12.5" x14ac:dyDescent="0.25">
      <c r="A707" s="104"/>
      <c r="B707" s="104"/>
      <c r="D707" s="104"/>
      <c r="E707" s="104"/>
      <c r="F707" s="104"/>
      <c r="G707" s="104"/>
    </row>
    <row r="708" spans="1:7" ht="12.5" x14ac:dyDescent="0.25">
      <c r="A708" s="104"/>
      <c r="B708" s="104"/>
      <c r="D708" s="104"/>
      <c r="E708" s="104"/>
      <c r="F708" s="104"/>
      <c r="G708" s="104"/>
    </row>
    <row r="709" spans="1:7" ht="12.5" x14ac:dyDescent="0.25">
      <c r="A709" s="104"/>
      <c r="B709" s="104"/>
      <c r="D709" s="104"/>
      <c r="E709" s="104"/>
      <c r="F709" s="104"/>
      <c r="G709" s="104"/>
    </row>
    <row r="710" spans="1:7" ht="12.5" x14ac:dyDescent="0.25">
      <c r="A710" s="104"/>
      <c r="B710" s="104"/>
      <c r="D710" s="104"/>
      <c r="E710" s="104"/>
      <c r="F710" s="104"/>
      <c r="G710" s="104"/>
    </row>
    <row r="711" spans="1:7" ht="12.5" x14ac:dyDescent="0.25">
      <c r="A711" s="104"/>
      <c r="B711" s="104"/>
      <c r="D711" s="104"/>
      <c r="E711" s="104"/>
      <c r="F711" s="104"/>
      <c r="G711" s="104"/>
    </row>
    <row r="712" spans="1:7" ht="12.5" x14ac:dyDescent="0.25">
      <c r="A712" s="104"/>
      <c r="B712" s="104"/>
      <c r="D712" s="104"/>
      <c r="E712" s="104"/>
      <c r="F712" s="104"/>
      <c r="G712" s="104"/>
    </row>
    <row r="713" spans="1:7" ht="12.5" x14ac:dyDescent="0.25">
      <c r="A713" s="104"/>
      <c r="B713" s="104"/>
      <c r="D713" s="104"/>
      <c r="E713" s="104"/>
      <c r="F713" s="104"/>
      <c r="G713" s="104"/>
    </row>
    <row r="714" spans="1:7" ht="12.5" x14ac:dyDescent="0.25">
      <c r="A714" s="104"/>
      <c r="B714" s="104"/>
      <c r="D714" s="104"/>
      <c r="E714" s="104"/>
      <c r="F714" s="104"/>
      <c r="G714" s="104"/>
    </row>
    <row r="715" spans="1:7" ht="12.5" x14ac:dyDescent="0.25">
      <c r="A715" s="104"/>
      <c r="B715" s="104"/>
      <c r="D715" s="104"/>
      <c r="E715" s="104"/>
      <c r="F715" s="104"/>
      <c r="G715" s="104"/>
    </row>
    <row r="716" spans="1:7" ht="12.5" x14ac:dyDescent="0.25">
      <c r="A716" s="104"/>
      <c r="B716" s="104"/>
      <c r="D716" s="104"/>
      <c r="E716" s="104"/>
      <c r="F716" s="104"/>
      <c r="G716" s="104"/>
    </row>
    <row r="717" spans="1:7" ht="12.5" x14ac:dyDescent="0.25">
      <c r="A717" s="104"/>
      <c r="B717" s="104"/>
      <c r="D717" s="104"/>
      <c r="E717" s="104"/>
      <c r="F717" s="104"/>
      <c r="G717" s="104"/>
    </row>
    <row r="718" spans="1:7" ht="12.5" x14ac:dyDescent="0.25">
      <c r="A718" s="104"/>
      <c r="B718" s="104"/>
      <c r="D718" s="104"/>
      <c r="E718" s="104"/>
      <c r="F718" s="104"/>
      <c r="G718" s="104"/>
    </row>
    <row r="719" spans="1:7" ht="12.5" x14ac:dyDescent="0.25">
      <c r="A719" s="104"/>
      <c r="B719" s="104"/>
      <c r="D719" s="104"/>
      <c r="E719" s="104"/>
      <c r="F719" s="104"/>
      <c r="G719" s="104"/>
    </row>
    <row r="720" spans="1:7" ht="12.5" x14ac:dyDescent="0.25">
      <c r="A720" s="104"/>
      <c r="B720" s="104"/>
      <c r="D720" s="104"/>
      <c r="E720" s="104"/>
      <c r="F720" s="104"/>
      <c r="G720" s="104"/>
    </row>
    <row r="721" spans="1:7" ht="12.5" x14ac:dyDescent="0.25">
      <c r="A721" s="104"/>
      <c r="B721" s="104"/>
      <c r="D721" s="104"/>
      <c r="E721" s="104"/>
      <c r="F721" s="104"/>
      <c r="G721" s="104"/>
    </row>
    <row r="722" spans="1:7" ht="12.5" x14ac:dyDescent="0.25">
      <c r="A722" s="104"/>
      <c r="B722" s="104"/>
      <c r="D722" s="104"/>
      <c r="E722" s="104"/>
      <c r="F722" s="104"/>
      <c r="G722" s="104"/>
    </row>
    <row r="723" spans="1:7" ht="12.5" x14ac:dyDescent="0.25">
      <c r="A723" s="104"/>
      <c r="B723" s="104"/>
      <c r="D723" s="104"/>
      <c r="E723" s="104"/>
      <c r="F723" s="104"/>
      <c r="G723" s="104"/>
    </row>
    <row r="724" spans="1:7" ht="12.5" x14ac:dyDescent="0.25">
      <c r="A724" s="104"/>
      <c r="B724" s="104"/>
      <c r="D724" s="104"/>
      <c r="E724" s="104"/>
      <c r="F724" s="104"/>
      <c r="G724" s="104"/>
    </row>
    <row r="725" spans="1:7" ht="12.5" x14ac:dyDescent="0.25">
      <c r="A725" s="104"/>
      <c r="B725" s="104"/>
      <c r="D725" s="104"/>
      <c r="E725" s="104"/>
      <c r="F725" s="104"/>
      <c r="G725" s="104"/>
    </row>
    <row r="726" spans="1:7" ht="12.5" x14ac:dyDescent="0.25">
      <c r="A726" s="104"/>
      <c r="B726" s="104"/>
      <c r="D726" s="104"/>
      <c r="E726" s="104"/>
      <c r="F726" s="104"/>
      <c r="G726" s="104"/>
    </row>
    <row r="727" spans="1:7" ht="12.5" x14ac:dyDescent="0.25">
      <c r="A727" s="104"/>
      <c r="B727" s="104"/>
      <c r="D727" s="104"/>
      <c r="E727" s="104"/>
      <c r="F727" s="104"/>
      <c r="G727" s="104"/>
    </row>
    <row r="728" spans="1:7" ht="12.5" x14ac:dyDescent="0.25">
      <c r="A728" s="104"/>
      <c r="B728" s="104"/>
      <c r="D728" s="104"/>
      <c r="E728" s="104"/>
      <c r="F728" s="104"/>
      <c r="G728" s="104"/>
    </row>
    <row r="729" spans="1:7" ht="12.5" x14ac:dyDescent="0.25">
      <c r="A729" s="104"/>
      <c r="B729" s="104"/>
      <c r="D729" s="104"/>
      <c r="E729" s="104"/>
      <c r="F729" s="104"/>
      <c r="G729" s="104"/>
    </row>
    <row r="730" spans="1:7" ht="12.5" x14ac:dyDescent="0.25">
      <c r="A730" s="104"/>
      <c r="B730" s="104"/>
      <c r="D730" s="104"/>
      <c r="E730" s="104"/>
      <c r="F730" s="104"/>
      <c r="G730" s="104"/>
    </row>
    <row r="731" spans="1:7" ht="12.5" x14ac:dyDescent="0.25">
      <c r="A731" s="104"/>
      <c r="B731" s="104"/>
      <c r="D731" s="104"/>
      <c r="E731" s="104"/>
      <c r="F731" s="104"/>
      <c r="G731" s="104"/>
    </row>
    <row r="732" spans="1:7" ht="12.5" x14ac:dyDescent="0.25">
      <c r="A732" s="104"/>
      <c r="B732" s="104"/>
      <c r="D732" s="104"/>
      <c r="E732" s="104"/>
      <c r="F732" s="104"/>
      <c r="G732" s="104"/>
    </row>
    <row r="733" spans="1:7" ht="12.5" x14ac:dyDescent="0.25">
      <c r="A733" s="104"/>
      <c r="B733" s="104"/>
      <c r="D733" s="104"/>
      <c r="E733" s="104"/>
      <c r="F733" s="104"/>
      <c r="G733" s="104"/>
    </row>
    <row r="734" spans="1:7" ht="12.5" x14ac:dyDescent="0.25">
      <c r="A734" s="104"/>
      <c r="B734" s="104"/>
      <c r="D734" s="104"/>
      <c r="E734" s="104"/>
      <c r="F734" s="104"/>
      <c r="G734" s="104"/>
    </row>
    <row r="735" spans="1:7" ht="12.5" x14ac:dyDescent="0.25">
      <c r="A735" s="104"/>
      <c r="B735" s="104"/>
      <c r="D735" s="104"/>
      <c r="E735" s="104"/>
      <c r="F735" s="104"/>
      <c r="G735" s="104"/>
    </row>
    <row r="736" spans="1:7" ht="12.5" x14ac:dyDescent="0.25">
      <c r="A736" s="104"/>
      <c r="B736" s="104"/>
      <c r="D736" s="104"/>
      <c r="E736" s="104"/>
      <c r="F736" s="104"/>
      <c r="G736" s="104"/>
    </row>
    <row r="737" spans="1:7" ht="12.5" x14ac:dyDescent="0.25">
      <c r="A737" s="104"/>
      <c r="B737" s="104"/>
      <c r="D737" s="104"/>
      <c r="E737" s="104"/>
      <c r="F737" s="104"/>
      <c r="G737" s="104"/>
    </row>
    <row r="738" spans="1:7" ht="12.5" x14ac:dyDescent="0.25">
      <c r="A738" s="104"/>
      <c r="B738" s="104"/>
      <c r="D738" s="104"/>
      <c r="E738" s="104"/>
      <c r="F738" s="104"/>
      <c r="G738" s="104"/>
    </row>
    <row r="739" spans="1:7" ht="12.5" x14ac:dyDescent="0.25">
      <c r="A739" s="104"/>
      <c r="B739" s="104"/>
      <c r="D739" s="104"/>
      <c r="E739" s="104"/>
      <c r="F739" s="104"/>
      <c r="G739" s="104"/>
    </row>
    <row r="740" spans="1:7" ht="12.5" x14ac:dyDescent="0.25">
      <c r="A740" s="104"/>
      <c r="B740" s="104"/>
      <c r="D740" s="104"/>
      <c r="E740" s="104"/>
      <c r="F740" s="104"/>
      <c r="G740" s="104"/>
    </row>
    <row r="741" spans="1:7" ht="12.5" x14ac:dyDescent="0.25">
      <c r="A741" s="104"/>
      <c r="B741" s="104"/>
      <c r="D741" s="104"/>
      <c r="E741" s="104"/>
      <c r="F741" s="104"/>
      <c r="G741" s="104"/>
    </row>
    <row r="742" spans="1:7" ht="12.5" x14ac:dyDescent="0.25">
      <c r="A742" s="104"/>
      <c r="B742" s="104"/>
      <c r="D742" s="104"/>
      <c r="E742" s="104"/>
      <c r="F742" s="104"/>
      <c r="G742" s="104"/>
    </row>
    <row r="743" spans="1:7" ht="12.5" x14ac:dyDescent="0.25">
      <c r="A743" s="104"/>
      <c r="B743" s="104"/>
      <c r="D743" s="104"/>
      <c r="E743" s="104"/>
      <c r="F743" s="104"/>
      <c r="G743" s="104"/>
    </row>
    <row r="744" spans="1:7" ht="12.5" x14ac:dyDescent="0.25">
      <c r="A744" s="104"/>
      <c r="B744" s="104"/>
      <c r="D744" s="104"/>
      <c r="E744" s="104"/>
      <c r="F744" s="104"/>
      <c r="G744" s="104"/>
    </row>
    <row r="745" spans="1:7" ht="12.5" x14ac:dyDescent="0.25">
      <c r="A745" s="104"/>
      <c r="B745" s="104"/>
      <c r="D745" s="104"/>
      <c r="E745" s="104"/>
      <c r="F745" s="104"/>
      <c r="G745" s="104"/>
    </row>
    <row r="746" spans="1:7" ht="12.5" x14ac:dyDescent="0.25">
      <c r="A746" s="104"/>
      <c r="B746" s="104"/>
      <c r="D746" s="104"/>
      <c r="E746" s="104"/>
      <c r="F746" s="104"/>
      <c r="G746" s="104"/>
    </row>
    <row r="747" spans="1:7" ht="12.5" x14ac:dyDescent="0.25">
      <c r="A747" s="104"/>
      <c r="B747" s="104"/>
      <c r="D747" s="104"/>
      <c r="E747" s="104"/>
      <c r="F747" s="104"/>
      <c r="G747" s="104"/>
    </row>
    <row r="748" spans="1:7" ht="12.5" x14ac:dyDescent="0.25">
      <c r="A748" s="104"/>
      <c r="B748" s="104"/>
      <c r="D748" s="104"/>
      <c r="E748" s="104"/>
      <c r="F748" s="104"/>
      <c r="G748" s="104"/>
    </row>
    <row r="749" spans="1:7" ht="12.5" x14ac:dyDescent="0.25">
      <c r="A749" s="104"/>
      <c r="B749" s="104"/>
      <c r="D749" s="104"/>
      <c r="E749" s="104"/>
      <c r="F749" s="104"/>
      <c r="G749" s="104"/>
    </row>
    <row r="750" spans="1:7" ht="12.5" x14ac:dyDescent="0.25">
      <c r="A750" s="104"/>
      <c r="B750" s="104"/>
      <c r="D750" s="104"/>
      <c r="E750" s="104"/>
      <c r="F750" s="104"/>
      <c r="G750" s="104"/>
    </row>
    <row r="751" spans="1:7" ht="12.5" x14ac:dyDescent="0.25">
      <c r="A751" s="104"/>
      <c r="B751" s="104"/>
      <c r="D751" s="104"/>
      <c r="E751" s="104"/>
      <c r="F751" s="104"/>
      <c r="G751" s="104"/>
    </row>
    <row r="752" spans="1:7" ht="12.5" x14ac:dyDescent="0.25">
      <c r="A752" s="104"/>
      <c r="B752" s="104"/>
      <c r="D752" s="104"/>
      <c r="E752" s="104"/>
      <c r="F752" s="104"/>
      <c r="G752" s="104"/>
    </row>
    <row r="753" spans="1:7" ht="12.5" x14ac:dyDescent="0.25">
      <c r="A753" s="104"/>
      <c r="B753" s="104"/>
      <c r="D753" s="104"/>
      <c r="E753" s="104"/>
      <c r="F753" s="104"/>
      <c r="G753" s="104"/>
    </row>
    <row r="754" spans="1:7" ht="12.5" x14ac:dyDescent="0.25">
      <c r="A754" s="104"/>
      <c r="B754" s="104"/>
      <c r="D754" s="104"/>
      <c r="E754" s="104"/>
      <c r="F754" s="104"/>
      <c r="G754" s="104"/>
    </row>
    <row r="755" spans="1:7" ht="12.5" x14ac:dyDescent="0.25">
      <c r="A755" s="104"/>
      <c r="B755" s="104"/>
      <c r="D755" s="104"/>
      <c r="E755" s="104"/>
      <c r="F755" s="104"/>
      <c r="G755" s="104"/>
    </row>
    <row r="756" spans="1:7" ht="12.5" x14ac:dyDescent="0.25">
      <c r="A756" s="104"/>
      <c r="B756" s="104"/>
      <c r="D756" s="104"/>
      <c r="E756" s="104"/>
      <c r="F756" s="104"/>
      <c r="G756" s="104"/>
    </row>
    <row r="757" spans="1:7" ht="12.5" x14ac:dyDescent="0.25">
      <c r="A757" s="104"/>
      <c r="B757" s="104"/>
      <c r="D757" s="104"/>
      <c r="E757" s="104"/>
      <c r="F757" s="104"/>
      <c r="G757" s="104"/>
    </row>
    <row r="758" spans="1:7" ht="12.5" x14ac:dyDescent="0.25">
      <c r="A758" s="104"/>
      <c r="B758" s="104"/>
      <c r="D758" s="104"/>
      <c r="E758" s="104"/>
      <c r="F758" s="104"/>
      <c r="G758" s="104"/>
    </row>
    <row r="759" spans="1:7" ht="12.5" x14ac:dyDescent="0.25">
      <c r="A759" s="104"/>
      <c r="B759" s="104"/>
      <c r="D759" s="104"/>
      <c r="E759" s="104"/>
      <c r="F759" s="104"/>
      <c r="G759" s="104"/>
    </row>
    <row r="760" spans="1:7" ht="12.5" x14ac:dyDescent="0.25">
      <c r="A760" s="104"/>
      <c r="B760" s="104"/>
      <c r="D760" s="104"/>
      <c r="E760" s="104"/>
      <c r="F760" s="104"/>
      <c r="G760" s="104"/>
    </row>
    <row r="761" spans="1:7" ht="12.5" x14ac:dyDescent="0.25">
      <c r="A761" s="104"/>
      <c r="B761" s="104"/>
      <c r="D761" s="104"/>
      <c r="E761" s="104"/>
      <c r="F761" s="104"/>
      <c r="G761" s="104"/>
    </row>
    <row r="762" spans="1:7" ht="12.5" x14ac:dyDescent="0.25">
      <c r="A762" s="104"/>
      <c r="B762" s="104"/>
      <c r="D762" s="104"/>
      <c r="E762" s="104"/>
      <c r="F762" s="104"/>
      <c r="G762" s="104"/>
    </row>
    <row r="763" spans="1:7" ht="12.5" x14ac:dyDescent="0.25">
      <c r="A763" s="104"/>
      <c r="B763" s="104"/>
      <c r="D763" s="104"/>
      <c r="E763" s="104"/>
      <c r="F763" s="104"/>
      <c r="G763" s="104"/>
    </row>
    <row r="764" spans="1:7" ht="12.5" x14ac:dyDescent="0.25">
      <c r="A764" s="104"/>
      <c r="B764" s="104"/>
      <c r="D764" s="104"/>
      <c r="E764" s="104"/>
      <c r="F764" s="104"/>
      <c r="G764" s="104"/>
    </row>
    <row r="765" spans="1:7" ht="12.5" x14ac:dyDescent="0.25">
      <c r="A765" s="104"/>
      <c r="B765" s="104"/>
      <c r="D765" s="104"/>
      <c r="E765" s="104"/>
      <c r="F765" s="104"/>
      <c r="G765" s="104"/>
    </row>
    <row r="766" spans="1:7" ht="12.5" x14ac:dyDescent="0.25">
      <c r="A766" s="104"/>
      <c r="B766" s="104"/>
      <c r="D766" s="104"/>
      <c r="E766" s="104"/>
      <c r="F766" s="104"/>
      <c r="G766" s="104"/>
    </row>
    <row r="767" spans="1:7" ht="12.5" x14ac:dyDescent="0.25">
      <c r="A767" s="104"/>
      <c r="B767" s="104"/>
      <c r="D767" s="104"/>
      <c r="E767" s="104"/>
      <c r="F767" s="104"/>
      <c r="G767" s="104"/>
    </row>
    <row r="768" spans="1:7" ht="12.5" x14ac:dyDescent="0.25">
      <c r="A768" s="104"/>
      <c r="B768" s="104"/>
      <c r="D768" s="104"/>
      <c r="E768" s="104"/>
      <c r="F768" s="104"/>
      <c r="G768" s="104"/>
    </row>
    <row r="769" spans="1:7" ht="12.5" x14ac:dyDescent="0.25">
      <c r="A769" s="104"/>
      <c r="B769" s="104"/>
      <c r="D769" s="104"/>
      <c r="E769" s="104"/>
      <c r="F769" s="104"/>
      <c r="G769" s="104"/>
    </row>
    <row r="770" spans="1:7" ht="12.5" x14ac:dyDescent="0.25">
      <c r="A770" s="104"/>
      <c r="B770" s="104"/>
      <c r="D770" s="104"/>
      <c r="E770" s="104"/>
      <c r="F770" s="104"/>
      <c r="G770" s="104"/>
    </row>
    <row r="771" spans="1:7" ht="12.5" x14ac:dyDescent="0.25">
      <c r="A771" s="104"/>
      <c r="B771" s="104"/>
      <c r="D771" s="104"/>
      <c r="E771" s="104"/>
      <c r="F771" s="104"/>
      <c r="G771" s="104"/>
    </row>
    <row r="772" spans="1:7" ht="12.5" x14ac:dyDescent="0.25">
      <c r="A772" s="104"/>
      <c r="B772" s="104"/>
      <c r="D772" s="104"/>
      <c r="E772" s="104"/>
      <c r="F772" s="104"/>
      <c r="G772" s="104"/>
    </row>
    <row r="773" spans="1:7" ht="12.5" x14ac:dyDescent="0.25">
      <c r="A773" s="104"/>
      <c r="B773" s="104"/>
      <c r="D773" s="104"/>
      <c r="E773" s="104"/>
      <c r="F773" s="104"/>
      <c r="G773" s="104"/>
    </row>
    <row r="774" spans="1:7" ht="12.5" x14ac:dyDescent="0.25">
      <c r="A774" s="104"/>
      <c r="B774" s="104"/>
      <c r="D774" s="104"/>
      <c r="E774" s="104"/>
      <c r="F774" s="104"/>
      <c r="G774" s="104"/>
    </row>
    <row r="775" spans="1:7" ht="12.5" x14ac:dyDescent="0.25">
      <c r="A775" s="104"/>
      <c r="B775" s="104"/>
      <c r="D775" s="104"/>
      <c r="E775" s="104"/>
      <c r="F775" s="104"/>
      <c r="G775" s="104"/>
    </row>
    <row r="776" spans="1:7" ht="12.5" x14ac:dyDescent="0.25">
      <c r="A776" s="104"/>
      <c r="B776" s="104"/>
      <c r="D776" s="104"/>
      <c r="E776" s="104"/>
      <c r="F776" s="104"/>
      <c r="G776" s="104"/>
    </row>
    <row r="777" spans="1:7" ht="12.5" x14ac:dyDescent="0.25">
      <c r="A777" s="104"/>
      <c r="B777" s="104"/>
      <c r="D777" s="104"/>
      <c r="E777" s="104"/>
      <c r="F777" s="104"/>
      <c r="G777" s="104"/>
    </row>
    <row r="778" spans="1:7" ht="12.5" x14ac:dyDescent="0.25">
      <c r="A778" s="104"/>
      <c r="B778" s="104"/>
      <c r="D778" s="104"/>
      <c r="E778" s="104"/>
      <c r="F778" s="104"/>
      <c r="G778" s="104"/>
    </row>
    <row r="779" spans="1:7" ht="12.5" x14ac:dyDescent="0.25">
      <c r="A779" s="104"/>
      <c r="B779" s="104"/>
      <c r="D779" s="104"/>
      <c r="E779" s="104"/>
      <c r="F779" s="104"/>
      <c r="G779" s="104"/>
    </row>
    <row r="780" spans="1:7" ht="12.5" x14ac:dyDescent="0.25">
      <c r="A780" s="104"/>
      <c r="B780" s="104"/>
      <c r="D780" s="104"/>
      <c r="E780" s="104"/>
      <c r="F780" s="104"/>
      <c r="G780" s="104"/>
    </row>
    <row r="781" spans="1:7" ht="12.5" x14ac:dyDescent="0.25">
      <c r="A781" s="104"/>
      <c r="B781" s="104"/>
      <c r="D781" s="104"/>
      <c r="E781" s="104"/>
      <c r="F781" s="104"/>
      <c r="G781" s="104"/>
    </row>
    <row r="782" spans="1:7" ht="12.5" x14ac:dyDescent="0.25">
      <c r="A782" s="104"/>
      <c r="B782" s="104"/>
      <c r="D782" s="104"/>
      <c r="E782" s="104"/>
      <c r="F782" s="104"/>
      <c r="G782" s="104"/>
    </row>
    <row r="783" spans="1:7" ht="12.5" x14ac:dyDescent="0.25">
      <c r="A783" s="104"/>
      <c r="B783" s="104"/>
      <c r="D783" s="104"/>
      <c r="E783" s="104"/>
      <c r="F783" s="104"/>
      <c r="G783" s="104"/>
    </row>
    <row r="784" spans="1:7" ht="12.5" x14ac:dyDescent="0.25">
      <c r="A784" s="104"/>
      <c r="B784" s="104"/>
      <c r="D784" s="104"/>
      <c r="E784" s="104"/>
      <c r="F784" s="104"/>
      <c r="G784" s="104"/>
    </row>
    <row r="785" spans="1:7" ht="12.5" x14ac:dyDescent="0.25">
      <c r="A785" s="104"/>
      <c r="B785" s="104"/>
      <c r="D785" s="104"/>
      <c r="E785" s="104"/>
      <c r="F785" s="104"/>
      <c r="G785" s="104"/>
    </row>
    <row r="786" spans="1:7" ht="12.5" x14ac:dyDescent="0.25">
      <c r="A786" s="104"/>
      <c r="B786" s="104"/>
      <c r="D786" s="104"/>
      <c r="E786" s="104"/>
      <c r="F786" s="104"/>
      <c r="G786" s="104"/>
    </row>
    <row r="787" spans="1:7" ht="12.5" x14ac:dyDescent="0.25">
      <c r="A787" s="104"/>
      <c r="B787" s="104"/>
      <c r="D787" s="104"/>
      <c r="E787" s="104"/>
      <c r="F787" s="104"/>
      <c r="G787" s="104"/>
    </row>
    <row r="788" spans="1:7" ht="12.5" x14ac:dyDescent="0.25">
      <c r="A788" s="104"/>
      <c r="B788" s="104"/>
      <c r="D788" s="104"/>
      <c r="E788" s="104"/>
      <c r="F788" s="104"/>
      <c r="G788" s="104"/>
    </row>
    <row r="789" spans="1:7" ht="12.5" x14ac:dyDescent="0.25">
      <c r="A789" s="104"/>
      <c r="B789" s="104"/>
      <c r="D789" s="104"/>
      <c r="E789" s="104"/>
      <c r="F789" s="104"/>
      <c r="G789" s="104"/>
    </row>
    <row r="790" spans="1:7" ht="12.5" x14ac:dyDescent="0.25">
      <c r="A790" s="104"/>
      <c r="B790" s="104"/>
      <c r="D790" s="104"/>
      <c r="E790" s="104"/>
      <c r="F790" s="104"/>
      <c r="G790" s="104"/>
    </row>
    <row r="791" spans="1:7" ht="12.5" x14ac:dyDescent="0.25">
      <c r="A791" s="104"/>
      <c r="B791" s="104"/>
      <c r="D791" s="104"/>
      <c r="E791" s="104"/>
      <c r="F791" s="104"/>
      <c r="G791" s="104"/>
    </row>
    <row r="792" spans="1:7" ht="12.5" x14ac:dyDescent="0.25">
      <c r="A792" s="104"/>
      <c r="B792" s="104"/>
      <c r="D792" s="104"/>
      <c r="E792" s="104"/>
      <c r="F792" s="104"/>
      <c r="G792" s="104"/>
    </row>
    <row r="793" spans="1:7" ht="12.5" x14ac:dyDescent="0.25">
      <c r="A793" s="104"/>
      <c r="B793" s="104"/>
      <c r="D793" s="104"/>
      <c r="E793" s="104"/>
      <c r="F793" s="104"/>
      <c r="G793" s="104"/>
    </row>
    <row r="794" spans="1:7" ht="12.5" x14ac:dyDescent="0.25">
      <c r="A794" s="104"/>
      <c r="B794" s="104"/>
      <c r="D794" s="104"/>
      <c r="E794" s="104"/>
      <c r="F794" s="104"/>
      <c r="G794" s="104"/>
    </row>
    <row r="795" spans="1:7" ht="12.5" x14ac:dyDescent="0.25">
      <c r="A795" s="104"/>
      <c r="B795" s="104"/>
      <c r="D795" s="104"/>
      <c r="E795" s="104"/>
      <c r="F795" s="104"/>
      <c r="G795" s="104"/>
    </row>
    <row r="796" spans="1:7" ht="12.5" x14ac:dyDescent="0.25">
      <c r="A796" s="104"/>
      <c r="B796" s="104"/>
      <c r="D796" s="104"/>
      <c r="E796" s="104"/>
      <c r="F796" s="104"/>
      <c r="G796" s="104"/>
    </row>
    <row r="797" spans="1:7" ht="12.5" x14ac:dyDescent="0.25">
      <c r="A797" s="104"/>
      <c r="B797" s="104"/>
      <c r="D797" s="104"/>
      <c r="E797" s="104"/>
      <c r="F797" s="104"/>
      <c r="G797" s="104"/>
    </row>
    <row r="798" spans="1:7" ht="12.5" x14ac:dyDescent="0.25">
      <c r="A798" s="104"/>
      <c r="B798" s="104"/>
      <c r="D798" s="104"/>
      <c r="E798" s="104"/>
      <c r="F798" s="104"/>
      <c r="G798" s="104"/>
    </row>
    <row r="799" spans="1:7" ht="12.5" x14ac:dyDescent="0.25">
      <c r="A799" s="104"/>
      <c r="B799" s="104"/>
      <c r="D799" s="104"/>
      <c r="E799" s="104"/>
      <c r="F799" s="104"/>
      <c r="G799" s="104"/>
    </row>
    <row r="800" spans="1:7" ht="12.5" x14ac:dyDescent="0.25">
      <c r="A800" s="104"/>
      <c r="B800" s="104"/>
      <c r="D800" s="104"/>
      <c r="E800" s="104"/>
      <c r="F800" s="104"/>
      <c r="G800" s="104"/>
    </row>
    <row r="801" spans="1:7" ht="12.5" x14ac:dyDescent="0.25">
      <c r="A801" s="104"/>
      <c r="B801" s="104"/>
      <c r="D801" s="104"/>
      <c r="E801" s="104"/>
      <c r="F801" s="104"/>
      <c r="G801" s="104"/>
    </row>
    <row r="802" spans="1:7" ht="12.5" x14ac:dyDescent="0.25">
      <c r="A802" s="104"/>
      <c r="B802" s="104"/>
      <c r="D802" s="104"/>
      <c r="E802" s="104"/>
      <c r="F802" s="104"/>
      <c r="G802" s="104"/>
    </row>
    <row r="803" spans="1:7" ht="12.5" x14ac:dyDescent="0.25">
      <c r="A803" s="104"/>
      <c r="B803" s="104"/>
      <c r="D803" s="104"/>
      <c r="E803" s="104"/>
      <c r="F803" s="104"/>
      <c r="G803" s="104"/>
    </row>
    <row r="804" spans="1:7" ht="12.5" x14ac:dyDescent="0.25">
      <c r="A804" s="104"/>
      <c r="B804" s="104"/>
      <c r="D804" s="104"/>
      <c r="E804" s="104"/>
      <c r="F804" s="104"/>
      <c r="G804" s="104"/>
    </row>
    <row r="805" spans="1:7" ht="12.5" x14ac:dyDescent="0.25">
      <c r="A805" s="104"/>
      <c r="B805" s="104"/>
      <c r="D805" s="104"/>
      <c r="E805" s="104"/>
      <c r="F805" s="104"/>
      <c r="G805" s="104"/>
    </row>
    <row r="806" spans="1:7" ht="12.5" x14ac:dyDescent="0.25">
      <c r="A806" s="104"/>
      <c r="B806" s="104"/>
      <c r="D806" s="104"/>
      <c r="E806" s="104"/>
      <c r="F806" s="104"/>
      <c r="G806" s="104"/>
    </row>
    <row r="807" spans="1:7" ht="12.5" x14ac:dyDescent="0.25">
      <c r="A807" s="104"/>
      <c r="B807" s="104"/>
      <c r="D807" s="104"/>
      <c r="E807" s="104"/>
      <c r="F807" s="104"/>
      <c r="G807" s="104"/>
    </row>
    <row r="808" spans="1:7" ht="12.5" x14ac:dyDescent="0.25">
      <c r="A808" s="104"/>
      <c r="B808" s="104"/>
      <c r="D808" s="104"/>
      <c r="E808" s="104"/>
      <c r="F808" s="104"/>
      <c r="G808" s="104"/>
    </row>
    <row r="809" spans="1:7" ht="12.5" x14ac:dyDescent="0.25">
      <c r="A809" s="104"/>
      <c r="B809" s="104"/>
      <c r="D809" s="104"/>
      <c r="E809" s="104"/>
      <c r="F809" s="104"/>
      <c r="G809" s="104"/>
    </row>
    <row r="810" spans="1:7" ht="12.5" x14ac:dyDescent="0.25">
      <c r="A810" s="104"/>
      <c r="B810" s="104"/>
      <c r="D810" s="104"/>
      <c r="E810" s="104"/>
      <c r="F810" s="104"/>
      <c r="G810" s="104"/>
    </row>
    <row r="811" spans="1:7" ht="12.5" x14ac:dyDescent="0.25">
      <c r="A811" s="104"/>
      <c r="B811" s="104"/>
      <c r="D811" s="104"/>
      <c r="E811" s="104"/>
      <c r="F811" s="104"/>
      <c r="G811" s="104"/>
    </row>
    <row r="812" spans="1:7" ht="12.5" x14ac:dyDescent="0.25">
      <c r="A812" s="104"/>
      <c r="B812" s="104"/>
      <c r="D812" s="104"/>
      <c r="E812" s="104"/>
      <c r="F812" s="104"/>
      <c r="G812" s="104"/>
    </row>
    <row r="813" spans="1:7" ht="12.5" x14ac:dyDescent="0.25">
      <c r="A813" s="104"/>
      <c r="B813" s="104"/>
      <c r="D813" s="104"/>
      <c r="E813" s="104"/>
      <c r="F813" s="104"/>
      <c r="G813" s="104"/>
    </row>
    <row r="814" spans="1:7" ht="12.5" x14ac:dyDescent="0.25">
      <c r="A814" s="104"/>
      <c r="B814" s="104"/>
      <c r="D814" s="104"/>
      <c r="E814" s="104"/>
      <c r="F814" s="104"/>
      <c r="G814" s="104"/>
    </row>
    <row r="815" spans="1:7" ht="12.5" x14ac:dyDescent="0.25">
      <c r="A815" s="104"/>
      <c r="B815" s="104"/>
      <c r="D815" s="104"/>
      <c r="E815" s="104"/>
      <c r="F815" s="104"/>
      <c r="G815" s="104"/>
    </row>
    <row r="816" spans="1:7" ht="12.5" x14ac:dyDescent="0.25">
      <c r="A816" s="104"/>
      <c r="B816" s="104"/>
      <c r="D816" s="104"/>
      <c r="E816" s="104"/>
      <c r="F816" s="104"/>
      <c r="G816" s="104"/>
    </row>
    <row r="817" spans="1:7" ht="12.5" x14ac:dyDescent="0.25">
      <c r="A817" s="104"/>
      <c r="B817" s="104"/>
      <c r="D817" s="104"/>
      <c r="E817" s="104"/>
      <c r="F817" s="104"/>
      <c r="G817" s="104"/>
    </row>
    <row r="818" spans="1:7" ht="12.5" x14ac:dyDescent="0.25">
      <c r="A818" s="104"/>
      <c r="B818" s="104"/>
      <c r="D818" s="104"/>
      <c r="E818" s="104"/>
      <c r="F818" s="104"/>
      <c r="G818" s="104"/>
    </row>
    <row r="819" spans="1:7" ht="12.5" x14ac:dyDescent="0.25">
      <c r="A819" s="104"/>
      <c r="B819" s="104"/>
      <c r="D819" s="104"/>
      <c r="E819" s="104"/>
      <c r="F819" s="104"/>
      <c r="G819" s="104"/>
    </row>
    <row r="820" spans="1:7" ht="12.5" x14ac:dyDescent="0.25">
      <c r="A820" s="104"/>
      <c r="B820" s="104"/>
      <c r="D820" s="104"/>
      <c r="E820" s="104"/>
      <c r="F820" s="104"/>
      <c r="G820" s="104"/>
    </row>
    <row r="821" spans="1:7" ht="12.5" x14ac:dyDescent="0.25">
      <c r="A821" s="104"/>
      <c r="B821" s="104"/>
      <c r="D821" s="104"/>
      <c r="E821" s="104"/>
      <c r="F821" s="104"/>
      <c r="G821" s="104"/>
    </row>
    <row r="822" spans="1:7" ht="12.5" x14ac:dyDescent="0.25">
      <c r="A822" s="104"/>
      <c r="B822" s="104"/>
      <c r="D822" s="104"/>
      <c r="E822" s="104"/>
      <c r="F822" s="104"/>
      <c r="G822" s="104"/>
    </row>
    <row r="823" spans="1:7" ht="12.5" x14ac:dyDescent="0.25">
      <c r="A823" s="104"/>
      <c r="B823" s="104"/>
      <c r="D823" s="104"/>
      <c r="E823" s="104"/>
      <c r="F823" s="104"/>
      <c r="G823" s="104"/>
    </row>
    <row r="824" spans="1:7" ht="12.5" x14ac:dyDescent="0.25">
      <c r="A824" s="104"/>
      <c r="B824" s="104"/>
      <c r="D824" s="104"/>
      <c r="E824" s="104"/>
      <c r="F824" s="104"/>
      <c r="G824" s="104"/>
    </row>
    <row r="825" spans="1:7" ht="12.5" x14ac:dyDescent="0.25">
      <c r="A825" s="104"/>
      <c r="B825" s="104"/>
      <c r="D825" s="104"/>
      <c r="E825" s="104"/>
      <c r="F825" s="104"/>
      <c r="G825" s="104"/>
    </row>
    <row r="826" spans="1:7" ht="12.5" x14ac:dyDescent="0.25">
      <c r="A826" s="104"/>
      <c r="B826" s="104"/>
      <c r="D826" s="104"/>
      <c r="E826" s="104"/>
      <c r="F826" s="104"/>
      <c r="G826" s="104"/>
    </row>
    <row r="827" spans="1:7" ht="12.5" x14ac:dyDescent="0.25">
      <c r="A827" s="104"/>
      <c r="B827" s="104"/>
      <c r="D827" s="104"/>
      <c r="E827" s="104"/>
      <c r="F827" s="104"/>
      <c r="G827" s="104"/>
    </row>
    <row r="828" spans="1:7" ht="12.5" x14ac:dyDescent="0.25">
      <c r="A828" s="104"/>
      <c r="B828" s="104"/>
      <c r="D828" s="104"/>
      <c r="E828" s="104"/>
      <c r="F828" s="104"/>
      <c r="G828" s="104"/>
    </row>
    <row r="829" spans="1:7" ht="12.5" x14ac:dyDescent="0.25">
      <c r="A829" s="104"/>
      <c r="B829" s="104"/>
      <c r="D829" s="104"/>
      <c r="E829" s="104"/>
      <c r="F829" s="104"/>
      <c r="G829" s="104"/>
    </row>
    <row r="830" spans="1:7" ht="12.5" x14ac:dyDescent="0.25">
      <c r="A830" s="104"/>
      <c r="B830" s="104"/>
      <c r="D830" s="104"/>
      <c r="E830" s="104"/>
      <c r="F830" s="104"/>
      <c r="G830" s="104"/>
    </row>
    <row r="831" spans="1:7" ht="12.5" x14ac:dyDescent="0.25">
      <c r="A831" s="104"/>
      <c r="B831" s="104"/>
      <c r="D831" s="104"/>
      <c r="E831" s="104"/>
      <c r="F831" s="104"/>
      <c r="G831" s="104"/>
    </row>
    <row r="832" spans="1:7" ht="12.5" x14ac:dyDescent="0.25">
      <c r="A832" s="104"/>
      <c r="B832" s="104"/>
      <c r="D832" s="104"/>
      <c r="E832" s="104"/>
      <c r="F832" s="104"/>
      <c r="G832" s="104"/>
    </row>
    <row r="833" spans="1:7" ht="12.5" x14ac:dyDescent="0.25">
      <c r="A833" s="104"/>
      <c r="B833" s="104"/>
      <c r="D833" s="104"/>
      <c r="E833" s="104"/>
      <c r="F833" s="104"/>
      <c r="G833" s="104"/>
    </row>
    <row r="834" spans="1:7" ht="12.5" x14ac:dyDescent="0.25">
      <c r="A834" s="104"/>
      <c r="B834" s="104"/>
      <c r="D834" s="104"/>
      <c r="E834" s="104"/>
      <c r="F834" s="104"/>
      <c r="G834" s="104"/>
    </row>
    <row r="835" spans="1:7" ht="12.5" x14ac:dyDescent="0.25">
      <c r="A835" s="104"/>
      <c r="B835" s="104"/>
      <c r="D835" s="104"/>
      <c r="E835" s="104"/>
      <c r="F835" s="104"/>
      <c r="G835" s="104"/>
    </row>
    <row r="836" spans="1:7" ht="12.5" x14ac:dyDescent="0.25">
      <c r="A836" s="104"/>
      <c r="B836" s="104"/>
      <c r="D836" s="104"/>
      <c r="E836" s="104"/>
      <c r="F836" s="104"/>
      <c r="G836" s="104"/>
    </row>
    <row r="837" spans="1:7" ht="12.5" x14ac:dyDescent="0.25">
      <c r="A837" s="104"/>
      <c r="B837" s="104"/>
      <c r="D837" s="104"/>
      <c r="E837" s="104"/>
      <c r="F837" s="104"/>
      <c r="G837" s="104"/>
    </row>
    <row r="838" spans="1:7" ht="12.5" x14ac:dyDescent="0.25">
      <c r="A838" s="104"/>
      <c r="B838" s="104"/>
      <c r="D838" s="104"/>
      <c r="E838" s="104"/>
      <c r="F838" s="104"/>
      <c r="G838" s="104"/>
    </row>
    <row r="839" spans="1:7" ht="12.5" x14ac:dyDescent="0.25">
      <c r="A839" s="104"/>
      <c r="B839" s="104"/>
      <c r="D839" s="104"/>
      <c r="E839" s="104"/>
      <c r="F839" s="104"/>
      <c r="G839" s="104"/>
    </row>
    <row r="840" spans="1:7" ht="12.5" x14ac:dyDescent="0.25">
      <c r="A840" s="104"/>
      <c r="B840" s="104"/>
      <c r="D840" s="104"/>
      <c r="E840" s="104"/>
      <c r="F840" s="104"/>
      <c r="G840" s="104"/>
    </row>
    <row r="841" spans="1:7" ht="12.5" x14ac:dyDescent="0.25">
      <c r="A841" s="104"/>
      <c r="B841" s="104"/>
      <c r="D841" s="104"/>
      <c r="E841" s="104"/>
      <c r="F841" s="104"/>
      <c r="G841" s="104"/>
    </row>
    <row r="842" spans="1:7" ht="12.5" x14ac:dyDescent="0.25">
      <c r="A842" s="104"/>
      <c r="B842" s="104"/>
      <c r="D842" s="104"/>
      <c r="E842" s="104"/>
      <c r="F842" s="104"/>
      <c r="G842" s="104"/>
    </row>
    <row r="843" spans="1:7" ht="12.5" x14ac:dyDescent="0.25">
      <c r="A843" s="104"/>
      <c r="B843" s="104"/>
      <c r="D843" s="104"/>
      <c r="E843" s="104"/>
      <c r="F843" s="104"/>
      <c r="G843" s="104"/>
    </row>
    <row r="844" spans="1:7" ht="12.5" x14ac:dyDescent="0.25">
      <c r="A844" s="104"/>
      <c r="B844" s="104"/>
      <c r="D844" s="104"/>
      <c r="E844" s="104"/>
      <c r="F844" s="104"/>
      <c r="G844" s="104"/>
    </row>
    <row r="845" spans="1:7" ht="12.5" x14ac:dyDescent="0.25">
      <c r="A845" s="104"/>
      <c r="B845" s="104"/>
      <c r="D845" s="104"/>
      <c r="E845" s="104"/>
      <c r="F845" s="104"/>
      <c r="G845" s="104"/>
    </row>
    <row r="846" spans="1:7" ht="12.5" x14ac:dyDescent="0.25">
      <c r="A846" s="104"/>
      <c r="B846" s="104"/>
      <c r="D846" s="104"/>
      <c r="E846" s="104"/>
      <c r="F846" s="104"/>
      <c r="G846" s="104"/>
    </row>
    <row r="847" spans="1:7" ht="12.5" x14ac:dyDescent="0.25">
      <c r="A847" s="104"/>
      <c r="B847" s="104"/>
      <c r="D847" s="104"/>
      <c r="E847" s="104"/>
      <c r="F847" s="104"/>
      <c r="G847" s="104"/>
    </row>
    <row r="848" spans="1:7" ht="12.5" x14ac:dyDescent="0.25">
      <c r="A848" s="104"/>
      <c r="B848" s="104"/>
      <c r="D848" s="104"/>
      <c r="E848" s="104"/>
      <c r="F848" s="104"/>
      <c r="G848" s="104"/>
    </row>
    <row r="849" spans="1:7" ht="12.5" x14ac:dyDescent="0.25">
      <c r="A849" s="104"/>
      <c r="B849" s="104"/>
      <c r="D849" s="104"/>
      <c r="E849" s="104"/>
      <c r="F849" s="104"/>
      <c r="G849" s="104"/>
    </row>
    <row r="850" spans="1:7" ht="12.5" x14ac:dyDescent="0.25">
      <c r="A850" s="104"/>
      <c r="B850" s="104"/>
      <c r="D850" s="104"/>
      <c r="E850" s="104"/>
      <c r="F850" s="104"/>
      <c r="G850" s="104"/>
    </row>
    <row r="851" spans="1:7" ht="12.5" x14ac:dyDescent="0.25">
      <c r="A851" s="104"/>
      <c r="B851" s="104"/>
      <c r="D851" s="104"/>
      <c r="E851" s="104"/>
      <c r="F851" s="104"/>
      <c r="G851" s="104"/>
    </row>
    <row r="852" spans="1:7" ht="12.5" x14ac:dyDescent="0.25">
      <c r="A852" s="104"/>
      <c r="B852" s="104"/>
      <c r="D852" s="104"/>
      <c r="E852" s="104"/>
      <c r="F852" s="104"/>
      <c r="G852" s="104"/>
    </row>
    <row r="853" spans="1:7" ht="12.5" x14ac:dyDescent="0.25">
      <c r="A853" s="104"/>
      <c r="B853" s="104"/>
      <c r="D853" s="104"/>
      <c r="E853" s="104"/>
      <c r="F853" s="104"/>
      <c r="G853" s="104"/>
    </row>
    <row r="854" spans="1:7" ht="12.5" x14ac:dyDescent="0.25">
      <c r="A854" s="104"/>
      <c r="B854" s="104"/>
      <c r="D854" s="104"/>
      <c r="E854" s="104"/>
      <c r="F854" s="104"/>
      <c r="G854" s="104"/>
    </row>
    <row r="855" spans="1:7" ht="12.5" x14ac:dyDescent="0.25">
      <c r="A855" s="104"/>
      <c r="B855" s="104"/>
      <c r="D855" s="104"/>
      <c r="E855" s="104"/>
      <c r="F855" s="104"/>
      <c r="G855" s="104"/>
    </row>
    <row r="856" spans="1:7" ht="12.5" x14ac:dyDescent="0.25">
      <c r="A856" s="104"/>
      <c r="B856" s="104"/>
      <c r="D856" s="104"/>
      <c r="E856" s="104"/>
      <c r="F856" s="104"/>
      <c r="G856" s="104"/>
    </row>
    <row r="857" spans="1:7" ht="12.5" x14ac:dyDescent="0.25">
      <c r="A857" s="104"/>
      <c r="B857" s="104"/>
      <c r="D857" s="104"/>
      <c r="E857" s="104"/>
      <c r="F857" s="104"/>
      <c r="G857" s="104"/>
    </row>
    <row r="858" spans="1:7" ht="12.5" x14ac:dyDescent="0.25">
      <c r="A858" s="104"/>
      <c r="B858" s="104"/>
      <c r="D858" s="104"/>
      <c r="E858" s="104"/>
      <c r="F858" s="104"/>
      <c r="G858" s="104"/>
    </row>
    <row r="859" spans="1:7" ht="12.5" x14ac:dyDescent="0.25">
      <c r="A859" s="104"/>
      <c r="B859" s="104"/>
      <c r="D859" s="104"/>
      <c r="E859" s="104"/>
      <c r="F859" s="104"/>
      <c r="G859" s="104"/>
    </row>
    <row r="860" spans="1:7" ht="12.5" x14ac:dyDescent="0.25">
      <c r="A860" s="104"/>
      <c r="B860" s="104"/>
      <c r="D860" s="104"/>
      <c r="E860" s="104"/>
      <c r="F860" s="104"/>
      <c r="G860" s="104"/>
    </row>
    <row r="861" spans="1:7" ht="12.5" x14ac:dyDescent="0.25">
      <c r="A861" s="104"/>
      <c r="B861" s="104"/>
      <c r="D861" s="104"/>
      <c r="E861" s="104"/>
      <c r="F861" s="104"/>
      <c r="G861" s="104"/>
    </row>
    <row r="862" spans="1:7" ht="12.5" x14ac:dyDescent="0.25">
      <c r="A862" s="104"/>
      <c r="B862" s="104"/>
      <c r="D862" s="104"/>
      <c r="E862" s="104"/>
      <c r="F862" s="104"/>
      <c r="G862" s="104"/>
    </row>
    <row r="863" spans="1:7" ht="12.5" x14ac:dyDescent="0.25">
      <c r="A863" s="104"/>
      <c r="B863" s="104"/>
      <c r="D863" s="104"/>
      <c r="E863" s="104"/>
      <c r="F863" s="104"/>
      <c r="G863" s="104"/>
    </row>
    <row r="864" spans="1:7" ht="12.5" x14ac:dyDescent="0.25">
      <c r="A864" s="104"/>
      <c r="B864" s="104"/>
      <c r="D864" s="104"/>
      <c r="E864" s="104"/>
      <c r="F864" s="104"/>
      <c r="G864" s="104"/>
    </row>
    <row r="865" spans="1:7" ht="12.5" x14ac:dyDescent="0.25">
      <c r="A865" s="104"/>
      <c r="B865" s="104"/>
      <c r="D865" s="104"/>
      <c r="E865" s="104"/>
      <c r="F865" s="104"/>
      <c r="G865" s="104"/>
    </row>
    <row r="866" spans="1:7" ht="12.5" x14ac:dyDescent="0.25">
      <c r="A866" s="104"/>
      <c r="B866" s="104"/>
      <c r="D866" s="104"/>
      <c r="E866" s="104"/>
      <c r="F866" s="104"/>
      <c r="G866" s="104"/>
    </row>
    <row r="867" spans="1:7" ht="12.5" x14ac:dyDescent="0.25">
      <c r="A867" s="104"/>
      <c r="B867" s="104"/>
      <c r="D867" s="104"/>
      <c r="E867" s="104"/>
      <c r="F867" s="104"/>
      <c r="G867" s="104"/>
    </row>
    <row r="868" spans="1:7" ht="12.5" x14ac:dyDescent="0.25">
      <c r="A868" s="104"/>
      <c r="B868" s="104"/>
      <c r="D868" s="104"/>
      <c r="E868" s="104"/>
      <c r="F868" s="104"/>
      <c r="G868" s="104"/>
    </row>
    <row r="869" spans="1:7" ht="12.5" x14ac:dyDescent="0.25">
      <c r="A869" s="104"/>
      <c r="B869" s="104"/>
      <c r="D869" s="104"/>
      <c r="E869" s="104"/>
      <c r="F869" s="104"/>
      <c r="G869" s="104"/>
    </row>
    <row r="870" spans="1:7" ht="12.5" x14ac:dyDescent="0.25">
      <c r="A870" s="104"/>
      <c r="B870" s="104"/>
      <c r="D870" s="104"/>
      <c r="E870" s="104"/>
      <c r="F870" s="104"/>
      <c r="G870" s="104"/>
    </row>
    <row r="871" spans="1:7" ht="12.5" x14ac:dyDescent="0.25">
      <c r="A871" s="104"/>
      <c r="B871" s="104"/>
      <c r="D871" s="104"/>
      <c r="E871" s="104"/>
      <c r="F871" s="104"/>
      <c r="G871" s="104"/>
    </row>
    <row r="872" spans="1:7" ht="12.5" x14ac:dyDescent="0.25">
      <c r="A872" s="104"/>
      <c r="B872" s="104"/>
      <c r="D872" s="104"/>
      <c r="E872" s="104"/>
      <c r="F872" s="104"/>
      <c r="G872" s="104"/>
    </row>
    <row r="873" spans="1:7" ht="12.5" x14ac:dyDescent="0.25">
      <c r="A873" s="104"/>
      <c r="B873" s="104"/>
      <c r="D873" s="104"/>
      <c r="E873" s="104"/>
      <c r="F873" s="104"/>
      <c r="G873" s="104"/>
    </row>
    <row r="874" spans="1:7" ht="12.5" x14ac:dyDescent="0.25">
      <c r="A874" s="104"/>
      <c r="B874" s="104"/>
      <c r="D874" s="104"/>
      <c r="E874" s="104"/>
      <c r="F874" s="104"/>
      <c r="G874" s="104"/>
    </row>
    <row r="875" spans="1:7" ht="12.5" x14ac:dyDescent="0.25">
      <c r="A875" s="104"/>
      <c r="B875" s="104"/>
      <c r="D875" s="104"/>
      <c r="E875" s="104"/>
      <c r="F875" s="104"/>
      <c r="G875" s="104"/>
    </row>
    <row r="876" spans="1:7" ht="12.5" x14ac:dyDescent="0.25">
      <c r="A876" s="104"/>
      <c r="B876" s="104"/>
      <c r="D876" s="104"/>
      <c r="E876" s="104"/>
      <c r="F876" s="104"/>
      <c r="G876" s="104"/>
    </row>
    <row r="877" spans="1:7" ht="12.5" x14ac:dyDescent="0.25">
      <c r="A877" s="104"/>
      <c r="B877" s="104"/>
      <c r="D877" s="104"/>
      <c r="E877" s="104"/>
      <c r="F877" s="104"/>
      <c r="G877" s="104"/>
    </row>
    <row r="878" spans="1:7" ht="12.5" x14ac:dyDescent="0.25">
      <c r="A878" s="104"/>
      <c r="B878" s="104"/>
      <c r="D878" s="104"/>
      <c r="E878" s="104"/>
      <c r="F878" s="104"/>
      <c r="G878" s="104"/>
    </row>
    <row r="879" spans="1:7" ht="12.5" x14ac:dyDescent="0.25">
      <c r="A879" s="104"/>
      <c r="B879" s="104"/>
      <c r="D879" s="104"/>
      <c r="E879" s="104"/>
      <c r="F879" s="104"/>
      <c r="G879" s="104"/>
    </row>
    <row r="880" spans="1:7" ht="12.5" x14ac:dyDescent="0.25">
      <c r="A880" s="104"/>
      <c r="B880" s="104"/>
      <c r="D880" s="104"/>
      <c r="E880" s="104"/>
      <c r="F880" s="104"/>
      <c r="G880" s="104"/>
    </row>
    <row r="881" spans="1:7" ht="12.5" x14ac:dyDescent="0.25">
      <c r="A881" s="104"/>
      <c r="B881" s="104"/>
      <c r="D881" s="104"/>
      <c r="E881" s="104"/>
      <c r="F881" s="104"/>
      <c r="G881" s="104"/>
    </row>
    <row r="882" spans="1:7" ht="12.5" x14ac:dyDescent="0.25">
      <c r="A882" s="104"/>
      <c r="B882" s="104"/>
      <c r="D882" s="104"/>
      <c r="E882" s="104"/>
      <c r="F882" s="104"/>
      <c r="G882" s="104"/>
    </row>
    <row r="883" spans="1:7" ht="12.5" x14ac:dyDescent="0.25">
      <c r="A883" s="104"/>
      <c r="B883" s="104"/>
      <c r="D883" s="104"/>
      <c r="E883" s="104"/>
      <c r="F883" s="104"/>
      <c r="G883" s="104"/>
    </row>
    <row r="884" spans="1:7" ht="12.5" x14ac:dyDescent="0.25">
      <c r="A884" s="104"/>
      <c r="B884" s="104"/>
      <c r="D884" s="104"/>
      <c r="E884" s="104"/>
      <c r="F884" s="104"/>
      <c r="G884" s="104"/>
    </row>
    <row r="885" spans="1:7" ht="12.5" x14ac:dyDescent="0.25">
      <c r="A885" s="104"/>
      <c r="B885" s="104"/>
      <c r="D885" s="104"/>
      <c r="E885" s="104"/>
      <c r="F885" s="104"/>
      <c r="G885" s="104"/>
    </row>
    <row r="886" spans="1:7" ht="12.5" x14ac:dyDescent="0.25">
      <c r="A886" s="104"/>
      <c r="B886" s="104"/>
      <c r="D886" s="104"/>
      <c r="E886" s="104"/>
      <c r="F886" s="104"/>
      <c r="G886" s="104"/>
    </row>
    <row r="887" spans="1:7" ht="12.5" x14ac:dyDescent="0.25">
      <c r="A887" s="104"/>
      <c r="B887" s="104"/>
      <c r="D887" s="104"/>
      <c r="E887" s="104"/>
      <c r="F887" s="104"/>
      <c r="G887" s="104"/>
    </row>
    <row r="888" spans="1:7" ht="12.5" x14ac:dyDescent="0.25">
      <c r="A888" s="104"/>
      <c r="B888" s="104"/>
      <c r="D888" s="104"/>
      <c r="E888" s="104"/>
      <c r="F888" s="104"/>
      <c r="G888" s="104"/>
    </row>
    <row r="889" spans="1:7" ht="12.5" x14ac:dyDescent="0.25">
      <c r="A889" s="104"/>
      <c r="B889" s="104"/>
      <c r="D889" s="104"/>
      <c r="E889" s="104"/>
      <c r="F889" s="104"/>
      <c r="G889" s="104"/>
    </row>
    <row r="890" spans="1:7" ht="12.5" x14ac:dyDescent="0.25">
      <c r="A890" s="104"/>
      <c r="B890" s="104"/>
      <c r="D890" s="104"/>
      <c r="E890" s="104"/>
      <c r="F890" s="104"/>
      <c r="G890" s="104"/>
    </row>
    <row r="891" spans="1:7" ht="12.5" x14ac:dyDescent="0.25">
      <c r="A891" s="104"/>
      <c r="B891" s="104"/>
      <c r="D891" s="104"/>
      <c r="E891" s="104"/>
      <c r="F891" s="104"/>
      <c r="G891" s="104"/>
    </row>
    <row r="892" spans="1:7" ht="12.5" x14ac:dyDescent="0.25">
      <c r="A892" s="104"/>
      <c r="B892" s="104"/>
      <c r="D892" s="104"/>
      <c r="E892" s="104"/>
      <c r="F892" s="104"/>
      <c r="G892" s="104"/>
    </row>
    <row r="893" spans="1:7" ht="12.5" x14ac:dyDescent="0.25">
      <c r="A893" s="104"/>
      <c r="B893" s="104"/>
      <c r="D893" s="104"/>
      <c r="E893" s="104"/>
      <c r="F893" s="104"/>
      <c r="G893" s="104"/>
    </row>
    <row r="894" spans="1:7" ht="12.5" x14ac:dyDescent="0.25">
      <c r="A894" s="104"/>
      <c r="B894" s="104"/>
      <c r="D894" s="104"/>
      <c r="E894" s="104"/>
      <c r="F894" s="104"/>
      <c r="G894" s="104"/>
    </row>
    <row r="895" spans="1:7" ht="12.5" x14ac:dyDescent="0.25">
      <c r="A895" s="104"/>
      <c r="B895" s="104"/>
      <c r="D895" s="104"/>
      <c r="E895" s="104"/>
      <c r="F895" s="104"/>
      <c r="G895" s="104"/>
    </row>
    <row r="896" spans="1:7" ht="12.5" x14ac:dyDescent="0.25">
      <c r="A896" s="104"/>
      <c r="B896" s="104"/>
      <c r="D896" s="104"/>
      <c r="E896" s="104"/>
      <c r="F896" s="104"/>
      <c r="G896" s="104"/>
    </row>
    <row r="897" spans="1:7" ht="12.5" x14ac:dyDescent="0.25">
      <c r="A897" s="104"/>
      <c r="B897" s="104"/>
      <c r="D897" s="104"/>
      <c r="E897" s="104"/>
      <c r="F897" s="104"/>
      <c r="G897" s="104"/>
    </row>
    <row r="898" spans="1:7" ht="12.5" x14ac:dyDescent="0.25">
      <c r="A898" s="104"/>
      <c r="B898" s="104"/>
      <c r="D898" s="104"/>
      <c r="E898" s="104"/>
      <c r="F898" s="104"/>
      <c r="G898" s="104"/>
    </row>
    <row r="899" spans="1:7" ht="12.5" x14ac:dyDescent="0.25">
      <c r="A899" s="104"/>
      <c r="B899" s="104"/>
      <c r="D899" s="104"/>
      <c r="E899" s="104"/>
      <c r="F899" s="104"/>
      <c r="G899" s="104"/>
    </row>
    <row r="900" spans="1:7" ht="12.5" x14ac:dyDescent="0.25">
      <c r="A900" s="104"/>
      <c r="B900" s="104"/>
      <c r="D900" s="104"/>
      <c r="E900" s="104"/>
      <c r="F900" s="104"/>
      <c r="G900" s="104"/>
    </row>
    <row r="901" spans="1:7" ht="12.5" x14ac:dyDescent="0.25">
      <c r="A901" s="104"/>
      <c r="B901" s="104"/>
      <c r="D901" s="104"/>
      <c r="E901" s="104"/>
      <c r="F901" s="104"/>
      <c r="G901" s="104"/>
    </row>
    <row r="902" spans="1:7" ht="12.5" x14ac:dyDescent="0.25">
      <c r="A902" s="104"/>
      <c r="B902" s="104"/>
      <c r="D902" s="104"/>
      <c r="E902" s="104"/>
      <c r="F902" s="104"/>
      <c r="G902" s="104"/>
    </row>
    <row r="903" spans="1:7" ht="12.5" x14ac:dyDescent="0.25">
      <c r="A903" s="104"/>
      <c r="B903" s="104"/>
      <c r="D903" s="104"/>
      <c r="E903" s="104"/>
      <c r="F903" s="104"/>
      <c r="G903" s="104"/>
    </row>
    <row r="904" spans="1:7" ht="12.5" x14ac:dyDescent="0.25">
      <c r="A904" s="104"/>
      <c r="B904" s="104"/>
      <c r="D904" s="104"/>
      <c r="E904" s="104"/>
      <c r="F904" s="104"/>
      <c r="G904" s="104"/>
    </row>
    <row r="905" spans="1:7" ht="12.5" x14ac:dyDescent="0.25">
      <c r="A905" s="104"/>
      <c r="B905" s="104"/>
      <c r="D905" s="104"/>
      <c r="E905" s="104"/>
      <c r="F905" s="104"/>
      <c r="G905" s="104"/>
    </row>
    <row r="906" spans="1:7" ht="12.5" x14ac:dyDescent="0.25">
      <c r="A906" s="104"/>
      <c r="B906" s="104"/>
      <c r="D906" s="104"/>
      <c r="E906" s="104"/>
      <c r="F906" s="104"/>
      <c r="G906" s="104"/>
    </row>
    <row r="907" spans="1:7" ht="12.5" x14ac:dyDescent="0.25">
      <c r="A907" s="104"/>
      <c r="B907" s="104"/>
      <c r="D907" s="104"/>
      <c r="E907" s="104"/>
      <c r="F907" s="104"/>
      <c r="G907" s="104"/>
    </row>
    <row r="908" spans="1:7" ht="12.5" x14ac:dyDescent="0.25">
      <c r="A908" s="104"/>
      <c r="B908" s="104"/>
      <c r="D908" s="104"/>
      <c r="E908" s="104"/>
      <c r="F908" s="104"/>
      <c r="G908" s="104"/>
    </row>
    <row r="909" spans="1:7" ht="12.5" x14ac:dyDescent="0.25">
      <c r="A909" s="104"/>
      <c r="B909" s="104"/>
      <c r="D909" s="104"/>
      <c r="E909" s="104"/>
      <c r="F909" s="104"/>
      <c r="G909" s="104"/>
    </row>
    <row r="910" spans="1:7" ht="12.5" x14ac:dyDescent="0.25">
      <c r="A910" s="104"/>
      <c r="B910" s="104"/>
      <c r="D910" s="104"/>
      <c r="E910" s="104"/>
      <c r="F910" s="104"/>
      <c r="G910" s="104"/>
    </row>
    <row r="911" spans="1:7" ht="12.5" x14ac:dyDescent="0.25">
      <c r="A911" s="104"/>
      <c r="B911" s="104"/>
      <c r="D911" s="104"/>
      <c r="E911" s="104"/>
      <c r="F911" s="104"/>
      <c r="G911" s="104"/>
    </row>
    <row r="912" spans="1:7" ht="12.5" x14ac:dyDescent="0.25">
      <c r="A912" s="104"/>
      <c r="B912" s="104"/>
      <c r="D912" s="104"/>
      <c r="E912" s="104"/>
      <c r="F912" s="104"/>
      <c r="G912" s="104"/>
    </row>
    <row r="913" spans="1:7" ht="12.5" x14ac:dyDescent="0.25">
      <c r="A913" s="104"/>
      <c r="B913" s="104"/>
      <c r="D913" s="104"/>
      <c r="E913" s="104"/>
      <c r="F913" s="104"/>
      <c r="G913" s="104"/>
    </row>
    <row r="914" spans="1:7" ht="12.5" x14ac:dyDescent="0.25">
      <c r="A914" s="104"/>
      <c r="B914" s="104"/>
      <c r="D914" s="104"/>
      <c r="E914" s="104"/>
      <c r="F914" s="104"/>
      <c r="G914" s="104"/>
    </row>
    <row r="915" spans="1:7" ht="12.5" x14ac:dyDescent="0.25">
      <c r="A915" s="104"/>
      <c r="B915" s="104"/>
      <c r="D915" s="104"/>
      <c r="E915" s="104"/>
      <c r="F915" s="104"/>
      <c r="G915" s="104"/>
    </row>
    <row r="916" spans="1:7" ht="12.5" x14ac:dyDescent="0.25">
      <c r="A916" s="104"/>
      <c r="B916" s="104"/>
      <c r="D916" s="104"/>
      <c r="E916" s="104"/>
      <c r="F916" s="104"/>
      <c r="G916" s="104"/>
    </row>
    <row r="917" spans="1:7" ht="12.5" x14ac:dyDescent="0.25">
      <c r="A917" s="104"/>
      <c r="B917" s="104"/>
      <c r="D917" s="104"/>
      <c r="E917" s="104"/>
      <c r="F917" s="104"/>
      <c r="G917" s="104"/>
    </row>
    <row r="918" spans="1:7" ht="12.5" x14ac:dyDescent="0.25">
      <c r="A918" s="104"/>
      <c r="B918" s="104"/>
      <c r="D918" s="104"/>
      <c r="E918" s="104"/>
      <c r="F918" s="104"/>
      <c r="G918" s="104"/>
    </row>
    <row r="919" spans="1:7" ht="12.5" x14ac:dyDescent="0.25">
      <c r="A919" s="104"/>
      <c r="B919" s="104"/>
      <c r="D919" s="104"/>
      <c r="E919" s="104"/>
      <c r="F919" s="104"/>
      <c r="G919" s="104"/>
    </row>
    <row r="920" spans="1:7" ht="12.5" x14ac:dyDescent="0.25">
      <c r="A920" s="104"/>
      <c r="B920" s="104"/>
      <c r="D920" s="104"/>
      <c r="E920" s="104"/>
      <c r="F920" s="104"/>
      <c r="G920" s="104"/>
    </row>
    <row r="921" spans="1:7" ht="12.5" x14ac:dyDescent="0.25">
      <c r="A921" s="104"/>
      <c r="B921" s="104"/>
      <c r="D921" s="104"/>
      <c r="E921" s="104"/>
      <c r="F921" s="104"/>
      <c r="G921" s="104"/>
    </row>
    <row r="922" spans="1:7" ht="12.5" x14ac:dyDescent="0.25">
      <c r="A922" s="104"/>
      <c r="B922" s="104"/>
      <c r="D922" s="104"/>
      <c r="E922" s="104"/>
      <c r="F922" s="104"/>
      <c r="G922" s="104"/>
    </row>
    <row r="923" spans="1:7" ht="12.5" x14ac:dyDescent="0.25">
      <c r="A923" s="104"/>
      <c r="B923" s="104"/>
      <c r="D923" s="104"/>
      <c r="E923" s="104"/>
      <c r="F923" s="104"/>
      <c r="G923" s="104"/>
    </row>
    <row r="924" spans="1:7" ht="12.5" x14ac:dyDescent="0.25">
      <c r="A924" s="104"/>
      <c r="B924" s="104"/>
      <c r="D924" s="104"/>
      <c r="E924" s="104"/>
      <c r="F924" s="104"/>
      <c r="G924" s="104"/>
    </row>
    <row r="925" spans="1:7" ht="12.5" x14ac:dyDescent="0.25">
      <c r="A925" s="104"/>
      <c r="B925" s="104"/>
      <c r="D925" s="104"/>
      <c r="E925" s="104"/>
      <c r="F925" s="104"/>
      <c r="G925" s="104"/>
    </row>
    <row r="926" spans="1:7" ht="12.5" x14ac:dyDescent="0.25">
      <c r="A926" s="104"/>
      <c r="B926" s="104"/>
      <c r="D926" s="104"/>
      <c r="E926" s="104"/>
      <c r="F926" s="104"/>
      <c r="G926" s="104"/>
    </row>
    <row r="927" spans="1:7" ht="12.5" x14ac:dyDescent="0.25">
      <c r="A927" s="104"/>
      <c r="B927" s="104"/>
      <c r="D927" s="104"/>
      <c r="E927" s="104"/>
      <c r="F927" s="104"/>
      <c r="G927" s="104"/>
    </row>
    <row r="928" spans="1:7" ht="12.5" x14ac:dyDescent="0.25">
      <c r="A928" s="104"/>
      <c r="B928" s="104"/>
      <c r="D928" s="104"/>
      <c r="E928" s="104"/>
      <c r="F928" s="104"/>
      <c r="G928" s="104"/>
    </row>
    <row r="929" spans="1:7" ht="12.5" x14ac:dyDescent="0.25">
      <c r="A929" s="104"/>
      <c r="B929" s="104"/>
      <c r="D929" s="104"/>
      <c r="E929" s="104"/>
      <c r="F929" s="104"/>
      <c r="G929" s="104"/>
    </row>
    <row r="930" spans="1:7" ht="12.5" x14ac:dyDescent="0.25">
      <c r="A930" s="104"/>
      <c r="B930" s="104"/>
      <c r="D930" s="104"/>
      <c r="E930" s="104"/>
      <c r="F930" s="104"/>
      <c r="G930" s="104"/>
    </row>
    <row r="931" spans="1:7" ht="12.5" x14ac:dyDescent="0.25">
      <c r="A931" s="104"/>
      <c r="B931" s="104"/>
      <c r="D931" s="104"/>
      <c r="E931" s="104"/>
      <c r="F931" s="104"/>
      <c r="G931" s="104"/>
    </row>
    <row r="932" spans="1:7" ht="12.5" x14ac:dyDescent="0.25">
      <c r="A932" s="104"/>
      <c r="B932" s="104"/>
      <c r="D932" s="104"/>
      <c r="E932" s="104"/>
      <c r="F932" s="104"/>
      <c r="G932" s="104"/>
    </row>
    <row r="933" spans="1:7" ht="12.5" x14ac:dyDescent="0.25">
      <c r="A933" s="104"/>
      <c r="B933" s="104"/>
      <c r="D933" s="104"/>
      <c r="E933" s="104"/>
      <c r="F933" s="104"/>
      <c r="G933" s="104"/>
    </row>
    <row r="934" spans="1:7" ht="12.5" x14ac:dyDescent="0.25">
      <c r="A934" s="104"/>
      <c r="B934" s="104"/>
      <c r="D934" s="104"/>
      <c r="E934" s="104"/>
      <c r="F934" s="104"/>
      <c r="G934" s="104"/>
    </row>
    <row r="935" spans="1:7" ht="12.5" x14ac:dyDescent="0.25">
      <c r="A935" s="104"/>
      <c r="B935" s="104"/>
      <c r="D935" s="104"/>
      <c r="E935" s="104"/>
      <c r="F935" s="104"/>
      <c r="G935" s="104"/>
    </row>
    <row r="936" spans="1:7" ht="12.5" x14ac:dyDescent="0.25">
      <c r="A936" s="104"/>
      <c r="B936" s="104"/>
      <c r="D936" s="104"/>
      <c r="E936" s="104"/>
      <c r="F936" s="104"/>
      <c r="G936" s="104"/>
    </row>
    <row r="937" spans="1:7" ht="12.5" x14ac:dyDescent="0.25">
      <c r="A937" s="104"/>
      <c r="B937" s="104"/>
      <c r="D937" s="104"/>
      <c r="E937" s="104"/>
      <c r="F937" s="104"/>
      <c r="G937" s="104"/>
    </row>
    <row r="938" spans="1:7" ht="12.5" x14ac:dyDescent="0.25">
      <c r="A938" s="104"/>
      <c r="B938" s="104"/>
      <c r="D938" s="104"/>
      <c r="E938" s="104"/>
      <c r="F938" s="104"/>
      <c r="G938" s="104"/>
    </row>
    <row r="939" spans="1:7" ht="12.5" x14ac:dyDescent="0.25">
      <c r="A939" s="104"/>
      <c r="B939" s="104"/>
      <c r="D939" s="104"/>
      <c r="E939" s="104"/>
      <c r="F939" s="104"/>
      <c r="G939" s="104"/>
    </row>
    <row r="940" spans="1:7" ht="12.5" x14ac:dyDescent="0.25">
      <c r="A940" s="104"/>
      <c r="B940" s="104"/>
      <c r="D940" s="104"/>
      <c r="E940" s="104"/>
      <c r="F940" s="104"/>
      <c r="G940" s="104"/>
    </row>
    <row r="941" spans="1:7" ht="12.5" x14ac:dyDescent="0.25">
      <c r="A941" s="104"/>
      <c r="B941" s="104"/>
      <c r="D941" s="104"/>
      <c r="E941" s="104"/>
      <c r="F941" s="104"/>
      <c r="G941" s="104"/>
    </row>
    <row r="942" spans="1:7" ht="12.5" x14ac:dyDescent="0.25">
      <c r="A942" s="104"/>
      <c r="B942" s="104"/>
      <c r="D942" s="104"/>
      <c r="E942" s="104"/>
      <c r="F942" s="104"/>
      <c r="G942" s="104"/>
    </row>
    <row r="943" spans="1:7" ht="12.5" x14ac:dyDescent="0.25">
      <c r="A943" s="104"/>
      <c r="B943" s="104"/>
      <c r="D943" s="104"/>
      <c r="E943" s="104"/>
      <c r="F943" s="104"/>
      <c r="G943" s="104"/>
    </row>
    <row r="944" spans="1:7" ht="12.5" x14ac:dyDescent="0.25">
      <c r="A944" s="104"/>
      <c r="B944" s="104"/>
      <c r="D944" s="104"/>
      <c r="E944" s="104"/>
      <c r="F944" s="104"/>
      <c r="G944" s="104"/>
    </row>
    <row r="945" spans="1:7" ht="12.5" x14ac:dyDescent="0.25">
      <c r="A945" s="104"/>
      <c r="B945" s="104"/>
      <c r="D945" s="104"/>
      <c r="E945" s="104"/>
      <c r="F945" s="104"/>
      <c r="G945" s="104"/>
    </row>
    <row r="946" spans="1:7" ht="12.5" x14ac:dyDescent="0.25">
      <c r="A946" s="104"/>
      <c r="B946" s="104"/>
      <c r="D946" s="104"/>
      <c r="E946" s="104"/>
      <c r="F946" s="104"/>
      <c r="G946" s="104"/>
    </row>
    <row r="947" spans="1:7" ht="12.5" x14ac:dyDescent="0.25">
      <c r="A947" s="104"/>
      <c r="B947" s="104"/>
      <c r="D947" s="104"/>
      <c r="E947" s="104"/>
      <c r="F947" s="104"/>
      <c r="G947" s="104"/>
    </row>
    <row r="948" spans="1:7" ht="12.5" x14ac:dyDescent="0.25">
      <c r="A948" s="104"/>
      <c r="B948" s="104"/>
      <c r="D948" s="104"/>
      <c r="E948" s="104"/>
      <c r="F948" s="104"/>
      <c r="G948" s="104"/>
    </row>
    <row r="949" spans="1:7" ht="12.5" x14ac:dyDescent="0.25">
      <c r="A949" s="104"/>
      <c r="B949" s="104"/>
      <c r="D949" s="104"/>
      <c r="E949" s="104"/>
      <c r="F949" s="104"/>
      <c r="G949" s="104"/>
    </row>
    <row r="950" spans="1:7" ht="12.5" x14ac:dyDescent="0.25">
      <c r="A950" s="104"/>
      <c r="B950" s="104"/>
      <c r="D950" s="104"/>
      <c r="E950" s="104"/>
      <c r="F950" s="104"/>
      <c r="G950" s="104"/>
    </row>
    <row r="951" spans="1:7" ht="12.5" x14ac:dyDescent="0.25">
      <c r="A951" s="104"/>
      <c r="B951" s="104"/>
      <c r="D951" s="104"/>
      <c r="E951" s="104"/>
      <c r="F951" s="104"/>
      <c r="G951" s="104"/>
    </row>
    <row r="952" spans="1:7" ht="12.5" x14ac:dyDescent="0.25">
      <c r="A952" s="104"/>
      <c r="B952" s="104"/>
      <c r="D952" s="104"/>
      <c r="E952" s="104"/>
      <c r="F952" s="104"/>
      <c r="G952" s="104"/>
    </row>
    <row r="953" spans="1:7" ht="12.5" x14ac:dyDescent="0.25">
      <c r="A953" s="104"/>
      <c r="B953" s="104"/>
      <c r="D953" s="104"/>
      <c r="E953" s="104"/>
      <c r="F953" s="104"/>
      <c r="G953" s="104"/>
    </row>
    <row r="954" spans="1:7" ht="12.5" x14ac:dyDescent="0.25">
      <c r="A954" s="104"/>
      <c r="B954" s="104"/>
      <c r="D954" s="104"/>
      <c r="E954" s="104"/>
      <c r="F954" s="104"/>
      <c r="G954" s="104"/>
    </row>
    <row r="955" spans="1:7" ht="12.5" x14ac:dyDescent="0.25">
      <c r="A955" s="104"/>
      <c r="B955" s="104"/>
      <c r="D955" s="104"/>
      <c r="E955" s="104"/>
      <c r="F955" s="104"/>
      <c r="G955" s="104"/>
    </row>
    <row r="956" spans="1:7" ht="12.5" x14ac:dyDescent="0.25">
      <c r="A956" s="104"/>
      <c r="B956" s="104"/>
      <c r="D956" s="104"/>
      <c r="E956" s="104"/>
      <c r="F956" s="104"/>
      <c r="G956" s="104"/>
    </row>
    <row r="957" spans="1:7" ht="12.5" x14ac:dyDescent="0.25">
      <c r="A957" s="104"/>
      <c r="B957" s="104"/>
      <c r="D957" s="104"/>
      <c r="E957" s="104"/>
      <c r="F957" s="104"/>
      <c r="G957" s="104"/>
    </row>
    <row r="958" spans="1:7" ht="12.5" x14ac:dyDescent="0.25">
      <c r="A958" s="104"/>
      <c r="B958" s="104"/>
      <c r="D958" s="104"/>
      <c r="E958" s="104"/>
      <c r="F958" s="104"/>
      <c r="G958" s="104"/>
    </row>
    <row r="959" spans="1:7" ht="12.5" x14ac:dyDescent="0.25">
      <c r="A959" s="104"/>
      <c r="B959" s="104"/>
      <c r="D959" s="104"/>
      <c r="E959" s="104"/>
      <c r="F959" s="104"/>
      <c r="G959" s="104"/>
    </row>
    <row r="960" spans="1:7" ht="12.5" x14ac:dyDescent="0.25">
      <c r="A960" s="104"/>
      <c r="B960" s="104"/>
      <c r="D960" s="104"/>
      <c r="E960" s="104"/>
      <c r="F960" s="104"/>
      <c r="G960" s="104"/>
    </row>
    <row r="961" spans="1:7" ht="12.5" x14ac:dyDescent="0.25">
      <c r="A961" s="104"/>
      <c r="B961" s="104"/>
      <c r="D961" s="104"/>
      <c r="E961" s="104"/>
      <c r="F961" s="104"/>
      <c r="G961" s="104"/>
    </row>
    <row r="962" spans="1:7" ht="12.5" x14ac:dyDescent="0.25">
      <c r="A962" s="104"/>
      <c r="B962" s="104"/>
      <c r="D962" s="104"/>
      <c r="E962" s="104"/>
      <c r="F962" s="104"/>
      <c r="G962" s="104"/>
    </row>
    <row r="963" spans="1:7" ht="12.5" x14ac:dyDescent="0.25">
      <c r="A963" s="104"/>
      <c r="B963" s="104"/>
      <c r="D963" s="104"/>
      <c r="E963" s="104"/>
      <c r="F963" s="104"/>
      <c r="G963" s="104"/>
    </row>
    <row r="964" spans="1:7" ht="12.5" x14ac:dyDescent="0.25">
      <c r="A964" s="104"/>
      <c r="B964" s="104"/>
      <c r="D964" s="104"/>
      <c r="E964" s="104"/>
      <c r="F964" s="104"/>
      <c r="G964" s="104"/>
    </row>
    <row r="965" spans="1:7" ht="12.5" x14ac:dyDescent="0.25">
      <c r="A965" s="104"/>
      <c r="B965" s="104"/>
      <c r="D965" s="104"/>
      <c r="E965" s="104"/>
      <c r="F965" s="104"/>
      <c r="G965" s="104"/>
    </row>
    <row r="966" spans="1:7" ht="12.5" x14ac:dyDescent="0.25">
      <c r="A966" s="104"/>
      <c r="B966" s="104"/>
      <c r="D966" s="104"/>
      <c r="E966" s="104"/>
      <c r="F966" s="104"/>
      <c r="G966" s="104"/>
    </row>
    <row r="967" spans="1:7" ht="12.5" x14ac:dyDescent="0.25">
      <c r="A967" s="104"/>
      <c r="B967" s="104"/>
      <c r="D967" s="104"/>
      <c r="E967" s="104"/>
      <c r="F967" s="104"/>
      <c r="G967" s="104"/>
    </row>
    <row r="968" spans="1:7" ht="12.5" x14ac:dyDescent="0.25">
      <c r="A968" s="104"/>
      <c r="B968" s="104"/>
      <c r="D968" s="104"/>
      <c r="E968" s="104"/>
      <c r="F968" s="104"/>
      <c r="G968" s="104"/>
    </row>
    <row r="969" spans="1:7" ht="12.5" x14ac:dyDescent="0.25">
      <c r="A969" s="104"/>
      <c r="B969" s="104"/>
      <c r="D969" s="104"/>
      <c r="E969" s="104"/>
      <c r="F969" s="104"/>
      <c r="G969" s="104"/>
    </row>
    <row r="970" spans="1:7" ht="12.5" x14ac:dyDescent="0.25">
      <c r="A970" s="104"/>
      <c r="B970" s="104"/>
      <c r="D970" s="104"/>
      <c r="E970" s="104"/>
      <c r="F970" s="104"/>
      <c r="G970" s="104"/>
    </row>
    <row r="971" spans="1:7" ht="12.5" x14ac:dyDescent="0.25">
      <c r="A971" s="104"/>
      <c r="B971" s="104"/>
      <c r="D971" s="104"/>
      <c r="E971" s="104"/>
      <c r="F971" s="104"/>
      <c r="G971" s="104"/>
    </row>
    <row r="972" spans="1:7" ht="12.5" x14ac:dyDescent="0.25">
      <c r="A972" s="104"/>
      <c r="B972" s="104"/>
      <c r="D972" s="104"/>
      <c r="E972" s="104"/>
      <c r="F972" s="104"/>
      <c r="G972" s="104"/>
    </row>
    <row r="973" spans="1:7" ht="12.5" x14ac:dyDescent="0.25">
      <c r="A973" s="104"/>
      <c r="B973" s="104"/>
      <c r="D973" s="104"/>
      <c r="E973" s="104"/>
      <c r="F973" s="104"/>
      <c r="G973" s="104"/>
    </row>
    <row r="974" spans="1:7" ht="12.5" x14ac:dyDescent="0.25">
      <c r="A974" s="104"/>
      <c r="B974" s="104"/>
      <c r="D974" s="104"/>
      <c r="E974" s="104"/>
      <c r="F974" s="104"/>
      <c r="G974" s="104"/>
    </row>
    <row r="975" spans="1:7" ht="12.5" x14ac:dyDescent="0.25">
      <c r="A975" s="104"/>
      <c r="B975" s="104"/>
      <c r="D975" s="104"/>
      <c r="E975" s="104"/>
      <c r="F975" s="104"/>
      <c r="G975" s="104"/>
    </row>
    <row r="976" spans="1:7" ht="12.5" x14ac:dyDescent="0.25">
      <c r="A976" s="104"/>
      <c r="B976" s="104"/>
      <c r="D976" s="104"/>
      <c r="E976" s="104"/>
      <c r="F976" s="104"/>
      <c r="G976" s="104"/>
    </row>
    <row r="977" spans="1:7" ht="12.5" x14ac:dyDescent="0.25">
      <c r="A977" s="104"/>
      <c r="B977" s="104"/>
      <c r="D977" s="104"/>
      <c r="E977" s="104"/>
      <c r="F977" s="104"/>
      <c r="G977" s="104"/>
    </row>
    <row r="978" spans="1:7" ht="12.5" x14ac:dyDescent="0.25">
      <c r="A978" s="104"/>
      <c r="B978" s="104"/>
      <c r="D978" s="104"/>
      <c r="E978" s="104"/>
      <c r="F978" s="104"/>
      <c r="G978" s="104"/>
    </row>
    <row r="979" spans="1:7" ht="12.5" x14ac:dyDescent="0.25">
      <c r="A979" s="104"/>
      <c r="B979" s="104"/>
      <c r="D979" s="104"/>
      <c r="E979" s="104"/>
      <c r="F979" s="104"/>
      <c r="G979" s="104"/>
    </row>
    <row r="980" spans="1:7" ht="12.5" x14ac:dyDescent="0.25">
      <c r="A980" s="104"/>
      <c r="B980" s="104"/>
      <c r="D980" s="104"/>
      <c r="E980" s="104"/>
      <c r="F980" s="104"/>
      <c r="G980" s="104"/>
    </row>
    <row r="981" spans="1:7" ht="12.5" x14ac:dyDescent="0.25">
      <c r="A981" s="104"/>
      <c r="B981" s="104"/>
      <c r="D981" s="104"/>
      <c r="E981" s="104"/>
      <c r="F981" s="104"/>
      <c r="G981" s="104"/>
    </row>
    <row r="982" spans="1:7" ht="12.5" x14ac:dyDescent="0.25">
      <c r="A982" s="104"/>
      <c r="B982" s="104"/>
      <c r="D982" s="104"/>
      <c r="E982" s="104"/>
      <c r="F982" s="104"/>
      <c r="G982" s="104"/>
    </row>
    <row r="983" spans="1:7" ht="12.5" x14ac:dyDescent="0.25">
      <c r="A983" s="104"/>
      <c r="B983" s="104"/>
      <c r="D983" s="104"/>
      <c r="E983" s="104"/>
      <c r="F983" s="104"/>
      <c r="G983" s="104"/>
    </row>
    <row r="984" spans="1:7" ht="12.5" x14ac:dyDescent="0.25">
      <c r="A984" s="104"/>
      <c r="B984" s="104"/>
      <c r="D984" s="104"/>
      <c r="E984" s="104"/>
      <c r="F984" s="104"/>
      <c r="G984" s="104"/>
    </row>
    <row r="985" spans="1:7" ht="12.5" x14ac:dyDescent="0.25">
      <c r="A985" s="104"/>
      <c r="B985" s="104"/>
      <c r="D985" s="104"/>
      <c r="E985" s="104"/>
      <c r="F985" s="104"/>
      <c r="G985" s="104"/>
    </row>
    <row r="986" spans="1:7" ht="12.5" x14ac:dyDescent="0.25">
      <c r="A986" s="104"/>
      <c r="B986" s="104"/>
      <c r="D986" s="104"/>
      <c r="E986" s="104"/>
      <c r="F986" s="104"/>
      <c r="G986" s="104"/>
    </row>
    <row r="987" spans="1:7" ht="12.5" x14ac:dyDescent="0.25">
      <c r="A987" s="104"/>
      <c r="B987" s="104"/>
      <c r="D987" s="104"/>
      <c r="E987" s="104"/>
      <c r="F987" s="104"/>
      <c r="G987" s="104"/>
    </row>
    <row r="988" spans="1:7" ht="12.5" x14ac:dyDescent="0.25">
      <c r="A988" s="104"/>
      <c r="B988" s="104"/>
      <c r="D988" s="104"/>
      <c r="E988" s="104"/>
      <c r="F988" s="104"/>
      <c r="G988" s="104"/>
    </row>
    <row r="989" spans="1:7" ht="12.5" x14ac:dyDescent="0.25">
      <c r="A989" s="104"/>
      <c r="B989" s="104"/>
      <c r="D989" s="104"/>
      <c r="E989" s="104"/>
      <c r="F989" s="104"/>
      <c r="G989" s="104"/>
    </row>
    <row r="990" spans="1:7" ht="12.5" x14ac:dyDescent="0.25">
      <c r="A990" s="104"/>
      <c r="B990" s="104"/>
      <c r="D990" s="104"/>
      <c r="E990" s="104"/>
      <c r="F990" s="104"/>
      <c r="G990" s="104"/>
    </row>
    <row r="991" spans="1:7" ht="12.5" x14ac:dyDescent="0.25">
      <c r="A991" s="104"/>
      <c r="B991" s="104"/>
      <c r="D991" s="104"/>
      <c r="E991" s="104"/>
      <c r="F991" s="104"/>
      <c r="G991" s="104"/>
    </row>
    <row r="992" spans="1:7" ht="12.5" x14ac:dyDescent="0.25">
      <c r="A992" s="104"/>
      <c r="B992" s="104"/>
      <c r="D992" s="104"/>
      <c r="E992" s="104"/>
      <c r="F992" s="104"/>
      <c r="G992" s="104"/>
    </row>
    <row r="993" spans="1:7" ht="12.5" x14ac:dyDescent="0.25">
      <c r="A993" s="104"/>
      <c r="B993" s="104"/>
      <c r="D993" s="104"/>
      <c r="E993" s="104"/>
      <c r="F993" s="104"/>
      <c r="G993" s="104"/>
    </row>
    <row r="994" spans="1:7" ht="12.5" x14ac:dyDescent="0.25">
      <c r="A994" s="104"/>
      <c r="B994" s="104"/>
      <c r="D994" s="104"/>
      <c r="E994" s="104"/>
      <c r="F994" s="104"/>
      <c r="G994" s="104"/>
    </row>
    <row r="995" spans="1:7" ht="12.5" x14ac:dyDescent="0.25">
      <c r="A995" s="104"/>
      <c r="B995" s="104"/>
      <c r="D995" s="104"/>
      <c r="E995" s="104"/>
      <c r="F995" s="104"/>
      <c r="G995" s="104"/>
    </row>
    <row r="996" spans="1:7" ht="12.5" x14ac:dyDescent="0.25">
      <c r="A996" s="104"/>
      <c r="B996" s="104"/>
      <c r="D996" s="104"/>
      <c r="E996" s="104"/>
      <c r="F996" s="104"/>
      <c r="G996" s="104"/>
    </row>
    <row r="997" spans="1:7" ht="12.5" x14ac:dyDescent="0.25">
      <c r="A997" s="104"/>
      <c r="B997" s="104"/>
      <c r="D997" s="104"/>
      <c r="E997" s="104"/>
      <c r="F997" s="104"/>
      <c r="G997" s="104"/>
    </row>
    <row r="998" spans="1:7" ht="12.5" x14ac:dyDescent="0.25">
      <c r="A998" s="104"/>
      <c r="B998" s="104"/>
      <c r="D998" s="104"/>
      <c r="E998" s="104"/>
      <c r="F998" s="104"/>
      <c r="G998" s="104"/>
    </row>
    <row r="999" spans="1:7" ht="12.5" x14ac:dyDescent="0.25">
      <c r="A999" s="104"/>
      <c r="B999" s="104"/>
      <c r="D999" s="104"/>
      <c r="E999" s="104"/>
      <c r="F999" s="104"/>
      <c r="G999" s="104"/>
    </row>
    <row r="1000" spans="1:7" ht="12.5" x14ac:dyDescent="0.25">
      <c r="A1000" s="104"/>
      <c r="B1000" s="104"/>
      <c r="D1000" s="104"/>
      <c r="E1000" s="104"/>
      <c r="F1000" s="104"/>
      <c r="G1000" s="104"/>
    </row>
    <row r="1001" spans="1:7" ht="12.5" x14ac:dyDescent="0.25">
      <c r="A1001" s="104"/>
      <c r="B1001" s="104"/>
      <c r="D1001" s="104"/>
      <c r="E1001" s="104"/>
      <c r="F1001" s="104"/>
      <c r="G1001" s="104"/>
    </row>
    <row r="1002" spans="1:7" ht="12.5" x14ac:dyDescent="0.25">
      <c r="A1002" s="104"/>
      <c r="B1002" s="104"/>
      <c r="D1002" s="104"/>
      <c r="E1002" s="104"/>
      <c r="F1002" s="104"/>
      <c r="G1002" s="104"/>
    </row>
  </sheetData>
  <mergeCells count="1">
    <mergeCell ref="B14:C1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AB1002"/>
  <sheetViews>
    <sheetView showGridLines="0" workbookViewId="0"/>
  </sheetViews>
  <sheetFormatPr defaultColWidth="12.6328125" defaultRowHeight="15.75" customHeight="1" x14ac:dyDescent="0.25"/>
  <cols>
    <col min="1" max="1" width="3" customWidth="1"/>
    <col min="2" max="2" width="4.36328125" customWidth="1"/>
    <col min="3" max="3" width="19.90625" customWidth="1"/>
    <col min="8" max="9" width="11.90625" customWidth="1"/>
    <col min="10" max="10" width="7.08984375" customWidth="1"/>
    <col min="11" max="11" width="16.26953125" customWidth="1"/>
  </cols>
  <sheetData>
    <row r="1" spans="1:28" ht="12.75" customHeight="1" x14ac:dyDescent="0.25">
      <c r="A1" s="95"/>
      <c r="B1" s="95"/>
      <c r="C1" s="95"/>
      <c r="D1" s="95"/>
      <c r="E1" s="95"/>
      <c r="F1" s="95"/>
      <c r="G1" s="95"/>
    </row>
    <row r="2" spans="1:28" ht="27.75" customHeight="1" x14ac:dyDescent="0.25">
      <c r="A2" s="96"/>
      <c r="B2" s="96"/>
      <c r="C2" s="96"/>
      <c r="D2" s="96"/>
      <c r="E2" s="96"/>
      <c r="F2" s="96"/>
      <c r="G2" s="96"/>
      <c r="H2" s="96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</row>
    <row r="3" spans="1:28" ht="48.75" customHeight="1" x14ac:dyDescent="0.25">
      <c r="A3" s="105"/>
      <c r="B3" s="106" t="s">
        <v>1977</v>
      </c>
      <c r="C3" s="106" t="s">
        <v>2049</v>
      </c>
      <c r="D3" s="106" t="s">
        <v>134</v>
      </c>
      <c r="E3" s="106" t="s">
        <v>151</v>
      </c>
      <c r="F3" s="106" t="s">
        <v>251</v>
      </c>
      <c r="G3" s="106" t="s">
        <v>94</v>
      </c>
      <c r="H3" s="107" t="s">
        <v>2050</v>
      </c>
      <c r="I3" s="107" t="s">
        <v>2051</v>
      </c>
      <c r="J3" s="108"/>
      <c r="K3" s="109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</row>
    <row r="4" spans="1:28" ht="27.75" customHeight="1" x14ac:dyDescent="0.25">
      <c r="A4" s="101"/>
      <c r="B4" s="102">
        <v>1</v>
      </c>
      <c r="C4" s="103" t="s">
        <v>95</v>
      </c>
      <c r="D4" s="102">
        <f>COUNTIFS(datadasar!B:B,$D$3,datadasar!C:C,$C4)</f>
        <v>17</v>
      </c>
      <c r="E4" s="102">
        <f>COUNTIFS(datadasar!B:B,$E$3,datadasar!C:C,$C4)</f>
        <v>3</v>
      </c>
      <c r="F4" s="102">
        <f>COUNTIFS(datadasar!B:B,$F$3,datadasar!C:C,$C4)</f>
        <v>25</v>
      </c>
      <c r="G4" s="102">
        <f>COUNTIFS(datadasar!B:B,$G$3,datadasar!C:C,$C4)</f>
        <v>8</v>
      </c>
      <c r="H4" s="116">
        <f>SUM(D4:G5)</f>
        <v>68</v>
      </c>
      <c r="I4" s="116">
        <f>H4*3</f>
        <v>204</v>
      </c>
      <c r="K4" s="100"/>
    </row>
    <row r="5" spans="1:28" ht="27.75" customHeight="1" x14ac:dyDescent="0.25">
      <c r="A5" s="101"/>
      <c r="B5" s="102">
        <v>2</v>
      </c>
      <c r="C5" s="103" t="s">
        <v>1485</v>
      </c>
      <c r="D5" s="102">
        <f>COUNTIFS(datadasar!B:B,$D$3,datadasar!C:C,$C5)</f>
        <v>3</v>
      </c>
      <c r="E5" s="102">
        <f>COUNTIFS(datadasar!B:B,$E$3,datadasar!C:C,$C5)</f>
        <v>0</v>
      </c>
      <c r="F5" s="102">
        <f>COUNTIFS(datadasar!B:B,$F$3,datadasar!C:C,$C5)</f>
        <v>5</v>
      </c>
      <c r="G5" s="102">
        <f>COUNTIFS(datadasar!B:B,$G$3,datadasar!C:C,$C5)</f>
        <v>7</v>
      </c>
      <c r="H5" s="117"/>
      <c r="I5" s="117"/>
      <c r="K5" s="100"/>
    </row>
    <row r="6" spans="1:28" ht="27.75" customHeight="1" x14ac:dyDescent="0.25">
      <c r="A6" s="101"/>
      <c r="B6" s="102">
        <v>3</v>
      </c>
      <c r="C6" s="103" t="s">
        <v>633</v>
      </c>
      <c r="D6" s="102">
        <f>COUNTIFS(datadasar!B:B,$D$3,datadasar!C:C,$C6)</f>
        <v>5</v>
      </c>
      <c r="E6" s="102">
        <f>COUNTIFS(datadasar!B:B,$E$3,datadasar!C:C,$C6)</f>
        <v>0</v>
      </c>
      <c r="F6" s="102">
        <f>COUNTIFS(datadasar!B:B,$F$3,datadasar!C:C,$C6)</f>
        <v>7</v>
      </c>
      <c r="G6" s="102">
        <f>COUNTIFS(datadasar!B:B,$G$3,datadasar!C:C,$C6)</f>
        <v>4</v>
      </c>
      <c r="H6" s="116">
        <f>SUM(D6:G7)</f>
        <v>20</v>
      </c>
      <c r="I6" s="116">
        <f>H6*3</f>
        <v>60</v>
      </c>
      <c r="K6" s="100"/>
    </row>
    <row r="7" spans="1:28" ht="27.75" customHeight="1" x14ac:dyDescent="0.25">
      <c r="A7" s="101"/>
      <c r="B7" s="102">
        <v>4</v>
      </c>
      <c r="C7" s="103" t="s">
        <v>1296</v>
      </c>
      <c r="D7" s="102">
        <f>COUNTIFS(datadasar!B:B,$D$3,datadasar!C:C,$C7)</f>
        <v>2</v>
      </c>
      <c r="E7" s="102">
        <f>COUNTIFS(datadasar!B:B,$E$3,datadasar!C:C,$C7)</f>
        <v>0</v>
      </c>
      <c r="F7" s="102">
        <f>COUNTIFS(datadasar!B:B,$F$3,datadasar!C:C,$C7)</f>
        <v>2</v>
      </c>
      <c r="G7" s="102">
        <f>COUNTIFS(datadasar!B:B,$G$3,datadasar!C:C,$C7)</f>
        <v>0</v>
      </c>
      <c r="H7" s="117"/>
      <c r="I7" s="117"/>
      <c r="K7" s="100"/>
    </row>
    <row r="8" spans="1:28" ht="27.75" customHeight="1" x14ac:dyDescent="0.25">
      <c r="A8" s="101"/>
      <c r="B8" s="102">
        <v>5</v>
      </c>
      <c r="C8" s="103" t="s">
        <v>494</v>
      </c>
      <c r="D8" s="102">
        <f>COUNTIFS(datadasar!B:B,$D$3,datadasar!C:C,$C8)</f>
        <v>8</v>
      </c>
      <c r="E8" s="102">
        <f>COUNTIFS(datadasar!B:B,$E$3,datadasar!C:C,$C8)</f>
        <v>5</v>
      </c>
      <c r="F8" s="102">
        <f>COUNTIFS(datadasar!B:B,$F$3,datadasar!C:C,$C8)</f>
        <v>9</v>
      </c>
      <c r="G8" s="102">
        <f>COUNTIFS(datadasar!B:B,$G$3,datadasar!C:C,$C8)</f>
        <v>2</v>
      </c>
      <c r="H8" s="116">
        <f>SUM(D8:G9)</f>
        <v>50</v>
      </c>
      <c r="I8" s="116">
        <f>H8*3</f>
        <v>150</v>
      </c>
    </row>
    <row r="9" spans="1:28" ht="27.75" customHeight="1" x14ac:dyDescent="0.25">
      <c r="A9" s="101"/>
      <c r="B9" s="102">
        <v>6</v>
      </c>
      <c r="C9" s="103" t="s">
        <v>1132</v>
      </c>
      <c r="D9" s="102">
        <f>COUNTIFS(datadasar!B:B,$D$3,datadasar!C:C,$C9)</f>
        <v>5</v>
      </c>
      <c r="E9" s="102">
        <f>COUNTIFS(datadasar!B:B,$E$3,datadasar!C:C,$C9)</f>
        <v>2</v>
      </c>
      <c r="F9" s="102">
        <f>COUNTIFS(datadasar!B:B,$F$3,datadasar!C:C,$C9)</f>
        <v>10</v>
      </c>
      <c r="G9" s="102">
        <f>COUNTIFS(datadasar!B:B,$G$3,datadasar!C:C,$C9)</f>
        <v>9</v>
      </c>
      <c r="H9" s="117"/>
      <c r="I9" s="117"/>
    </row>
    <row r="10" spans="1:28" ht="27.75" customHeight="1" x14ac:dyDescent="0.25">
      <c r="A10" s="101"/>
      <c r="B10" s="102">
        <v>7</v>
      </c>
      <c r="C10" s="103" t="s">
        <v>381</v>
      </c>
      <c r="D10" s="102">
        <f>COUNTIFS(datadasar!B:B,$D$3,datadasar!C:C,$C10)</f>
        <v>5</v>
      </c>
      <c r="E10" s="102">
        <f>COUNTIFS(datadasar!B:B,$E$3,datadasar!C:C,$C10)</f>
        <v>0</v>
      </c>
      <c r="F10" s="102">
        <f>COUNTIFS(datadasar!B:B,$F$3,datadasar!C:C,$C10)</f>
        <v>6</v>
      </c>
      <c r="G10" s="102">
        <f>COUNTIFS(datadasar!B:B,$G$3,datadasar!C:C,$C10)</f>
        <v>5</v>
      </c>
      <c r="H10" s="99">
        <f t="shared" ref="H10:H13" si="0">SUM(D10:G10)</f>
        <v>16</v>
      </c>
      <c r="I10" s="99">
        <f t="shared" ref="I10:I14" si="1">H10*3</f>
        <v>48</v>
      </c>
    </row>
    <row r="11" spans="1:28" ht="27.75" customHeight="1" x14ac:dyDescent="0.25">
      <c r="A11" s="101"/>
      <c r="B11" s="102">
        <v>8</v>
      </c>
      <c r="C11" s="103" t="s">
        <v>731</v>
      </c>
      <c r="D11" s="102">
        <f>COUNTIFS(datadasar!B:B,$D$3,datadasar!C:C,$C11)</f>
        <v>18</v>
      </c>
      <c r="E11" s="102">
        <f>COUNTIFS(datadasar!B:B,$E$3,datadasar!C:C,$C11)</f>
        <v>5</v>
      </c>
      <c r="F11" s="102">
        <f>COUNTIFS(datadasar!B:B,$F$3,datadasar!C:C,$C11)</f>
        <v>27</v>
      </c>
      <c r="G11" s="102">
        <f>COUNTIFS(datadasar!B:B,$G$3,datadasar!C:C,$C11)</f>
        <v>24</v>
      </c>
      <c r="H11" s="99">
        <f t="shared" si="0"/>
        <v>74</v>
      </c>
      <c r="I11" s="99">
        <f t="shared" si="1"/>
        <v>222</v>
      </c>
    </row>
    <row r="12" spans="1:28" ht="27.75" customHeight="1" x14ac:dyDescent="0.25">
      <c r="A12" s="101"/>
      <c r="B12" s="102">
        <v>9</v>
      </c>
      <c r="C12" s="103" t="s">
        <v>1320</v>
      </c>
      <c r="D12" s="102">
        <f>COUNTIFS(datadasar!B:B,$D$3,datadasar!C:C,$C12)</f>
        <v>4</v>
      </c>
      <c r="E12" s="102">
        <f>COUNTIFS(datadasar!B:B,$E$3,datadasar!C:C,$C12)</f>
        <v>0</v>
      </c>
      <c r="F12" s="102">
        <f>COUNTIFS(datadasar!B:B,$F$3,datadasar!C:C,$C12)</f>
        <v>6</v>
      </c>
      <c r="G12" s="102">
        <f>COUNTIFS(datadasar!B:B,$G$3,datadasar!C:C,$C12)</f>
        <v>16</v>
      </c>
      <c r="H12" s="99">
        <f t="shared" si="0"/>
        <v>26</v>
      </c>
      <c r="I12" s="99">
        <f t="shared" si="1"/>
        <v>78</v>
      </c>
    </row>
    <row r="13" spans="1:28" ht="27.75" customHeight="1" x14ac:dyDescent="0.25">
      <c r="A13" s="101"/>
      <c r="B13" s="102">
        <v>10</v>
      </c>
      <c r="C13" s="103" t="s">
        <v>1573</v>
      </c>
      <c r="D13" s="102">
        <f>COUNTIFS(datadasar!B:B,$D$3,datadasar!C:C,$C13)</f>
        <v>23</v>
      </c>
      <c r="E13" s="102">
        <f>COUNTIFS(datadasar!B:B,$E$3,datadasar!C:C,$C13)</f>
        <v>9</v>
      </c>
      <c r="F13" s="102">
        <f>COUNTIFS(datadasar!B:B,$F$3,datadasar!C:C,$C13)</f>
        <v>27</v>
      </c>
      <c r="G13" s="102">
        <f>COUNTIFS(datadasar!B:B,$G$3,datadasar!C:C,$C13)</f>
        <v>15</v>
      </c>
      <c r="H13" s="99">
        <f t="shared" si="0"/>
        <v>74</v>
      </c>
      <c r="I13" s="99">
        <f t="shared" si="1"/>
        <v>222</v>
      </c>
    </row>
    <row r="14" spans="1:28" ht="32.25" customHeight="1" x14ac:dyDescent="0.25">
      <c r="A14" s="104"/>
      <c r="B14" s="114" t="s">
        <v>2050</v>
      </c>
      <c r="C14" s="115"/>
      <c r="D14" s="99">
        <f t="shared" ref="D14:H14" si="2">SUM(D4:D13)</f>
        <v>90</v>
      </c>
      <c r="E14" s="99">
        <f t="shared" si="2"/>
        <v>24</v>
      </c>
      <c r="F14" s="99">
        <f t="shared" si="2"/>
        <v>124</v>
      </c>
      <c r="G14" s="99">
        <f t="shared" si="2"/>
        <v>90</v>
      </c>
      <c r="H14" s="99">
        <f t="shared" si="2"/>
        <v>328</v>
      </c>
      <c r="I14" s="99">
        <f t="shared" si="1"/>
        <v>984</v>
      </c>
    </row>
    <row r="15" spans="1:28" ht="12.5" x14ac:dyDescent="0.25">
      <c r="A15" s="104"/>
      <c r="B15" s="104"/>
      <c r="D15" s="104"/>
      <c r="E15" s="104"/>
      <c r="F15" s="104"/>
      <c r="G15" s="104"/>
    </row>
    <row r="16" spans="1:28" ht="12.5" x14ac:dyDescent="0.25">
      <c r="A16" s="104"/>
      <c r="B16" s="104"/>
      <c r="E16" s="104"/>
      <c r="F16" s="104"/>
      <c r="G16" s="104"/>
    </row>
    <row r="17" spans="1:7" ht="12.5" x14ac:dyDescent="0.25">
      <c r="A17" s="104"/>
      <c r="B17" s="104"/>
      <c r="E17" s="104"/>
      <c r="F17" s="104"/>
      <c r="G17" s="104"/>
    </row>
    <row r="18" spans="1:7" ht="12.5" x14ac:dyDescent="0.25">
      <c r="A18" s="104"/>
      <c r="B18" s="104"/>
      <c r="E18" s="104"/>
      <c r="F18" s="104"/>
      <c r="G18" s="104"/>
    </row>
    <row r="19" spans="1:7" ht="12.5" x14ac:dyDescent="0.25">
      <c r="A19" s="104"/>
      <c r="B19" s="104"/>
      <c r="E19" s="104"/>
      <c r="F19" s="104"/>
      <c r="G19" s="104"/>
    </row>
    <row r="20" spans="1:7" ht="12.5" x14ac:dyDescent="0.25">
      <c r="A20" s="104"/>
      <c r="B20" s="104"/>
      <c r="E20" s="104"/>
      <c r="F20" s="104"/>
      <c r="G20" s="104"/>
    </row>
    <row r="21" spans="1:7" ht="12.5" x14ac:dyDescent="0.25">
      <c r="A21" s="104"/>
      <c r="B21" s="104"/>
      <c r="D21" s="104"/>
      <c r="E21" s="104"/>
      <c r="F21" s="104"/>
      <c r="G21" s="104"/>
    </row>
    <row r="22" spans="1:7" ht="12.5" x14ac:dyDescent="0.25">
      <c r="A22" s="104"/>
      <c r="B22" s="104"/>
      <c r="D22" s="104"/>
      <c r="E22" s="104"/>
      <c r="F22" s="104"/>
      <c r="G22" s="104"/>
    </row>
    <row r="23" spans="1:7" ht="12.5" x14ac:dyDescent="0.25">
      <c r="A23" s="104"/>
      <c r="B23" s="104"/>
      <c r="D23" s="104"/>
      <c r="E23" s="104"/>
      <c r="F23" s="104"/>
      <c r="G23" s="104"/>
    </row>
    <row r="24" spans="1:7" ht="12.5" x14ac:dyDescent="0.25">
      <c r="A24" s="104"/>
      <c r="B24" s="104"/>
      <c r="D24" s="104"/>
      <c r="E24" s="104"/>
      <c r="F24" s="104"/>
      <c r="G24" s="104"/>
    </row>
    <row r="25" spans="1:7" ht="12.5" x14ac:dyDescent="0.25">
      <c r="A25" s="104"/>
      <c r="B25" s="104"/>
      <c r="D25" s="104"/>
      <c r="E25" s="104"/>
      <c r="F25" s="104"/>
      <c r="G25" s="104"/>
    </row>
    <row r="26" spans="1:7" ht="12.5" x14ac:dyDescent="0.25">
      <c r="A26" s="104"/>
      <c r="B26" s="104"/>
      <c r="D26" s="104"/>
      <c r="E26" s="104"/>
      <c r="F26" s="104"/>
      <c r="G26" s="104"/>
    </row>
    <row r="27" spans="1:7" ht="12.5" x14ac:dyDescent="0.25">
      <c r="A27" s="104"/>
      <c r="B27" s="104"/>
      <c r="D27" s="104"/>
      <c r="E27" s="104"/>
      <c r="F27" s="104"/>
      <c r="G27" s="104"/>
    </row>
    <row r="28" spans="1:7" ht="12.5" x14ac:dyDescent="0.25">
      <c r="A28" s="104"/>
      <c r="B28" s="104"/>
      <c r="D28" s="104"/>
      <c r="E28" s="104"/>
      <c r="F28" s="104"/>
      <c r="G28" s="104"/>
    </row>
    <row r="29" spans="1:7" ht="12.5" x14ac:dyDescent="0.25">
      <c r="A29" s="104"/>
      <c r="B29" s="104"/>
      <c r="D29" s="104"/>
      <c r="E29" s="104"/>
      <c r="F29" s="104"/>
      <c r="G29" s="104"/>
    </row>
    <row r="30" spans="1:7" ht="12.5" x14ac:dyDescent="0.25">
      <c r="A30" s="104"/>
      <c r="B30" s="104"/>
      <c r="D30" s="104"/>
      <c r="E30" s="104"/>
      <c r="F30" s="104"/>
      <c r="G30" s="104"/>
    </row>
    <row r="31" spans="1:7" ht="12.5" x14ac:dyDescent="0.25">
      <c r="A31" s="104"/>
      <c r="B31" s="104"/>
      <c r="D31" s="104"/>
      <c r="E31" s="104"/>
      <c r="F31" s="104"/>
      <c r="G31" s="104"/>
    </row>
    <row r="32" spans="1:7" ht="12.5" x14ac:dyDescent="0.25">
      <c r="A32" s="104"/>
      <c r="B32" s="104"/>
      <c r="D32" s="104"/>
      <c r="E32" s="104"/>
      <c r="F32" s="104"/>
      <c r="G32" s="104"/>
    </row>
    <row r="33" spans="1:7" ht="12.5" x14ac:dyDescent="0.25">
      <c r="A33" s="104"/>
      <c r="B33" s="104"/>
      <c r="D33" s="104"/>
      <c r="E33" s="104"/>
      <c r="F33" s="104"/>
      <c r="G33" s="104"/>
    </row>
    <row r="34" spans="1:7" ht="12.5" x14ac:dyDescent="0.25">
      <c r="A34" s="104"/>
      <c r="B34" s="104"/>
      <c r="D34" s="104"/>
      <c r="E34" s="104"/>
      <c r="F34" s="104"/>
      <c r="G34" s="104"/>
    </row>
    <row r="35" spans="1:7" ht="12.5" x14ac:dyDescent="0.25">
      <c r="A35" s="104"/>
      <c r="B35" s="104"/>
      <c r="D35" s="104"/>
      <c r="E35" s="104"/>
      <c r="F35" s="104"/>
      <c r="G35" s="104"/>
    </row>
    <row r="36" spans="1:7" ht="12.5" x14ac:dyDescent="0.25">
      <c r="A36" s="104"/>
      <c r="B36" s="104"/>
      <c r="D36" s="104"/>
      <c r="E36" s="104"/>
      <c r="F36" s="104"/>
      <c r="G36" s="104"/>
    </row>
    <row r="37" spans="1:7" ht="12.5" x14ac:dyDescent="0.25">
      <c r="A37" s="104"/>
      <c r="B37" s="104"/>
      <c r="D37" s="104"/>
      <c r="E37" s="104"/>
      <c r="F37" s="104"/>
      <c r="G37" s="104"/>
    </row>
    <row r="38" spans="1:7" ht="12.5" x14ac:dyDescent="0.25">
      <c r="A38" s="104"/>
      <c r="B38" s="104"/>
      <c r="D38" s="104"/>
      <c r="E38" s="104"/>
      <c r="F38" s="104"/>
      <c r="G38" s="104"/>
    </row>
    <row r="39" spans="1:7" ht="12.5" x14ac:dyDescent="0.25">
      <c r="A39" s="104"/>
      <c r="B39" s="104"/>
      <c r="D39" s="104"/>
      <c r="E39" s="104"/>
      <c r="F39" s="104"/>
      <c r="G39" s="104"/>
    </row>
    <row r="40" spans="1:7" ht="12.5" x14ac:dyDescent="0.25">
      <c r="A40" s="104"/>
      <c r="B40" s="104"/>
      <c r="D40" s="104"/>
      <c r="E40" s="104"/>
      <c r="F40" s="104"/>
      <c r="G40" s="104"/>
    </row>
    <row r="41" spans="1:7" ht="12.5" x14ac:dyDescent="0.25">
      <c r="A41" s="104"/>
      <c r="B41" s="104"/>
      <c r="D41" s="104"/>
      <c r="E41" s="104"/>
      <c r="F41" s="104"/>
      <c r="G41" s="104"/>
    </row>
    <row r="42" spans="1:7" ht="12.5" x14ac:dyDescent="0.25">
      <c r="A42" s="104"/>
      <c r="B42" s="104"/>
      <c r="D42" s="104"/>
      <c r="E42" s="104"/>
      <c r="F42" s="104"/>
      <c r="G42" s="104"/>
    </row>
    <row r="43" spans="1:7" ht="12.5" x14ac:dyDescent="0.25">
      <c r="A43" s="104"/>
      <c r="B43" s="104"/>
      <c r="D43" s="104"/>
      <c r="E43" s="104"/>
      <c r="F43" s="104"/>
      <c r="G43" s="104"/>
    </row>
    <row r="44" spans="1:7" ht="12.5" x14ac:dyDescent="0.25">
      <c r="A44" s="104"/>
      <c r="B44" s="104"/>
      <c r="D44" s="104"/>
      <c r="E44" s="104"/>
      <c r="F44" s="104"/>
      <c r="G44" s="104"/>
    </row>
    <row r="45" spans="1:7" ht="12.5" x14ac:dyDescent="0.25">
      <c r="A45" s="104"/>
      <c r="B45" s="104"/>
      <c r="D45" s="104"/>
      <c r="E45" s="104"/>
      <c r="F45" s="104"/>
      <c r="G45" s="104"/>
    </row>
    <row r="46" spans="1:7" ht="12.5" x14ac:dyDescent="0.25">
      <c r="A46" s="104"/>
      <c r="B46" s="104"/>
      <c r="D46" s="104"/>
      <c r="E46" s="104"/>
      <c r="F46" s="104"/>
      <c r="G46" s="104"/>
    </row>
    <row r="47" spans="1:7" ht="12.5" x14ac:dyDescent="0.25">
      <c r="A47" s="104"/>
      <c r="B47" s="104"/>
      <c r="D47" s="104"/>
      <c r="E47" s="104"/>
      <c r="F47" s="104"/>
      <c r="G47" s="104"/>
    </row>
    <row r="48" spans="1:7" ht="12.5" x14ac:dyDescent="0.25">
      <c r="A48" s="104"/>
      <c r="B48" s="104"/>
      <c r="D48" s="104"/>
      <c r="E48" s="104"/>
      <c r="F48" s="104"/>
      <c r="G48" s="104"/>
    </row>
    <row r="49" spans="1:7" ht="12.5" x14ac:dyDescent="0.25">
      <c r="A49" s="104"/>
      <c r="B49" s="104"/>
      <c r="D49" s="104"/>
      <c r="E49" s="104"/>
      <c r="F49" s="104"/>
      <c r="G49" s="104"/>
    </row>
    <row r="50" spans="1:7" ht="12.5" x14ac:dyDescent="0.25">
      <c r="A50" s="104"/>
      <c r="B50" s="104"/>
      <c r="D50" s="104"/>
      <c r="E50" s="104"/>
      <c r="F50" s="104"/>
      <c r="G50" s="104"/>
    </row>
    <row r="51" spans="1:7" ht="12.5" x14ac:dyDescent="0.25">
      <c r="A51" s="104"/>
      <c r="B51" s="104"/>
      <c r="D51" s="104"/>
      <c r="E51" s="104"/>
      <c r="F51" s="104"/>
      <c r="G51" s="104"/>
    </row>
    <row r="52" spans="1:7" ht="12.5" x14ac:dyDescent="0.25">
      <c r="A52" s="104"/>
      <c r="B52" s="104"/>
      <c r="D52" s="104"/>
      <c r="E52" s="104"/>
      <c r="F52" s="104"/>
      <c r="G52" s="104"/>
    </row>
    <row r="53" spans="1:7" ht="12.5" x14ac:dyDescent="0.25">
      <c r="A53" s="104"/>
      <c r="B53" s="104"/>
      <c r="D53" s="104"/>
      <c r="E53" s="104"/>
      <c r="F53" s="104"/>
      <c r="G53" s="104"/>
    </row>
    <row r="54" spans="1:7" ht="12.5" x14ac:dyDescent="0.25">
      <c r="A54" s="104"/>
      <c r="B54" s="104"/>
      <c r="D54" s="104"/>
      <c r="E54" s="104"/>
      <c r="F54" s="104"/>
      <c r="G54" s="104"/>
    </row>
    <row r="55" spans="1:7" ht="12.5" x14ac:dyDescent="0.25">
      <c r="A55" s="104"/>
      <c r="B55" s="104"/>
      <c r="D55" s="104"/>
      <c r="E55" s="104"/>
      <c r="F55" s="104"/>
      <c r="G55" s="104"/>
    </row>
    <row r="56" spans="1:7" ht="12.5" x14ac:dyDescent="0.25">
      <c r="A56" s="104"/>
      <c r="B56" s="104"/>
      <c r="D56" s="104"/>
      <c r="E56" s="104"/>
      <c r="F56" s="104"/>
      <c r="G56" s="104"/>
    </row>
    <row r="57" spans="1:7" ht="12.5" x14ac:dyDescent="0.25">
      <c r="A57" s="104"/>
      <c r="B57" s="104"/>
      <c r="D57" s="104"/>
      <c r="E57" s="104"/>
      <c r="F57" s="104"/>
      <c r="G57" s="104"/>
    </row>
    <row r="58" spans="1:7" ht="12.5" x14ac:dyDescent="0.25">
      <c r="A58" s="104"/>
      <c r="B58" s="104"/>
      <c r="D58" s="104"/>
      <c r="E58" s="104"/>
      <c r="F58" s="104"/>
      <c r="G58" s="104"/>
    </row>
    <row r="59" spans="1:7" ht="12.5" x14ac:dyDescent="0.25">
      <c r="A59" s="104"/>
      <c r="B59" s="104"/>
      <c r="D59" s="104"/>
      <c r="E59" s="104"/>
      <c r="F59" s="104"/>
      <c r="G59" s="104"/>
    </row>
    <row r="60" spans="1:7" ht="12.5" x14ac:dyDescent="0.25">
      <c r="A60" s="104"/>
      <c r="B60" s="104"/>
      <c r="D60" s="104"/>
      <c r="E60" s="104"/>
      <c r="F60" s="104"/>
      <c r="G60" s="104"/>
    </row>
    <row r="61" spans="1:7" ht="12.5" x14ac:dyDescent="0.25">
      <c r="A61" s="104"/>
      <c r="B61" s="104"/>
      <c r="D61" s="104"/>
      <c r="E61" s="104"/>
      <c r="F61" s="104"/>
      <c r="G61" s="104"/>
    </row>
    <row r="62" spans="1:7" ht="12.5" x14ac:dyDescent="0.25">
      <c r="A62" s="104"/>
      <c r="B62" s="104"/>
      <c r="D62" s="104"/>
      <c r="E62" s="104"/>
      <c r="F62" s="104"/>
      <c r="G62" s="104"/>
    </row>
    <row r="63" spans="1:7" ht="12.5" x14ac:dyDescent="0.25">
      <c r="A63" s="104"/>
      <c r="B63" s="104"/>
      <c r="D63" s="104"/>
      <c r="E63" s="104"/>
      <c r="F63" s="104"/>
      <c r="G63" s="104"/>
    </row>
    <row r="64" spans="1:7" ht="12.5" x14ac:dyDescent="0.25">
      <c r="A64" s="104"/>
      <c r="B64" s="104"/>
      <c r="D64" s="104"/>
      <c r="E64" s="104"/>
      <c r="F64" s="104"/>
      <c r="G64" s="104"/>
    </row>
    <row r="65" spans="1:7" ht="12.5" x14ac:dyDescent="0.25">
      <c r="A65" s="104"/>
      <c r="B65" s="104"/>
      <c r="D65" s="104"/>
      <c r="E65" s="104"/>
      <c r="F65" s="104"/>
      <c r="G65" s="104"/>
    </row>
    <row r="66" spans="1:7" ht="12.5" x14ac:dyDescent="0.25">
      <c r="A66" s="104"/>
      <c r="B66" s="104"/>
      <c r="D66" s="104"/>
      <c r="E66" s="104"/>
      <c r="F66" s="104"/>
      <c r="G66" s="104"/>
    </row>
    <row r="67" spans="1:7" ht="12.5" x14ac:dyDescent="0.25">
      <c r="A67" s="104"/>
      <c r="B67" s="104"/>
      <c r="D67" s="104"/>
      <c r="E67" s="104"/>
      <c r="F67" s="104"/>
      <c r="G67" s="104"/>
    </row>
    <row r="68" spans="1:7" ht="12.5" x14ac:dyDescent="0.25">
      <c r="A68" s="104"/>
      <c r="B68" s="104"/>
      <c r="D68" s="104"/>
      <c r="E68" s="104"/>
      <c r="F68" s="104"/>
      <c r="G68" s="104"/>
    </row>
    <row r="69" spans="1:7" ht="12.5" x14ac:dyDescent="0.25">
      <c r="A69" s="104"/>
      <c r="B69" s="104"/>
      <c r="D69" s="104"/>
      <c r="E69" s="104"/>
      <c r="F69" s="104"/>
      <c r="G69" s="104"/>
    </row>
    <row r="70" spans="1:7" ht="12.5" x14ac:dyDescent="0.25">
      <c r="A70" s="104"/>
      <c r="B70" s="104"/>
      <c r="D70" s="104"/>
      <c r="E70" s="104"/>
      <c r="F70" s="104"/>
      <c r="G70" s="104"/>
    </row>
    <row r="71" spans="1:7" ht="12.5" x14ac:dyDescent="0.25">
      <c r="A71" s="104"/>
      <c r="B71" s="104"/>
      <c r="D71" s="104"/>
      <c r="E71" s="104"/>
      <c r="F71" s="104"/>
      <c r="G71" s="104"/>
    </row>
    <row r="72" spans="1:7" ht="12.5" x14ac:dyDescent="0.25">
      <c r="A72" s="104"/>
      <c r="B72" s="104"/>
      <c r="D72" s="104"/>
      <c r="E72" s="104"/>
      <c r="F72" s="104"/>
      <c r="G72" s="104"/>
    </row>
    <row r="73" spans="1:7" ht="12.5" x14ac:dyDescent="0.25">
      <c r="A73" s="104"/>
      <c r="B73" s="104"/>
      <c r="D73" s="104"/>
      <c r="E73" s="104"/>
      <c r="F73" s="104"/>
      <c r="G73" s="104"/>
    </row>
    <row r="74" spans="1:7" ht="12.5" x14ac:dyDescent="0.25">
      <c r="A74" s="104"/>
      <c r="B74" s="104"/>
      <c r="D74" s="104"/>
      <c r="E74" s="104"/>
      <c r="F74" s="104"/>
      <c r="G74" s="104"/>
    </row>
    <row r="75" spans="1:7" ht="12.5" x14ac:dyDescent="0.25">
      <c r="A75" s="104"/>
      <c r="B75" s="104"/>
      <c r="D75" s="104"/>
      <c r="E75" s="104"/>
      <c r="F75" s="104"/>
      <c r="G75" s="104"/>
    </row>
    <row r="76" spans="1:7" ht="12.5" x14ac:dyDescent="0.25">
      <c r="A76" s="104"/>
      <c r="B76" s="104"/>
      <c r="D76" s="104"/>
      <c r="E76" s="104"/>
      <c r="F76" s="104"/>
      <c r="G76" s="104"/>
    </row>
    <row r="77" spans="1:7" ht="12.5" x14ac:dyDescent="0.25">
      <c r="A77" s="104"/>
      <c r="B77" s="104"/>
      <c r="D77" s="104"/>
      <c r="E77" s="104"/>
      <c r="F77" s="104"/>
      <c r="G77" s="104"/>
    </row>
    <row r="78" spans="1:7" ht="12.5" x14ac:dyDescent="0.25">
      <c r="A78" s="104"/>
      <c r="B78" s="104"/>
      <c r="D78" s="104"/>
      <c r="E78" s="104"/>
      <c r="F78" s="104"/>
      <c r="G78" s="104"/>
    </row>
    <row r="79" spans="1:7" ht="12.5" x14ac:dyDescent="0.25">
      <c r="A79" s="104"/>
      <c r="B79" s="104"/>
      <c r="D79" s="104"/>
      <c r="E79" s="104"/>
      <c r="F79" s="104"/>
      <c r="G79" s="104"/>
    </row>
    <row r="80" spans="1:7" ht="12.5" x14ac:dyDescent="0.25">
      <c r="A80" s="104"/>
      <c r="B80" s="104"/>
      <c r="D80" s="104"/>
      <c r="E80" s="104"/>
      <c r="F80" s="104"/>
      <c r="G80" s="104"/>
    </row>
    <row r="81" spans="1:7" ht="12.5" x14ac:dyDescent="0.25">
      <c r="A81" s="104"/>
      <c r="B81" s="104"/>
      <c r="D81" s="104"/>
      <c r="E81" s="104"/>
      <c r="F81" s="104"/>
      <c r="G81" s="104"/>
    </row>
    <row r="82" spans="1:7" ht="12.5" x14ac:dyDescent="0.25">
      <c r="A82" s="104"/>
      <c r="B82" s="104"/>
      <c r="D82" s="104"/>
      <c r="E82" s="104"/>
      <c r="F82" s="104"/>
      <c r="G82" s="104"/>
    </row>
    <row r="83" spans="1:7" ht="12.5" x14ac:dyDescent="0.25">
      <c r="A83" s="104"/>
      <c r="B83" s="104"/>
      <c r="D83" s="104"/>
      <c r="E83" s="104"/>
      <c r="F83" s="104"/>
      <c r="G83" s="104"/>
    </row>
    <row r="84" spans="1:7" ht="12.5" x14ac:dyDescent="0.25">
      <c r="A84" s="104"/>
      <c r="B84" s="104"/>
      <c r="D84" s="104"/>
      <c r="E84" s="104"/>
      <c r="F84" s="104"/>
      <c r="G84" s="104"/>
    </row>
    <row r="85" spans="1:7" ht="12.5" x14ac:dyDescent="0.25">
      <c r="A85" s="104"/>
      <c r="B85" s="104"/>
      <c r="D85" s="104"/>
      <c r="E85" s="104"/>
      <c r="F85" s="104"/>
      <c r="G85" s="104"/>
    </row>
    <row r="86" spans="1:7" ht="12.5" x14ac:dyDescent="0.25">
      <c r="A86" s="104"/>
      <c r="B86" s="104"/>
      <c r="D86" s="104"/>
      <c r="E86" s="104"/>
      <c r="F86" s="104"/>
      <c r="G86" s="104"/>
    </row>
    <row r="87" spans="1:7" ht="12.5" x14ac:dyDescent="0.25">
      <c r="A87" s="104"/>
      <c r="B87" s="104"/>
      <c r="D87" s="104"/>
      <c r="E87" s="104"/>
      <c r="F87" s="104"/>
      <c r="G87" s="104"/>
    </row>
    <row r="88" spans="1:7" ht="12.5" x14ac:dyDescent="0.25">
      <c r="A88" s="104"/>
      <c r="B88" s="104"/>
      <c r="D88" s="104"/>
      <c r="E88" s="104"/>
      <c r="F88" s="104"/>
      <c r="G88" s="104"/>
    </row>
    <row r="89" spans="1:7" ht="12.5" x14ac:dyDescent="0.25">
      <c r="A89" s="104"/>
      <c r="B89" s="104"/>
      <c r="D89" s="104"/>
      <c r="E89" s="104"/>
      <c r="F89" s="104"/>
      <c r="G89" s="104"/>
    </row>
    <row r="90" spans="1:7" ht="12.5" x14ac:dyDescent="0.25">
      <c r="A90" s="104"/>
      <c r="B90" s="104"/>
      <c r="D90" s="104"/>
      <c r="E90" s="104"/>
      <c r="F90" s="104"/>
      <c r="G90" s="104"/>
    </row>
    <row r="91" spans="1:7" ht="12.5" x14ac:dyDescent="0.25">
      <c r="A91" s="104"/>
      <c r="B91" s="104"/>
      <c r="D91" s="104"/>
      <c r="E91" s="104"/>
      <c r="F91" s="104"/>
      <c r="G91" s="104"/>
    </row>
    <row r="92" spans="1:7" ht="12.5" x14ac:dyDescent="0.25">
      <c r="A92" s="104"/>
      <c r="B92" s="104"/>
      <c r="D92" s="104"/>
      <c r="E92" s="104"/>
      <c r="F92" s="104"/>
      <c r="G92" s="104"/>
    </row>
    <row r="93" spans="1:7" ht="12.5" x14ac:dyDescent="0.25">
      <c r="A93" s="104"/>
      <c r="B93" s="104"/>
      <c r="D93" s="104"/>
      <c r="E93" s="104"/>
      <c r="F93" s="104"/>
      <c r="G93" s="104"/>
    </row>
    <row r="94" spans="1:7" ht="12.5" x14ac:dyDescent="0.25">
      <c r="A94" s="104"/>
      <c r="B94" s="104"/>
      <c r="D94" s="104"/>
      <c r="E94" s="104"/>
      <c r="F94" s="104"/>
      <c r="G94" s="104"/>
    </row>
    <row r="95" spans="1:7" ht="12.5" x14ac:dyDescent="0.25">
      <c r="A95" s="104"/>
      <c r="B95" s="104"/>
      <c r="D95" s="104"/>
      <c r="E95" s="104"/>
      <c r="F95" s="104"/>
      <c r="G95" s="104"/>
    </row>
    <row r="96" spans="1:7" ht="12.5" x14ac:dyDescent="0.25">
      <c r="A96" s="104"/>
      <c r="B96" s="104"/>
      <c r="D96" s="104"/>
      <c r="E96" s="104"/>
      <c r="F96" s="104"/>
      <c r="G96" s="104"/>
    </row>
    <row r="97" spans="1:7" ht="12.5" x14ac:dyDescent="0.25">
      <c r="A97" s="104"/>
      <c r="B97" s="104"/>
      <c r="D97" s="104"/>
      <c r="E97" s="104"/>
      <c r="F97" s="104"/>
      <c r="G97" s="104"/>
    </row>
    <row r="98" spans="1:7" ht="12.5" x14ac:dyDescent="0.25">
      <c r="A98" s="104"/>
      <c r="B98" s="104"/>
      <c r="D98" s="104"/>
      <c r="E98" s="104"/>
      <c r="F98" s="104"/>
      <c r="G98" s="104"/>
    </row>
    <row r="99" spans="1:7" ht="12.5" x14ac:dyDescent="0.25">
      <c r="A99" s="104"/>
      <c r="B99" s="104"/>
      <c r="D99" s="104"/>
      <c r="E99" s="104"/>
      <c r="F99" s="104"/>
      <c r="G99" s="104"/>
    </row>
    <row r="100" spans="1:7" ht="12.5" x14ac:dyDescent="0.25">
      <c r="A100" s="104"/>
      <c r="B100" s="104"/>
      <c r="D100" s="104"/>
      <c r="E100" s="104"/>
      <c r="F100" s="104"/>
      <c r="G100" s="104"/>
    </row>
    <row r="101" spans="1:7" ht="12.5" x14ac:dyDescent="0.25">
      <c r="A101" s="104"/>
      <c r="B101" s="104"/>
      <c r="D101" s="104"/>
      <c r="E101" s="104"/>
      <c r="F101" s="104"/>
      <c r="G101" s="104"/>
    </row>
    <row r="102" spans="1:7" ht="12.5" x14ac:dyDescent="0.25">
      <c r="A102" s="104"/>
      <c r="B102" s="104"/>
      <c r="D102" s="104"/>
      <c r="E102" s="104"/>
      <c r="F102" s="104"/>
      <c r="G102" s="104"/>
    </row>
    <row r="103" spans="1:7" ht="12.5" x14ac:dyDescent="0.25">
      <c r="A103" s="104"/>
      <c r="B103" s="104"/>
      <c r="D103" s="104"/>
      <c r="E103" s="104"/>
      <c r="F103" s="104"/>
      <c r="G103" s="104"/>
    </row>
    <row r="104" spans="1:7" ht="12.5" x14ac:dyDescent="0.25">
      <c r="A104" s="104"/>
      <c r="B104" s="104"/>
      <c r="D104" s="104"/>
      <c r="E104" s="104"/>
      <c r="F104" s="104"/>
      <c r="G104" s="104"/>
    </row>
    <row r="105" spans="1:7" ht="12.5" x14ac:dyDescent="0.25">
      <c r="A105" s="104"/>
      <c r="B105" s="104"/>
      <c r="D105" s="104"/>
      <c r="E105" s="104"/>
      <c r="F105" s="104"/>
      <c r="G105" s="104"/>
    </row>
    <row r="106" spans="1:7" ht="12.5" x14ac:dyDescent="0.25">
      <c r="A106" s="104"/>
      <c r="B106" s="104"/>
      <c r="D106" s="104"/>
      <c r="E106" s="104"/>
      <c r="F106" s="104"/>
      <c r="G106" s="104"/>
    </row>
    <row r="107" spans="1:7" ht="12.5" x14ac:dyDescent="0.25">
      <c r="A107" s="104"/>
      <c r="B107" s="104"/>
      <c r="D107" s="104"/>
      <c r="E107" s="104"/>
      <c r="F107" s="104"/>
      <c r="G107" s="104"/>
    </row>
    <row r="108" spans="1:7" ht="12.5" x14ac:dyDescent="0.25">
      <c r="A108" s="104"/>
      <c r="B108" s="104"/>
      <c r="D108" s="104"/>
      <c r="E108" s="104"/>
      <c r="F108" s="104"/>
      <c r="G108" s="104"/>
    </row>
    <row r="109" spans="1:7" ht="12.5" x14ac:dyDescent="0.25">
      <c r="A109" s="104"/>
      <c r="B109" s="104"/>
      <c r="D109" s="104"/>
      <c r="E109" s="104"/>
      <c r="F109" s="104"/>
      <c r="G109" s="104"/>
    </row>
    <row r="110" spans="1:7" ht="12.5" x14ac:dyDescent="0.25">
      <c r="A110" s="104"/>
      <c r="B110" s="104"/>
      <c r="D110" s="104"/>
      <c r="E110" s="104"/>
      <c r="F110" s="104"/>
      <c r="G110" s="104"/>
    </row>
    <row r="111" spans="1:7" ht="12.5" x14ac:dyDescent="0.25">
      <c r="A111" s="104"/>
      <c r="B111" s="104"/>
      <c r="D111" s="104"/>
      <c r="E111" s="104"/>
      <c r="F111" s="104"/>
      <c r="G111" s="104"/>
    </row>
    <row r="112" spans="1:7" ht="12.5" x14ac:dyDescent="0.25">
      <c r="A112" s="104"/>
      <c r="B112" s="104"/>
      <c r="D112" s="104"/>
      <c r="E112" s="104"/>
      <c r="F112" s="104"/>
      <c r="G112" s="104"/>
    </row>
    <row r="113" spans="1:7" ht="12.5" x14ac:dyDescent="0.25">
      <c r="A113" s="104"/>
      <c r="B113" s="104"/>
      <c r="D113" s="104"/>
      <c r="E113" s="104"/>
      <c r="F113" s="104"/>
      <c r="G113" s="104"/>
    </row>
    <row r="114" spans="1:7" ht="12.5" x14ac:dyDescent="0.25">
      <c r="A114" s="104"/>
      <c r="B114" s="104"/>
      <c r="D114" s="104"/>
      <c r="E114" s="104"/>
      <c r="F114" s="104"/>
      <c r="G114" s="104"/>
    </row>
    <row r="115" spans="1:7" ht="12.5" x14ac:dyDescent="0.25">
      <c r="A115" s="104"/>
      <c r="B115" s="104"/>
      <c r="D115" s="104"/>
      <c r="E115" s="104"/>
      <c r="F115" s="104"/>
      <c r="G115" s="104"/>
    </row>
    <row r="116" spans="1:7" ht="12.5" x14ac:dyDescent="0.25">
      <c r="A116" s="104"/>
      <c r="B116" s="104"/>
      <c r="D116" s="104"/>
      <c r="E116" s="104"/>
      <c r="F116" s="104"/>
      <c r="G116" s="104"/>
    </row>
    <row r="117" spans="1:7" ht="12.5" x14ac:dyDescent="0.25">
      <c r="A117" s="104"/>
      <c r="B117" s="104"/>
      <c r="D117" s="104"/>
      <c r="E117" s="104"/>
      <c r="F117" s="104"/>
      <c r="G117" s="104"/>
    </row>
    <row r="118" spans="1:7" ht="12.5" x14ac:dyDescent="0.25">
      <c r="A118" s="104"/>
      <c r="B118" s="104"/>
      <c r="D118" s="104"/>
      <c r="E118" s="104"/>
      <c r="F118" s="104"/>
      <c r="G118" s="104"/>
    </row>
    <row r="119" spans="1:7" ht="12.5" x14ac:dyDescent="0.25">
      <c r="A119" s="104"/>
      <c r="B119" s="104"/>
      <c r="D119" s="104"/>
      <c r="E119" s="104"/>
      <c r="F119" s="104"/>
      <c r="G119" s="104"/>
    </row>
    <row r="120" spans="1:7" ht="12.5" x14ac:dyDescent="0.25">
      <c r="A120" s="104"/>
      <c r="B120" s="104"/>
      <c r="D120" s="104"/>
      <c r="E120" s="104"/>
      <c r="F120" s="104"/>
      <c r="G120" s="104"/>
    </row>
    <row r="121" spans="1:7" ht="12.5" x14ac:dyDescent="0.25">
      <c r="A121" s="104"/>
      <c r="B121" s="104"/>
      <c r="D121" s="104"/>
      <c r="E121" s="104"/>
      <c r="F121" s="104"/>
      <c r="G121" s="104"/>
    </row>
    <row r="122" spans="1:7" ht="12.5" x14ac:dyDescent="0.25">
      <c r="A122" s="104"/>
      <c r="B122" s="104"/>
      <c r="D122" s="104"/>
      <c r="E122" s="104"/>
      <c r="F122" s="104"/>
      <c r="G122" s="104"/>
    </row>
    <row r="123" spans="1:7" ht="12.5" x14ac:dyDescent="0.25">
      <c r="A123" s="104"/>
      <c r="B123" s="104"/>
      <c r="D123" s="104"/>
      <c r="E123" s="104"/>
      <c r="F123" s="104"/>
      <c r="G123" s="104"/>
    </row>
    <row r="124" spans="1:7" ht="12.5" x14ac:dyDescent="0.25">
      <c r="A124" s="104"/>
      <c r="B124" s="104"/>
      <c r="D124" s="104"/>
      <c r="E124" s="104"/>
      <c r="F124" s="104"/>
      <c r="G124" s="104"/>
    </row>
    <row r="125" spans="1:7" ht="12.5" x14ac:dyDescent="0.25">
      <c r="A125" s="104"/>
      <c r="B125" s="104"/>
      <c r="D125" s="104"/>
      <c r="E125" s="104"/>
      <c r="F125" s="104"/>
      <c r="G125" s="104"/>
    </row>
    <row r="126" spans="1:7" ht="12.5" x14ac:dyDescent="0.25">
      <c r="A126" s="104"/>
      <c r="B126" s="104"/>
      <c r="D126" s="104"/>
      <c r="E126" s="104"/>
      <c r="F126" s="104"/>
      <c r="G126" s="104"/>
    </row>
    <row r="127" spans="1:7" ht="12.5" x14ac:dyDescent="0.25">
      <c r="A127" s="104"/>
      <c r="B127" s="104"/>
      <c r="D127" s="104"/>
      <c r="E127" s="104"/>
      <c r="F127" s="104"/>
      <c r="G127" s="104"/>
    </row>
    <row r="128" spans="1:7" ht="12.5" x14ac:dyDescent="0.25">
      <c r="A128" s="104"/>
      <c r="B128" s="104"/>
      <c r="D128" s="104"/>
      <c r="E128" s="104"/>
      <c r="F128" s="104"/>
      <c r="G128" s="104"/>
    </row>
    <row r="129" spans="1:7" ht="12.5" x14ac:dyDescent="0.25">
      <c r="A129" s="104"/>
      <c r="B129" s="104"/>
      <c r="D129" s="104"/>
      <c r="E129" s="104"/>
      <c r="F129" s="104"/>
      <c r="G129" s="104"/>
    </row>
    <row r="130" spans="1:7" ht="12.5" x14ac:dyDescent="0.25">
      <c r="A130" s="104"/>
      <c r="B130" s="104"/>
      <c r="D130" s="104"/>
      <c r="E130" s="104"/>
      <c r="F130" s="104"/>
      <c r="G130" s="104"/>
    </row>
    <row r="131" spans="1:7" ht="12.5" x14ac:dyDescent="0.25">
      <c r="A131" s="104"/>
      <c r="B131" s="104"/>
      <c r="D131" s="104"/>
      <c r="E131" s="104"/>
      <c r="F131" s="104"/>
      <c r="G131" s="104"/>
    </row>
    <row r="132" spans="1:7" ht="12.5" x14ac:dyDescent="0.25">
      <c r="A132" s="104"/>
      <c r="B132" s="104"/>
      <c r="D132" s="104"/>
      <c r="E132" s="104"/>
      <c r="F132" s="104"/>
      <c r="G132" s="104"/>
    </row>
    <row r="133" spans="1:7" ht="12.5" x14ac:dyDescent="0.25">
      <c r="A133" s="104"/>
      <c r="B133" s="104"/>
      <c r="D133" s="104"/>
      <c r="E133" s="104"/>
      <c r="F133" s="104"/>
      <c r="G133" s="104"/>
    </row>
    <row r="134" spans="1:7" ht="12.5" x14ac:dyDescent="0.25">
      <c r="A134" s="104"/>
      <c r="B134" s="104"/>
      <c r="D134" s="104"/>
      <c r="E134" s="104"/>
      <c r="F134" s="104"/>
      <c r="G134" s="104"/>
    </row>
    <row r="135" spans="1:7" ht="12.5" x14ac:dyDescent="0.25">
      <c r="A135" s="104"/>
      <c r="B135" s="104"/>
      <c r="D135" s="104"/>
      <c r="E135" s="104"/>
      <c r="F135" s="104"/>
      <c r="G135" s="104"/>
    </row>
    <row r="136" spans="1:7" ht="12.5" x14ac:dyDescent="0.25">
      <c r="A136" s="104"/>
      <c r="B136" s="104"/>
      <c r="D136" s="104"/>
      <c r="E136" s="104"/>
      <c r="F136" s="104"/>
      <c r="G136" s="104"/>
    </row>
    <row r="137" spans="1:7" ht="12.5" x14ac:dyDescent="0.25">
      <c r="A137" s="104"/>
      <c r="B137" s="104"/>
      <c r="D137" s="104"/>
      <c r="E137" s="104"/>
      <c r="F137" s="104"/>
      <c r="G137" s="104"/>
    </row>
    <row r="138" spans="1:7" ht="12.5" x14ac:dyDescent="0.25">
      <c r="A138" s="104"/>
      <c r="B138" s="104"/>
      <c r="D138" s="104"/>
      <c r="E138" s="104"/>
      <c r="F138" s="104"/>
      <c r="G138" s="104"/>
    </row>
    <row r="139" spans="1:7" ht="12.5" x14ac:dyDescent="0.25">
      <c r="A139" s="104"/>
      <c r="B139" s="104"/>
      <c r="D139" s="104"/>
      <c r="E139" s="104"/>
      <c r="F139" s="104"/>
      <c r="G139" s="104"/>
    </row>
    <row r="140" spans="1:7" ht="12.5" x14ac:dyDescent="0.25">
      <c r="A140" s="104"/>
      <c r="B140" s="104"/>
      <c r="D140" s="104"/>
      <c r="E140" s="104"/>
      <c r="F140" s="104"/>
      <c r="G140" s="104"/>
    </row>
    <row r="141" spans="1:7" ht="12.5" x14ac:dyDescent="0.25">
      <c r="A141" s="104"/>
      <c r="B141" s="104"/>
      <c r="D141" s="104"/>
      <c r="E141" s="104"/>
      <c r="F141" s="104"/>
      <c r="G141" s="104"/>
    </row>
    <row r="142" spans="1:7" ht="12.5" x14ac:dyDescent="0.25">
      <c r="A142" s="104"/>
      <c r="B142" s="104"/>
      <c r="D142" s="104"/>
      <c r="E142" s="104"/>
      <c r="F142" s="104"/>
      <c r="G142" s="104"/>
    </row>
    <row r="143" spans="1:7" ht="12.5" x14ac:dyDescent="0.25">
      <c r="A143" s="104"/>
      <c r="B143" s="104"/>
      <c r="D143" s="104"/>
      <c r="E143" s="104"/>
      <c r="F143" s="104"/>
      <c r="G143" s="104"/>
    </row>
    <row r="144" spans="1:7" ht="12.5" x14ac:dyDescent="0.25">
      <c r="A144" s="104"/>
      <c r="B144" s="104"/>
      <c r="D144" s="104"/>
      <c r="E144" s="104"/>
      <c r="F144" s="104"/>
      <c r="G144" s="104"/>
    </row>
    <row r="145" spans="1:7" ht="12.5" x14ac:dyDescent="0.25">
      <c r="A145" s="104"/>
      <c r="B145" s="104"/>
      <c r="D145" s="104"/>
      <c r="E145" s="104"/>
      <c r="F145" s="104"/>
      <c r="G145" s="104"/>
    </row>
    <row r="146" spans="1:7" ht="12.5" x14ac:dyDescent="0.25">
      <c r="A146" s="104"/>
      <c r="B146" s="104"/>
      <c r="D146" s="104"/>
      <c r="E146" s="104"/>
      <c r="F146" s="104"/>
      <c r="G146" s="104"/>
    </row>
    <row r="147" spans="1:7" ht="12.5" x14ac:dyDescent="0.25">
      <c r="A147" s="104"/>
      <c r="B147" s="104"/>
      <c r="D147" s="104"/>
      <c r="E147" s="104"/>
      <c r="F147" s="104"/>
      <c r="G147" s="104"/>
    </row>
    <row r="148" spans="1:7" ht="12.5" x14ac:dyDescent="0.25">
      <c r="A148" s="104"/>
      <c r="B148" s="104"/>
      <c r="D148" s="104"/>
      <c r="E148" s="104"/>
      <c r="F148" s="104"/>
      <c r="G148" s="104"/>
    </row>
    <row r="149" spans="1:7" ht="12.5" x14ac:dyDescent="0.25">
      <c r="A149" s="104"/>
      <c r="B149" s="104"/>
      <c r="D149" s="104"/>
      <c r="E149" s="104"/>
      <c r="F149" s="104"/>
      <c r="G149" s="104"/>
    </row>
    <row r="150" spans="1:7" ht="12.5" x14ac:dyDescent="0.25">
      <c r="A150" s="104"/>
      <c r="B150" s="104"/>
      <c r="D150" s="104"/>
      <c r="E150" s="104"/>
      <c r="F150" s="104"/>
      <c r="G150" s="104"/>
    </row>
    <row r="151" spans="1:7" ht="12.5" x14ac:dyDescent="0.25">
      <c r="A151" s="104"/>
      <c r="B151" s="104"/>
      <c r="D151" s="104"/>
      <c r="E151" s="104"/>
      <c r="F151" s="104"/>
      <c r="G151" s="104"/>
    </row>
    <row r="152" spans="1:7" ht="12.5" x14ac:dyDescent="0.25">
      <c r="A152" s="104"/>
      <c r="B152" s="104"/>
      <c r="D152" s="104"/>
      <c r="E152" s="104"/>
      <c r="F152" s="104"/>
      <c r="G152" s="104"/>
    </row>
    <row r="153" spans="1:7" ht="12.5" x14ac:dyDescent="0.25">
      <c r="A153" s="104"/>
      <c r="B153" s="104"/>
      <c r="D153" s="104"/>
      <c r="E153" s="104"/>
      <c r="F153" s="104"/>
      <c r="G153" s="104"/>
    </row>
    <row r="154" spans="1:7" ht="12.5" x14ac:dyDescent="0.25">
      <c r="A154" s="104"/>
      <c r="B154" s="104"/>
      <c r="D154" s="104"/>
      <c r="E154" s="104"/>
      <c r="F154" s="104"/>
      <c r="G154" s="104"/>
    </row>
    <row r="155" spans="1:7" ht="12.5" x14ac:dyDescent="0.25">
      <c r="A155" s="104"/>
      <c r="B155" s="104"/>
      <c r="D155" s="104"/>
      <c r="E155" s="104"/>
      <c r="F155" s="104"/>
      <c r="G155" s="104"/>
    </row>
    <row r="156" spans="1:7" ht="12.5" x14ac:dyDescent="0.25">
      <c r="A156" s="104"/>
      <c r="B156" s="104"/>
      <c r="D156" s="104"/>
      <c r="E156" s="104"/>
      <c r="F156" s="104"/>
      <c r="G156" s="104"/>
    </row>
    <row r="157" spans="1:7" ht="12.5" x14ac:dyDescent="0.25">
      <c r="A157" s="104"/>
      <c r="B157" s="104"/>
      <c r="D157" s="104"/>
      <c r="E157" s="104"/>
      <c r="F157" s="104"/>
      <c r="G157" s="104"/>
    </row>
    <row r="158" spans="1:7" ht="12.5" x14ac:dyDescent="0.25">
      <c r="A158" s="104"/>
      <c r="B158" s="104"/>
      <c r="D158" s="104"/>
      <c r="E158" s="104"/>
      <c r="F158" s="104"/>
      <c r="G158" s="104"/>
    </row>
    <row r="159" spans="1:7" ht="12.5" x14ac:dyDescent="0.25">
      <c r="A159" s="104"/>
      <c r="B159" s="104"/>
      <c r="D159" s="104"/>
      <c r="E159" s="104"/>
      <c r="F159" s="104"/>
      <c r="G159" s="104"/>
    </row>
    <row r="160" spans="1:7" ht="12.5" x14ac:dyDescent="0.25">
      <c r="A160" s="104"/>
      <c r="B160" s="104"/>
      <c r="D160" s="104"/>
      <c r="E160" s="104"/>
      <c r="F160" s="104"/>
      <c r="G160" s="104"/>
    </row>
    <row r="161" spans="1:7" ht="12.5" x14ac:dyDescent="0.25">
      <c r="A161" s="104"/>
      <c r="B161" s="104"/>
      <c r="D161" s="104"/>
      <c r="E161" s="104"/>
      <c r="F161" s="104"/>
      <c r="G161" s="104"/>
    </row>
    <row r="162" spans="1:7" ht="12.5" x14ac:dyDescent="0.25">
      <c r="A162" s="104"/>
      <c r="B162" s="104"/>
      <c r="D162" s="104"/>
      <c r="E162" s="104"/>
      <c r="F162" s="104"/>
      <c r="G162" s="104"/>
    </row>
    <row r="163" spans="1:7" ht="12.5" x14ac:dyDescent="0.25">
      <c r="A163" s="104"/>
      <c r="B163" s="104"/>
      <c r="D163" s="104"/>
      <c r="E163" s="104"/>
      <c r="F163" s="104"/>
      <c r="G163" s="104"/>
    </row>
    <row r="164" spans="1:7" ht="12.5" x14ac:dyDescent="0.25">
      <c r="A164" s="104"/>
      <c r="B164" s="104"/>
      <c r="D164" s="104"/>
      <c r="E164" s="104"/>
      <c r="F164" s="104"/>
      <c r="G164" s="104"/>
    </row>
    <row r="165" spans="1:7" ht="12.5" x14ac:dyDescent="0.25">
      <c r="A165" s="104"/>
      <c r="B165" s="104"/>
      <c r="D165" s="104"/>
      <c r="E165" s="104"/>
      <c r="F165" s="104"/>
      <c r="G165" s="104"/>
    </row>
    <row r="166" spans="1:7" ht="12.5" x14ac:dyDescent="0.25">
      <c r="A166" s="104"/>
      <c r="B166" s="104"/>
      <c r="D166" s="104"/>
      <c r="E166" s="104"/>
      <c r="F166" s="104"/>
      <c r="G166" s="104"/>
    </row>
    <row r="167" spans="1:7" ht="12.5" x14ac:dyDescent="0.25">
      <c r="A167" s="104"/>
      <c r="B167" s="104"/>
      <c r="D167" s="104"/>
      <c r="E167" s="104"/>
      <c r="F167" s="104"/>
      <c r="G167" s="104"/>
    </row>
    <row r="168" spans="1:7" ht="12.5" x14ac:dyDescent="0.25">
      <c r="A168" s="104"/>
      <c r="B168" s="104"/>
      <c r="D168" s="104"/>
      <c r="E168" s="104"/>
      <c r="F168" s="104"/>
      <c r="G168" s="104"/>
    </row>
    <row r="169" spans="1:7" ht="12.5" x14ac:dyDescent="0.25">
      <c r="A169" s="104"/>
      <c r="B169" s="104"/>
      <c r="D169" s="104"/>
      <c r="E169" s="104"/>
      <c r="F169" s="104"/>
      <c r="G169" s="104"/>
    </row>
    <row r="170" spans="1:7" ht="12.5" x14ac:dyDescent="0.25">
      <c r="A170" s="104"/>
      <c r="B170" s="104"/>
      <c r="D170" s="104"/>
      <c r="E170" s="104"/>
      <c r="F170" s="104"/>
      <c r="G170" s="104"/>
    </row>
    <row r="171" spans="1:7" ht="12.5" x14ac:dyDescent="0.25">
      <c r="A171" s="104"/>
      <c r="B171" s="104"/>
      <c r="D171" s="104"/>
      <c r="E171" s="104"/>
      <c r="F171" s="104"/>
      <c r="G171" s="104"/>
    </row>
    <row r="172" spans="1:7" ht="12.5" x14ac:dyDescent="0.25">
      <c r="A172" s="104"/>
      <c r="B172" s="104"/>
      <c r="D172" s="104"/>
      <c r="E172" s="104"/>
      <c r="F172" s="104"/>
      <c r="G172" s="104"/>
    </row>
    <row r="173" spans="1:7" ht="12.5" x14ac:dyDescent="0.25">
      <c r="A173" s="104"/>
      <c r="B173" s="104"/>
      <c r="D173" s="104"/>
      <c r="E173" s="104"/>
      <c r="F173" s="104"/>
      <c r="G173" s="104"/>
    </row>
    <row r="174" spans="1:7" ht="12.5" x14ac:dyDescent="0.25">
      <c r="A174" s="104"/>
      <c r="B174" s="104"/>
      <c r="D174" s="104"/>
      <c r="E174" s="104"/>
      <c r="F174" s="104"/>
      <c r="G174" s="104"/>
    </row>
    <row r="175" spans="1:7" ht="12.5" x14ac:dyDescent="0.25">
      <c r="A175" s="104"/>
      <c r="B175" s="104"/>
      <c r="D175" s="104"/>
      <c r="E175" s="104"/>
      <c r="F175" s="104"/>
      <c r="G175" s="104"/>
    </row>
    <row r="176" spans="1:7" ht="12.5" x14ac:dyDescent="0.25">
      <c r="A176" s="104"/>
      <c r="B176" s="104"/>
      <c r="D176" s="104"/>
      <c r="E176" s="104"/>
      <c r="F176" s="104"/>
      <c r="G176" s="104"/>
    </row>
    <row r="177" spans="1:7" ht="12.5" x14ac:dyDescent="0.25">
      <c r="A177" s="104"/>
      <c r="B177" s="104"/>
      <c r="D177" s="104"/>
      <c r="E177" s="104"/>
      <c r="F177" s="104"/>
      <c r="G177" s="104"/>
    </row>
    <row r="178" spans="1:7" ht="12.5" x14ac:dyDescent="0.25">
      <c r="A178" s="104"/>
      <c r="B178" s="104"/>
      <c r="D178" s="104"/>
      <c r="E178" s="104"/>
      <c r="F178" s="104"/>
      <c r="G178" s="104"/>
    </row>
    <row r="179" spans="1:7" ht="12.5" x14ac:dyDescent="0.25">
      <c r="A179" s="104"/>
      <c r="B179" s="104"/>
      <c r="D179" s="104"/>
      <c r="E179" s="104"/>
      <c r="F179" s="104"/>
      <c r="G179" s="104"/>
    </row>
    <row r="180" spans="1:7" ht="12.5" x14ac:dyDescent="0.25">
      <c r="A180" s="104"/>
      <c r="B180" s="104"/>
      <c r="D180" s="104"/>
      <c r="E180" s="104"/>
      <c r="F180" s="104"/>
      <c r="G180" s="104"/>
    </row>
    <row r="181" spans="1:7" ht="12.5" x14ac:dyDescent="0.25">
      <c r="A181" s="104"/>
      <c r="B181" s="104"/>
      <c r="D181" s="104"/>
      <c r="E181" s="104"/>
      <c r="F181" s="104"/>
      <c r="G181" s="104"/>
    </row>
    <row r="182" spans="1:7" ht="12.5" x14ac:dyDescent="0.25">
      <c r="A182" s="104"/>
      <c r="B182" s="104"/>
      <c r="D182" s="104"/>
      <c r="E182" s="104"/>
      <c r="F182" s="104"/>
      <c r="G182" s="104"/>
    </row>
    <row r="183" spans="1:7" ht="12.5" x14ac:dyDescent="0.25">
      <c r="A183" s="104"/>
      <c r="B183" s="104"/>
      <c r="D183" s="104"/>
      <c r="E183" s="104"/>
      <c r="F183" s="104"/>
      <c r="G183" s="104"/>
    </row>
    <row r="184" spans="1:7" ht="12.5" x14ac:dyDescent="0.25">
      <c r="A184" s="104"/>
      <c r="B184" s="104"/>
      <c r="D184" s="104"/>
      <c r="E184" s="104"/>
      <c r="F184" s="104"/>
      <c r="G184" s="104"/>
    </row>
    <row r="185" spans="1:7" ht="12.5" x14ac:dyDescent="0.25">
      <c r="A185" s="104"/>
      <c r="B185" s="104"/>
      <c r="D185" s="104"/>
      <c r="E185" s="104"/>
      <c r="F185" s="104"/>
      <c r="G185" s="104"/>
    </row>
    <row r="186" spans="1:7" ht="12.5" x14ac:dyDescent="0.25">
      <c r="A186" s="104"/>
      <c r="B186" s="104"/>
      <c r="D186" s="104"/>
      <c r="E186" s="104"/>
      <c r="F186" s="104"/>
      <c r="G186" s="104"/>
    </row>
    <row r="187" spans="1:7" ht="12.5" x14ac:dyDescent="0.25">
      <c r="A187" s="104"/>
      <c r="B187" s="104"/>
      <c r="D187" s="104"/>
      <c r="E187" s="104"/>
      <c r="F187" s="104"/>
      <c r="G187" s="104"/>
    </row>
    <row r="188" spans="1:7" ht="12.5" x14ac:dyDescent="0.25">
      <c r="A188" s="104"/>
      <c r="B188" s="104"/>
      <c r="D188" s="104"/>
      <c r="E188" s="104"/>
      <c r="F188" s="104"/>
      <c r="G188" s="104"/>
    </row>
    <row r="189" spans="1:7" ht="12.5" x14ac:dyDescent="0.25">
      <c r="A189" s="104"/>
      <c r="B189" s="104"/>
      <c r="D189" s="104"/>
      <c r="E189" s="104"/>
      <c r="F189" s="104"/>
      <c r="G189" s="104"/>
    </row>
    <row r="190" spans="1:7" ht="12.5" x14ac:dyDescent="0.25">
      <c r="A190" s="104"/>
      <c r="B190" s="104"/>
      <c r="D190" s="104"/>
      <c r="E190" s="104"/>
      <c r="F190" s="104"/>
      <c r="G190" s="104"/>
    </row>
    <row r="191" spans="1:7" ht="12.5" x14ac:dyDescent="0.25">
      <c r="A191" s="104"/>
      <c r="B191" s="104"/>
      <c r="D191" s="104"/>
      <c r="E191" s="104"/>
      <c r="F191" s="104"/>
      <c r="G191" s="104"/>
    </row>
    <row r="192" spans="1:7" ht="12.5" x14ac:dyDescent="0.25">
      <c r="A192" s="104"/>
      <c r="B192" s="104"/>
      <c r="D192" s="104"/>
      <c r="E192" s="104"/>
      <c r="F192" s="104"/>
      <c r="G192" s="104"/>
    </row>
    <row r="193" spans="1:7" ht="12.5" x14ac:dyDescent="0.25">
      <c r="A193" s="104"/>
      <c r="B193" s="104"/>
      <c r="D193" s="104"/>
      <c r="E193" s="104"/>
      <c r="F193" s="104"/>
      <c r="G193" s="104"/>
    </row>
    <row r="194" spans="1:7" ht="12.5" x14ac:dyDescent="0.25">
      <c r="A194" s="104"/>
      <c r="B194" s="104"/>
      <c r="D194" s="104"/>
      <c r="E194" s="104"/>
      <c r="F194" s="104"/>
      <c r="G194" s="104"/>
    </row>
    <row r="195" spans="1:7" ht="12.5" x14ac:dyDescent="0.25">
      <c r="A195" s="104"/>
      <c r="B195" s="104"/>
      <c r="D195" s="104"/>
      <c r="E195" s="104"/>
      <c r="F195" s="104"/>
      <c r="G195" s="104"/>
    </row>
    <row r="196" spans="1:7" ht="12.5" x14ac:dyDescent="0.25">
      <c r="A196" s="104"/>
      <c r="B196" s="104"/>
      <c r="D196" s="104"/>
      <c r="E196" s="104"/>
      <c r="F196" s="104"/>
      <c r="G196" s="104"/>
    </row>
    <row r="197" spans="1:7" ht="12.5" x14ac:dyDescent="0.25">
      <c r="A197" s="104"/>
      <c r="B197" s="104"/>
      <c r="D197" s="104"/>
      <c r="E197" s="104"/>
      <c r="F197" s="104"/>
      <c r="G197" s="104"/>
    </row>
    <row r="198" spans="1:7" ht="12.5" x14ac:dyDescent="0.25">
      <c r="A198" s="104"/>
      <c r="B198" s="104"/>
      <c r="D198" s="104"/>
      <c r="E198" s="104"/>
      <c r="F198" s="104"/>
      <c r="G198" s="104"/>
    </row>
    <row r="199" spans="1:7" ht="12.5" x14ac:dyDescent="0.25">
      <c r="A199" s="104"/>
      <c r="B199" s="104"/>
      <c r="D199" s="104"/>
      <c r="E199" s="104"/>
      <c r="F199" s="104"/>
      <c r="G199" s="104"/>
    </row>
    <row r="200" spans="1:7" ht="12.5" x14ac:dyDescent="0.25">
      <c r="A200" s="104"/>
      <c r="B200" s="104"/>
      <c r="D200" s="104"/>
      <c r="E200" s="104"/>
      <c r="F200" s="104"/>
      <c r="G200" s="104"/>
    </row>
    <row r="201" spans="1:7" ht="12.5" x14ac:dyDescent="0.25">
      <c r="A201" s="104"/>
      <c r="B201" s="104"/>
      <c r="D201" s="104"/>
      <c r="E201" s="104"/>
      <c r="F201" s="104"/>
      <c r="G201" s="104"/>
    </row>
    <row r="202" spans="1:7" ht="12.5" x14ac:dyDescent="0.25">
      <c r="A202" s="104"/>
      <c r="B202" s="104"/>
      <c r="D202" s="104"/>
      <c r="E202" s="104"/>
      <c r="F202" s="104"/>
      <c r="G202" s="104"/>
    </row>
    <row r="203" spans="1:7" ht="12.5" x14ac:dyDescent="0.25">
      <c r="A203" s="104"/>
      <c r="B203" s="104"/>
      <c r="D203" s="104"/>
      <c r="E203" s="104"/>
      <c r="F203" s="104"/>
      <c r="G203" s="104"/>
    </row>
    <row r="204" spans="1:7" ht="12.5" x14ac:dyDescent="0.25">
      <c r="A204" s="104"/>
      <c r="B204" s="104"/>
      <c r="D204" s="104"/>
      <c r="E204" s="104"/>
      <c r="F204" s="104"/>
      <c r="G204" s="104"/>
    </row>
    <row r="205" spans="1:7" ht="12.5" x14ac:dyDescent="0.25">
      <c r="A205" s="104"/>
      <c r="B205" s="104"/>
      <c r="D205" s="104"/>
      <c r="E205" s="104"/>
      <c r="F205" s="104"/>
      <c r="G205" s="104"/>
    </row>
    <row r="206" spans="1:7" ht="12.5" x14ac:dyDescent="0.25">
      <c r="A206" s="104"/>
      <c r="B206" s="104"/>
      <c r="D206" s="104"/>
      <c r="E206" s="104"/>
      <c r="F206" s="104"/>
      <c r="G206" s="104"/>
    </row>
    <row r="207" spans="1:7" ht="12.5" x14ac:dyDescent="0.25">
      <c r="A207" s="104"/>
      <c r="B207" s="104"/>
      <c r="D207" s="104"/>
      <c r="E207" s="104"/>
      <c r="F207" s="104"/>
      <c r="G207" s="104"/>
    </row>
    <row r="208" spans="1:7" ht="12.5" x14ac:dyDescent="0.25">
      <c r="A208" s="104"/>
      <c r="B208" s="104"/>
      <c r="D208" s="104"/>
      <c r="E208" s="104"/>
      <c r="F208" s="104"/>
      <c r="G208" s="104"/>
    </row>
    <row r="209" spans="1:7" ht="12.5" x14ac:dyDescent="0.25">
      <c r="A209" s="104"/>
      <c r="B209" s="104"/>
      <c r="D209" s="104"/>
      <c r="E209" s="104"/>
      <c r="F209" s="104"/>
      <c r="G209" s="104"/>
    </row>
    <row r="210" spans="1:7" ht="12.5" x14ac:dyDescent="0.25">
      <c r="A210" s="104"/>
      <c r="B210" s="104"/>
      <c r="D210" s="104"/>
      <c r="E210" s="104"/>
      <c r="F210" s="104"/>
      <c r="G210" s="104"/>
    </row>
    <row r="211" spans="1:7" ht="12.5" x14ac:dyDescent="0.25">
      <c r="A211" s="104"/>
      <c r="B211" s="104"/>
      <c r="D211" s="104"/>
      <c r="E211" s="104"/>
      <c r="F211" s="104"/>
      <c r="G211" s="104"/>
    </row>
    <row r="212" spans="1:7" ht="12.5" x14ac:dyDescent="0.25">
      <c r="A212" s="104"/>
      <c r="B212" s="104"/>
      <c r="D212" s="104"/>
      <c r="E212" s="104"/>
      <c r="F212" s="104"/>
      <c r="G212" s="104"/>
    </row>
    <row r="213" spans="1:7" ht="12.5" x14ac:dyDescent="0.25">
      <c r="A213" s="104"/>
      <c r="B213" s="104"/>
      <c r="D213" s="104"/>
      <c r="E213" s="104"/>
      <c r="F213" s="104"/>
      <c r="G213" s="104"/>
    </row>
    <row r="214" spans="1:7" ht="12.5" x14ac:dyDescent="0.25">
      <c r="A214" s="104"/>
      <c r="B214" s="104"/>
      <c r="D214" s="104"/>
      <c r="E214" s="104"/>
      <c r="F214" s="104"/>
      <c r="G214" s="104"/>
    </row>
    <row r="215" spans="1:7" ht="12.5" x14ac:dyDescent="0.25">
      <c r="A215" s="104"/>
      <c r="B215" s="104"/>
      <c r="D215" s="104"/>
      <c r="E215" s="104"/>
      <c r="F215" s="104"/>
      <c r="G215" s="104"/>
    </row>
    <row r="216" spans="1:7" ht="12.5" x14ac:dyDescent="0.25">
      <c r="A216" s="104"/>
      <c r="B216" s="104"/>
      <c r="D216" s="104"/>
      <c r="E216" s="104"/>
      <c r="F216" s="104"/>
      <c r="G216" s="104"/>
    </row>
    <row r="217" spans="1:7" ht="12.5" x14ac:dyDescent="0.25">
      <c r="A217" s="104"/>
      <c r="B217" s="104"/>
      <c r="D217" s="104"/>
      <c r="E217" s="104"/>
      <c r="F217" s="104"/>
      <c r="G217" s="104"/>
    </row>
    <row r="218" spans="1:7" ht="12.5" x14ac:dyDescent="0.25">
      <c r="A218" s="104"/>
      <c r="B218" s="104"/>
      <c r="D218" s="104"/>
      <c r="E218" s="104"/>
      <c r="F218" s="104"/>
      <c r="G218" s="104"/>
    </row>
    <row r="219" spans="1:7" ht="12.5" x14ac:dyDescent="0.25">
      <c r="A219" s="104"/>
      <c r="B219" s="104"/>
      <c r="D219" s="104"/>
      <c r="E219" s="104"/>
      <c r="F219" s="104"/>
      <c r="G219" s="104"/>
    </row>
    <row r="220" spans="1:7" ht="12.5" x14ac:dyDescent="0.25">
      <c r="A220" s="104"/>
      <c r="B220" s="104"/>
      <c r="D220" s="104"/>
      <c r="E220" s="104"/>
      <c r="F220" s="104"/>
      <c r="G220" s="104"/>
    </row>
    <row r="221" spans="1:7" ht="12.5" x14ac:dyDescent="0.25">
      <c r="A221" s="104"/>
      <c r="B221" s="104"/>
      <c r="D221" s="104"/>
      <c r="E221" s="104"/>
      <c r="F221" s="104"/>
      <c r="G221" s="104"/>
    </row>
    <row r="222" spans="1:7" ht="12.5" x14ac:dyDescent="0.25">
      <c r="A222" s="104"/>
      <c r="B222" s="104"/>
      <c r="D222" s="104"/>
      <c r="E222" s="104"/>
      <c r="F222" s="104"/>
      <c r="G222" s="104"/>
    </row>
    <row r="223" spans="1:7" ht="12.5" x14ac:dyDescent="0.25">
      <c r="A223" s="104"/>
      <c r="B223" s="104"/>
      <c r="D223" s="104"/>
      <c r="E223" s="104"/>
      <c r="F223" s="104"/>
      <c r="G223" s="104"/>
    </row>
    <row r="224" spans="1:7" ht="12.5" x14ac:dyDescent="0.25">
      <c r="A224" s="104"/>
      <c r="B224" s="104"/>
      <c r="D224" s="104"/>
      <c r="E224" s="104"/>
      <c r="F224" s="104"/>
      <c r="G224" s="104"/>
    </row>
    <row r="225" spans="1:7" ht="12.5" x14ac:dyDescent="0.25">
      <c r="A225" s="104"/>
      <c r="B225" s="104"/>
      <c r="D225" s="104"/>
      <c r="E225" s="104"/>
      <c r="F225" s="104"/>
      <c r="G225" s="104"/>
    </row>
    <row r="226" spans="1:7" ht="12.5" x14ac:dyDescent="0.25">
      <c r="A226" s="104"/>
      <c r="B226" s="104"/>
      <c r="D226" s="104"/>
      <c r="E226" s="104"/>
      <c r="F226" s="104"/>
      <c r="G226" s="104"/>
    </row>
    <row r="227" spans="1:7" ht="12.5" x14ac:dyDescent="0.25">
      <c r="A227" s="104"/>
      <c r="B227" s="104"/>
      <c r="D227" s="104"/>
      <c r="E227" s="104"/>
      <c r="F227" s="104"/>
      <c r="G227" s="104"/>
    </row>
    <row r="228" spans="1:7" ht="12.5" x14ac:dyDescent="0.25">
      <c r="A228" s="104"/>
      <c r="B228" s="104"/>
      <c r="D228" s="104"/>
      <c r="E228" s="104"/>
      <c r="F228" s="104"/>
      <c r="G228" s="104"/>
    </row>
    <row r="229" spans="1:7" ht="12.5" x14ac:dyDescent="0.25">
      <c r="A229" s="104"/>
      <c r="B229" s="104"/>
      <c r="D229" s="104"/>
      <c r="E229" s="104"/>
      <c r="F229" s="104"/>
      <c r="G229" s="104"/>
    </row>
    <row r="230" spans="1:7" ht="12.5" x14ac:dyDescent="0.25">
      <c r="A230" s="104"/>
      <c r="B230" s="104"/>
      <c r="D230" s="104"/>
      <c r="E230" s="104"/>
      <c r="F230" s="104"/>
      <c r="G230" s="104"/>
    </row>
    <row r="231" spans="1:7" ht="12.5" x14ac:dyDescent="0.25">
      <c r="A231" s="104"/>
      <c r="B231" s="104"/>
      <c r="D231" s="104"/>
      <c r="E231" s="104"/>
      <c r="F231" s="104"/>
      <c r="G231" s="104"/>
    </row>
    <row r="232" spans="1:7" ht="12.5" x14ac:dyDescent="0.25">
      <c r="A232" s="104"/>
      <c r="B232" s="104"/>
      <c r="D232" s="104"/>
      <c r="E232" s="104"/>
      <c r="F232" s="104"/>
      <c r="G232" s="104"/>
    </row>
    <row r="233" spans="1:7" ht="12.5" x14ac:dyDescent="0.25">
      <c r="A233" s="104"/>
      <c r="B233" s="104"/>
      <c r="D233" s="104"/>
      <c r="E233" s="104"/>
      <c r="F233" s="104"/>
      <c r="G233" s="104"/>
    </row>
    <row r="234" spans="1:7" ht="12.5" x14ac:dyDescent="0.25">
      <c r="A234" s="104"/>
      <c r="B234" s="104"/>
      <c r="D234" s="104"/>
      <c r="E234" s="104"/>
      <c r="F234" s="104"/>
      <c r="G234" s="104"/>
    </row>
    <row r="235" spans="1:7" ht="12.5" x14ac:dyDescent="0.25">
      <c r="A235" s="104"/>
      <c r="B235" s="104"/>
      <c r="D235" s="104"/>
      <c r="E235" s="104"/>
      <c r="F235" s="104"/>
      <c r="G235" s="104"/>
    </row>
    <row r="236" spans="1:7" ht="12.5" x14ac:dyDescent="0.25">
      <c r="A236" s="104"/>
      <c r="B236" s="104"/>
      <c r="D236" s="104"/>
      <c r="E236" s="104"/>
      <c r="F236" s="104"/>
      <c r="G236" s="104"/>
    </row>
    <row r="237" spans="1:7" ht="12.5" x14ac:dyDescent="0.25">
      <c r="A237" s="104"/>
      <c r="B237" s="104"/>
      <c r="D237" s="104"/>
      <c r="E237" s="104"/>
      <c r="F237" s="104"/>
      <c r="G237" s="104"/>
    </row>
    <row r="238" spans="1:7" ht="12.5" x14ac:dyDescent="0.25">
      <c r="A238" s="104"/>
      <c r="B238" s="104"/>
      <c r="D238" s="104"/>
      <c r="E238" s="104"/>
      <c r="F238" s="104"/>
      <c r="G238" s="104"/>
    </row>
    <row r="239" spans="1:7" ht="12.5" x14ac:dyDescent="0.25">
      <c r="A239" s="104"/>
      <c r="B239" s="104"/>
      <c r="D239" s="104"/>
      <c r="E239" s="104"/>
      <c r="F239" s="104"/>
      <c r="G239" s="104"/>
    </row>
    <row r="240" spans="1:7" ht="12.5" x14ac:dyDescent="0.25">
      <c r="A240" s="104"/>
      <c r="B240" s="104"/>
      <c r="D240" s="104"/>
      <c r="E240" s="104"/>
      <c r="F240" s="104"/>
      <c r="G240" s="104"/>
    </row>
    <row r="241" spans="1:7" ht="12.5" x14ac:dyDescent="0.25">
      <c r="A241" s="104"/>
      <c r="B241" s="104"/>
      <c r="D241" s="104"/>
      <c r="E241" s="104"/>
      <c r="F241" s="104"/>
      <c r="G241" s="104"/>
    </row>
    <row r="242" spans="1:7" ht="12.5" x14ac:dyDescent="0.25">
      <c r="A242" s="104"/>
      <c r="B242" s="104"/>
      <c r="D242" s="104"/>
      <c r="E242" s="104"/>
      <c r="F242" s="104"/>
      <c r="G242" s="104"/>
    </row>
    <row r="243" spans="1:7" ht="12.5" x14ac:dyDescent="0.25">
      <c r="A243" s="104"/>
      <c r="B243" s="104"/>
      <c r="D243" s="104"/>
      <c r="E243" s="104"/>
      <c r="F243" s="104"/>
      <c r="G243" s="104"/>
    </row>
    <row r="244" spans="1:7" ht="12.5" x14ac:dyDescent="0.25">
      <c r="A244" s="104"/>
      <c r="B244" s="104"/>
      <c r="D244" s="104"/>
      <c r="E244" s="104"/>
      <c r="F244" s="104"/>
      <c r="G244" s="104"/>
    </row>
    <row r="245" spans="1:7" ht="12.5" x14ac:dyDescent="0.25">
      <c r="A245" s="104"/>
      <c r="B245" s="104"/>
      <c r="D245" s="104"/>
      <c r="E245" s="104"/>
      <c r="F245" s="104"/>
      <c r="G245" s="104"/>
    </row>
    <row r="246" spans="1:7" ht="12.5" x14ac:dyDescent="0.25">
      <c r="A246" s="104"/>
      <c r="B246" s="104"/>
      <c r="D246" s="104"/>
      <c r="E246" s="104"/>
      <c r="F246" s="104"/>
      <c r="G246" s="104"/>
    </row>
    <row r="247" spans="1:7" ht="12.5" x14ac:dyDescent="0.25">
      <c r="A247" s="104"/>
      <c r="B247" s="104"/>
      <c r="D247" s="104"/>
      <c r="E247" s="104"/>
      <c r="F247" s="104"/>
      <c r="G247" s="104"/>
    </row>
    <row r="248" spans="1:7" ht="12.5" x14ac:dyDescent="0.25">
      <c r="A248" s="104"/>
      <c r="B248" s="104"/>
      <c r="D248" s="104"/>
      <c r="E248" s="104"/>
      <c r="F248" s="104"/>
      <c r="G248" s="104"/>
    </row>
    <row r="249" spans="1:7" ht="12.5" x14ac:dyDescent="0.25">
      <c r="A249" s="104"/>
      <c r="B249" s="104"/>
      <c r="D249" s="104"/>
      <c r="E249" s="104"/>
      <c r="F249" s="104"/>
      <c r="G249" s="104"/>
    </row>
    <row r="250" spans="1:7" ht="12.5" x14ac:dyDescent="0.25">
      <c r="A250" s="104"/>
      <c r="B250" s="104"/>
      <c r="D250" s="104"/>
      <c r="E250" s="104"/>
      <c r="F250" s="104"/>
      <c r="G250" s="104"/>
    </row>
    <row r="251" spans="1:7" ht="12.5" x14ac:dyDescent="0.25">
      <c r="A251" s="104"/>
      <c r="B251" s="104"/>
      <c r="D251" s="104"/>
      <c r="E251" s="104"/>
      <c r="F251" s="104"/>
      <c r="G251" s="104"/>
    </row>
    <row r="252" spans="1:7" ht="12.5" x14ac:dyDescent="0.25">
      <c r="A252" s="104"/>
      <c r="B252" s="104"/>
      <c r="D252" s="104"/>
      <c r="E252" s="104"/>
      <c r="F252" s="104"/>
      <c r="G252" s="104"/>
    </row>
    <row r="253" spans="1:7" ht="12.5" x14ac:dyDescent="0.25">
      <c r="A253" s="104"/>
      <c r="B253" s="104"/>
      <c r="D253" s="104"/>
      <c r="E253" s="104"/>
      <c r="F253" s="104"/>
      <c r="G253" s="104"/>
    </row>
    <row r="254" spans="1:7" ht="12.5" x14ac:dyDescent="0.25">
      <c r="A254" s="104"/>
      <c r="B254" s="104"/>
      <c r="D254" s="104"/>
      <c r="E254" s="104"/>
      <c r="F254" s="104"/>
      <c r="G254" s="104"/>
    </row>
    <row r="255" spans="1:7" ht="12.5" x14ac:dyDescent="0.25">
      <c r="A255" s="104"/>
      <c r="B255" s="104"/>
      <c r="D255" s="104"/>
      <c r="E255" s="104"/>
      <c r="F255" s="104"/>
      <c r="G255" s="104"/>
    </row>
    <row r="256" spans="1:7" ht="12.5" x14ac:dyDescent="0.25">
      <c r="A256" s="104"/>
      <c r="B256" s="104"/>
      <c r="D256" s="104"/>
      <c r="E256" s="104"/>
      <c r="F256" s="104"/>
      <c r="G256" s="104"/>
    </row>
    <row r="257" spans="1:7" ht="12.5" x14ac:dyDescent="0.25">
      <c r="A257" s="104"/>
      <c r="B257" s="104"/>
      <c r="D257" s="104"/>
      <c r="E257" s="104"/>
      <c r="F257" s="104"/>
      <c r="G257" s="104"/>
    </row>
    <row r="258" spans="1:7" ht="12.5" x14ac:dyDescent="0.25">
      <c r="A258" s="104"/>
      <c r="B258" s="104"/>
      <c r="D258" s="104"/>
      <c r="E258" s="104"/>
      <c r="F258" s="104"/>
      <c r="G258" s="104"/>
    </row>
    <row r="259" spans="1:7" ht="12.5" x14ac:dyDescent="0.25">
      <c r="A259" s="104"/>
      <c r="B259" s="104"/>
      <c r="D259" s="104"/>
      <c r="E259" s="104"/>
      <c r="F259" s="104"/>
      <c r="G259" s="104"/>
    </row>
    <row r="260" spans="1:7" ht="12.5" x14ac:dyDescent="0.25">
      <c r="A260" s="104"/>
      <c r="B260" s="104"/>
      <c r="D260" s="104"/>
      <c r="E260" s="104"/>
      <c r="F260" s="104"/>
      <c r="G260" s="104"/>
    </row>
    <row r="261" spans="1:7" ht="12.5" x14ac:dyDescent="0.25">
      <c r="A261" s="104"/>
      <c r="B261" s="104"/>
      <c r="D261" s="104"/>
      <c r="E261" s="104"/>
      <c r="F261" s="104"/>
      <c r="G261" s="104"/>
    </row>
    <row r="262" spans="1:7" ht="12.5" x14ac:dyDescent="0.25">
      <c r="A262" s="104"/>
      <c r="B262" s="104"/>
      <c r="D262" s="104"/>
      <c r="E262" s="104"/>
      <c r="F262" s="104"/>
      <c r="G262" s="104"/>
    </row>
    <row r="263" spans="1:7" ht="12.5" x14ac:dyDescent="0.25">
      <c r="A263" s="104"/>
      <c r="B263" s="104"/>
      <c r="D263" s="104"/>
      <c r="E263" s="104"/>
      <c r="F263" s="104"/>
      <c r="G263" s="104"/>
    </row>
    <row r="264" spans="1:7" ht="12.5" x14ac:dyDescent="0.25">
      <c r="A264" s="104"/>
      <c r="B264" s="104"/>
      <c r="D264" s="104"/>
      <c r="E264" s="104"/>
      <c r="F264" s="104"/>
      <c r="G264" s="104"/>
    </row>
    <row r="265" spans="1:7" ht="12.5" x14ac:dyDescent="0.25">
      <c r="A265" s="104"/>
      <c r="B265" s="104"/>
      <c r="D265" s="104"/>
      <c r="E265" s="104"/>
      <c r="F265" s="104"/>
      <c r="G265" s="104"/>
    </row>
    <row r="266" spans="1:7" ht="12.5" x14ac:dyDescent="0.25">
      <c r="A266" s="104"/>
      <c r="B266" s="104"/>
      <c r="D266" s="104"/>
      <c r="E266" s="104"/>
      <c r="F266" s="104"/>
      <c r="G266" s="104"/>
    </row>
    <row r="267" spans="1:7" ht="12.5" x14ac:dyDescent="0.25">
      <c r="A267" s="104"/>
      <c r="B267" s="104"/>
      <c r="D267" s="104"/>
      <c r="E267" s="104"/>
      <c r="F267" s="104"/>
      <c r="G267" s="104"/>
    </row>
    <row r="268" spans="1:7" ht="12.5" x14ac:dyDescent="0.25">
      <c r="A268" s="104"/>
      <c r="B268" s="104"/>
      <c r="D268" s="104"/>
      <c r="E268" s="104"/>
      <c r="F268" s="104"/>
      <c r="G268" s="104"/>
    </row>
    <row r="269" spans="1:7" ht="12.5" x14ac:dyDescent="0.25">
      <c r="A269" s="104"/>
      <c r="B269" s="104"/>
      <c r="D269" s="104"/>
      <c r="E269" s="104"/>
      <c r="F269" s="104"/>
      <c r="G269" s="104"/>
    </row>
    <row r="270" spans="1:7" ht="12.5" x14ac:dyDescent="0.25">
      <c r="A270" s="104"/>
      <c r="B270" s="104"/>
      <c r="D270" s="104"/>
      <c r="E270" s="104"/>
      <c r="F270" s="104"/>
      <c r="G270" s="104"/>
    </row>
    <row r="271" spans="1:7" ht="12.5" x14ac:dyDescent="0.25">
      <c r="A271" s="104"/>
      <c r="B271" s="104"/>
      <c r="D271" s="104"/>
      <c r="E271" s="104"/>
      <c r="F271" s="104"/>
      <c r="G271" s="104"/>
    </row>
    <row r="272" spans="1:7" ht="12.5" x14ac:dyDescent="0.25">
      <c r="A272" s="104"/>
      <c r="B272" s="104"/>
      <c r="D272" s="104"/>
      <c r="E272" s="104"/>
      <c r="F272" s="104"/>
      <c r="G272" s="104"/>
    </row>
    <row r="273" spans="1:7" ht="12.5" x14ac:dyDescent="0.25">
      <c r="A273" s="104"/>
      <c r="B273" s="104"/>
      <c r="D273" s="104"/>
      <c r="E273" s="104"/>
      <c r="F273" s="104"/>
      <c r="G273" s="104"/>
    </row>
    <row r="274" spans="1:7" ht="12.5" x14ac:dyDescent="0.25">
      <c r="A274" s="104"/>
      <c r="B274" s="104"/>
      <c r="D274" s="104"/>
      <c r="E274" s="104"/>
      <c r="F274" s="104"/>
      <c r="G274" s="104"/>
    </row>
    <row r="275" spans="1:7" ht="12.5" x14ac:dyDescent="0.25">
      <c r="A275" s="104"/>
      <c r="B275" s="104"/>
      <c r="D275" s="104"/>
      <c r="E275" s="104"/>
      <c r="F275" s="104"/>
      <c r="G275" s="104"/>
    </row>
    <row r="276" spans="1:7" ht="12.5" x14ac:dyDescent="0.25">
      <c r="A276" s="104"/>
      <c r="B276" s="104"/>
      <c r="D276" s="104"/>
      <c r="E276" s="104"/>
      <c r="F276" s="104"/>
      <c r="G276" s="104"/>
    </row>
    <row r="277" spans="1:7" ht="12.5" x14ac:dyDescent="0.25">
      <c r="A277" s="104"/>
      <c r="B277" s="104"/>
      <c r="D277" s="104"/>
      <c r="E277" s="104"/>
      <c r="F277" s="104"/>
      <c r="G277" s="104"/>
    </row>
    <row r="278" spans="1:7" ht="12.5" x14ac:dyDescent="0.25">
      <c r="A278" s="104"/>
      <c r="B278" s="104"/>
      <c r="D278" s="104"/>
      <c r="E278" s="104"/>
      <c r="F278" s="104"/>
      <c r="G278" s="104"/>
    </row>
    <row r="279" spans="1:7" ht="12.5" x14ac:dyDescent="0.25">
      <c r="A279" s="104"/>
      <c r="B279" s="104"/>
      <c r="D279" s="104"/>
      <c r="E279" s="104"/>
      <c r="F279" s="104"/>
      <c r="G279" s="104"/>
    </row>
    <row r="280" spans="1:7" ht="12.5" x14ac:dyDescent="0.25">
      <c r="A280" s="104"/>
      <c r="B280" s="104"/>
      <c r="D280" s="104"/>
      <c r="E280" s="104"/>
      <c r="F280" s="104"/>
      <c r="G280" s="104"/>
    </row>
    <row r="281" spans="1:7" ht="12.5" x14ac:dyDescent="0.25">
      <c r="A281" s="104"/>
      <c r="B281" s="104"/>
      <c r="D281" s="104"/>
      <c r="E281" s="104"/>
      <c r="F281" s="104"/>
      <c r="G281" s="104"/>
    </row>
    <row r="282" spans="1:7" ht="12.5" x14ac:dyDescent="0.25">
      <c r="A282" s="104"/>
      <c r="B282" s="104"/>
      <c r="D282" s="104"/>
      <c r="E282" s="104"/>
      <c r="F282" s="104"/>
      <c r="G282" s="104"/>
    </row>
    <row r="283" spans="1:7" ht="12.5" x14ac:dyDescent="0.25">
      <c r="A283" s="104"/>
      <c r="B283" s="104"/>
      <c r="D283" s="104"/>
      <c r="E283" s="104"/>
      <c r="F283" s="104"/>
      <c r="G283" s="104"/>
    </row>
    <row r="284" spans="1:7" ht="12.5" x14ac:dyDescent="0.25">
      <c r="A284" s="104"/>
      <c r="B284" s="104"/>
      <c r="D284" s="104"/>
      <c r="E284" s="104"/>
      <c r="F284" s="104"/>
      <c r="G284" s="104"/>
    </row>
    <row r="285" spans="1:7" ht="12.5" x14ac:dyDescent="0.25">
      <c r="A285" s="104"/>
      <c r="B285" s="104"/>
      <c r="D285" s="104"/>
      <c r="E285" s="104"/>
      <c r="F285" s="104"/>
      <c r="G285" s="104"/>
    </row>
    <row r="286" spans="1:7" ht="12.5" x14ac:dyDescent="0.25">
      <c r="A286" s="104"/>
      <c r="B286" s="104"/>
      <c r="D286" s="104"/>
      <c r="E286" s="104"/>
      <c r="F286" s="104"/>
      <c r="G286" s="104"/>
    </row>
    <row r="287" spans="1:7" ht="12.5" x14ac:dyDescent="0.25">
      <c r="A287" s="104"/>
      <c r="B287" s="104"/>
      <c r="D287" s="104"/>
      <c r="E287" s="104"/>
      <c r="F287" s="104"/>
      <c r="G287" s="104"/>
    </row>
    <row r="288" spans="1:7" ht="12.5" x14ac:dyDescent="0.25">
      <c r="A288" s="104"/>
      <c r="B288" s="104"/>
      <c r="D288" s="104"/>
      <c r="E288" s="104"/>
      <c r="F288" s="104"/>
      <c r="G288" s="104"/>
    </row>
    <row r="289" spans="1:7" ht="12.5" x14ac:dyDescent="0.25">
      <c r="A289" s="104"/>
      <c r="B289" s="104"/>
      <c r="D289" s="104"/>
      <c r="E289" s="104"/>
      <c r="F289" s="104"/>
      <c r="G289" s="104"/>
    </row>
    <row r="290" spans="1:7" ht="12.5" x14ac:dyDescent="0.25">
      <c r="A290" s="104"/>
      <c r="B290" s="104"/>
      <c r="D290" s="104"/>
      <c r="E290" s="104"/>
      <c r="F290" s="104"/>
      <c r="G290" s="104"/>
    </row>
    <row r="291" spans="1:7" ht="12.5" x14ac:dyDescent="0.25">
      <c r="A291" s="104"/>
      <c r="B291" s="104"/>
      <c r="D291" s="104"/>
      <c r="E291" s="104"/>
      <c r="F291" s="104"/>
      <c r="G291" s="104"/>
    </row>
    <row r="292" spans="1:7" ht="12.5" x14ac:dyDescent="0.25">
      <c r="A292" s="104"/>
      <c r="B292" s="104"/>
      <c r="D292" s="104"/>
      <c r="E292" s="104"/>
      <c r="F292" s="104"/>
      <c r="G292" s="104"/>
    </row>
    <row r="293" spans="1:7" ht="12.5" x14ac:dyDescent="0.25">
      <c r="A293" s="104"/>
      <c r="B293" s="104"/>
      <c r="D293" s="104"/>
      <c r="E293" s="104"/>
      <c r="F293" s="104"/>
      <c r="G293" s="104"/>
    </row>
    <row r="294" spans="1:7" ht="12.5" x14ac:dyDescent="0.25">
      <c r="A294" s="104"/>
      <c r="B294" s="104"/>
      <c r="D294" s="104"/>
      <c r="E294" s="104"/>
      <c r="F294" s="104"/>
      <c r="G294" s="104"/>
    </row>
    <row r="295" spans="1:7" ht="12.5" x14ac:dyDescent="0.25">
      <c r="A295" s="104"/>
      <c r="B295" s="104"/>
      <c r="D295" s="104"/>
      <c r="E295" s="104"/>
      <c r="F295" s="104"/>
      <c r="G295" s="104"/>
    </row>
    <row r="296" spans="1:7" ht="12.5" x14ac:dyDescent="0.25">
      <c r="A296" s="104"/>
      <c r="B296" s="104"/>
      <c r="D296" s="104"/>
      <c r="E296" s="104"/>
      <c r="F296" s="104"/>
      <c r="G296" s="104"/>
    </row>
    <row r="297" spans="1:7" ht="12.5" x14ac:dyDescent="0.25">
      <c r="A297" s="104"/>
      <c r="B297" s="104"/>
      <c r="D297" s="104"/>
      <c r="E297" s="104"/>
      <c r="F297" s="104"/>
      <c r="G297" s="104"/>
    </row>
    <row r="298" spans="1:7" ht="12.5" x14ac:dyDescent="0.25">
      <c r="A298" s="104"/>
      <c r="B298" s="104"/>
      <c r="D298" s="104"/>
      <c r="E298" s="104"/>
      <c r="F298" s="104"/>
      <c r="G298" s="104"/>
    </row>
    <row r="299" spans="1:7" ht="12.5" x14ac:dyDescent="0.25">
      <c r="A299" s="104"/>
      <c r="B299" s="104"/>
      <c r="D299" s="104"/>
      <c r="E299" s="104"/>
      <c r="F299" s="104"/>
      <c r="G299" s="104"/>
    </row>
    <row r="300" spans="1:7" ht="12.5" x14ac:dyDescent="0.25">
      <c r="A300" s="104"/>
      <c r="B300" s="104"/>
      <c r="D300" s="104"/>
      <c r="E300" s="104"/>
      <c r="F300" s="104"/>
      <c r="G300" s="104"/>
    </row>
    <row r="301" spans="1:7" ht="12.5" x14ac:dyDescent="0.25">
      <c r="A301" s="104"/>
      <c r="B301" s="104"/>
      <c r="D301" s="104"/>
      <c r="E301" s="104"/>
      <c r="F301" s="104"/>
      <c r="G301" s="104"/>
    </row>
    <row r="302" spans="1:7" ht="12.5" x14ac:dyDescent="0.25">
      <c r="A302" s="104"/>
      <c r="B302" s="104"/>
      <c r="D302" s="104"/>
      <c r="E302" s="104"/>
      <c r="F302" s="104"/>
      <c r="G302" s="104"/>
    </row>
    <row r="303" spans="1:7" ht="12.5" x14ac:dyDescent="0.25">
      <c r="A303" s="104"/>
      <c r="B303" s="104"/>
      <c r="D303" s="104"/>
      <c r="E303" s="104"/>
      <c r="F303" s="104"/>
      <c r="G303" s="104"/>
    </row>
    <row r="304" spans="1:7" ht="12.5" x14ac:dyDescent="0.25">
      <c r="A304" s="104"/>
      <c r="B304" s="104"/>
      <c r="D304" s="104"/>
      <c r="E304" s="104"/>
      <c r="F304" s="104"/>
      <c r="G304" s="104"/>
    </row>
    <row r="305" spans="1:7" ht="12.5" x14ac:dyDescent="0.25">
      <c r="A305" s="104"/>
      <c r="B305" s="104"/>
      <c r="D305" s="104"/>
      <c r="E305" s="104"/>
      <c r="F305" s="104"/>
      <c r="G305" s="104"/>
    </row>
    <row r="306" spans="1:7" ht="12.5" x14ac:dyDescent="0.25">
      <c r="A306" s="104"/>
      <c r="B306" s="104"/>
      <c r="D306" s="104"/>
      <c r="E306" s="104"/>
      <c r="F306" s="104"/>
      <c r="G306" s="104"/>
    </row>
    <row r="307" spans="1:7" ht="12.5" x14ac:dyDescent="0.25">
      <c r="A307" s="104"/>
      <c r="B307" s="104"/>
      <c r="D307" s="104"/>
      <c r="E307" s="104"/>
      <c r="F307" s="104"/>
      <c r="G307" s="104"/>
    </row>
    <row r="308" spans="1:7" ht="12.5" x14ac:dyDescent="0.25">
      <c r="A308" s="104"/>
      <c r="B308" s="104"/>
      <c r="D308" s="104"/>
      <c r="E308" s="104"/>
      <c r="F308" s="104"/>
      <c r="G308" s="104"/>
    </row>
    <row r="309" spans="1:7" ht="12.5" x14ac:dyDescent="0.25">
      <c r="A309" s="104"/>
      <c r="B309" s="104"/>
      <c r="D309" s="104"/>
      <c r="E309" s="104"/>
      <c r="F309" s="104"/>
      <c r="G309" s="104"/>
    </row>
    <row r="310" spans="1:7" ht="12.5" x14ac:dyDescent="0.25">
      <c r="A310" s="104"/>
      <c r="B310" s="104"/>
      <c r="D310" s="104"/>
      <c r="E310" s="104"/>
      <c r="F310" s="104"/>
      <c r="G310" s="104"/>
    </row>
    <row r="311" spans="1:7" ht="12.5" x14ac:dyDescent="0.25">
      <c r="A311" s="104"/>
      <c r="B311" s="104"/>
      <c r="D311" s="104"/>
      <c r="E311" s="104"/>
      <c r="F311" s="104"/>
      <c r="G311" s="104"/>
    </row>
    <row r="312" spans="1:7" ht="12.5" x14ac:dyDescent="0.25">
      <c r="A312" s="104"/>
      <c r="B312" s="104"/>
      <c r="D312" s="104"/>
      <c r="E312" s="104"/>
      <c r="F312" s="104"/>
      <c r="G312" s="104"/>
    </row>
    <row r="313" spans="1:7" ht="12.5" x14ac:dyDescent="0.25">
      <c r="A313" s="104"/>
      <c r="B313" s="104"/>
      <c r="D313" s="104"/>
      <c r="E313" s="104"/>
      <c r="F313" s="104"/>
      <c r="G313" s="104"/>
    </row>
    <row r="314" spans="1:7" ht="12.5" x14ac:dyDescent="0.25">
      <c r="A314" s="104"/>
      <c r="B314" s="104"/>
      <c r="D314" s="104"/>
      <c r="E314" s="104"/>
      <c r="F314" s="104"/>
      <c r="G314" s="104"/>
    </row>
    <row r="315" spans="1:7" ht="12.5" x14ac:dyDescent="0.25">
      <c r="A315" s="104"/>
      <c r="B315" s="104"/>
      <c r="D315" s="104"/>
      <c r="E315" s="104"/>
      <c r="F315" s="104"/>
      <c r="G315" s="104"/>
    </row>
    <row r="316" spans="1:7" ht="12.5" x14ac:dyDescent="0.25">
      <c r="A316" s="104"/>
      <c r="B316" s="104"/>
      <c r="D316" s="104"/>
      <c r="E316" s="104"/>
      <c r="F316" s="104"/>
      <c r="G316" s="104"/>
    </row>
    <row r="317" spans="1:7" ht="12.5" x14ac:dyDescent="0.25">
      <c r="A317" s="104"/>
      <c r="B317" s="104"/>
      <c r="D317" s="104"/>
      <c r="E317" s="104"/>
      <c r="F317" s="104"/>
      <c r="G317" s="104"/>
    </row>
    <row r="318" spans="1:7" ht="12.5" x14ac:dyDescent="0.25">
      <c r="A318" s="104"/>
      <c r="B318" s="104"/>
      <c r="D318" s="104"/>
      <c r="E318" s="104"/>
      <c r="F318" s="104"/>
      <c r="G318" s="104"/>
    </row>
    <row r="319" spans="1:7" ht="12.5" x14ac:dyDescent="0.25">
      <c r="A319" s="104"/>
      <c r="B319" s="104"/>
      <c r="D319" s="104"/>
      <c r="E319" s="104"/>
      <c r="F319" s="104"/>
      <c r="G319" s="104"/>
    </row>
    <row r="320" spans="1:7" ht="12.5" x14ac:dyDescent="0.25">
      <c r="A320" s="104"/>
      <c r="B320" s="104"/>
      <c r="D320" s="104"/>
      <c r="E320" s="104"/>
      <c r="F320" s="104"/>
      <c r="G320" s="104"/>
    </row>
    <row r="321" spans="1:7" ht="12.5" x14ac:dyDescent="0.25">
      <c r="A321" s="104"/>
      <c r="B321" s="104"/>
      <c r="D321" s="104"/>
      <c r="E321" s="104"/>
      <c r="F321" s="104"/>
      <c r="G321" s="104"/>
    </row>
    <row r="322" spans="1:7" ht="12.5" x14ac:dyDescent="0.25">
      <c r="A322" s="104"/>
      <c r="B322" s="104"/>
      <c r="D322" s="104"/>
      <c r="E322" s="104"/>
      <c r="F322" s="104"/>
      <c r="G322" s="104"/>
    </row>
    <row r="323" spans="1:7" ht="12.5" x14ac:dyDescent="0.25">
      <c r="A323" s="104"/>
      <c r="B323" s="104"/>
      <c r="D323" s="104"/>
      <c r="E323" s="104"/>
      <c r="F323" s="104"/>
      <c r="G323" s="104"/>
    </row>
    <row r="324" spans="1:7" ht="12.5" x14ac:dyDescent="0.25">
      <c r="A324" s="104"/>
      <c r="B324" s="104"/>
      <c r="D324" s="104"/>
      <c r="E324" s="104"/>
      <c r="F324" s="104"/>
      <c r="G324" s="104"/>
    </row>
    <row r="325" spans="1:7" ht="12.5" x14ac:dyDescent="0.25">
      <c r="A325" s="104"/>
      <c r="B325" s="104"/>
      <c r="D325" s="104"/>
      <c r="E325" s="104"/>
      <c r="F325" s="104"/>
      <c r="G325" s="104"/>
    </row>
    <row r="326" spans="1:7" ht="12.5" x14ac:dyDescent="0.25">
      <c r="A326" s="104"/>
      <c r="B326" s="104"/>
      <c r="D326" s="104"/>
      <c r="E326" s="104"/>
      <c r="F326" s="104"/>
      <c r="G326" s="104"/>
    </row>
    <row r="327" spans="1:7" ht="12.5" x14ac:dyDescent="0.25">
      <c r="A327" s="104"/>
      <c r="B327" s="104"/>
      <c r="D327" s="104"/>
      <c r="E327" s="104"/>
      <c r="F327" s="104"/>
      <c r="G327" s="104"/>
    </row>
    <row r="328" spans="1:7" ht="12.5" x14ac:dyDescent="0.25">
      <c r="A328" s="104"/>
      <c r="B328" s="104"/>
      <c r="D328" s="104"/>
      <c r="E328" s="104"/>
      <c r="F328" s="104"/>
      <c r="G328" s="104"/>
    </row>
    <row r="329" spans="1:7" ht="12.5" x14ac:dyDescent="0.25">
      <c r="A329" s="104"/>
      <c r="B329" s="104"/>
      <c r="D329" s="104"/>
      <c r="E329" s="104"/>
      <c r="F329" s="104"/>
      <c r="G329" s="104"/>
    </row>
    <row r="330" spans="1:7" ht="12.5" x14ac:dyDescent="0.25">
      <c r="A330" s="104"/>
      <c r="B330" s="104"/>
      <c r="D330" s="104"/>
      <c r="E330" s="104"/>
      <c r="F330" s="104"/>
      <c r="G330" s="104"/>
    </row>
    <row r="331" spans="1:7" ht="12.5" x14ac:dyDescent="0.25">
      <c r="A331" s="104"/>
      <c r="B331" s="104"/>
      <c r="D331" s="104"/>
      <c r="E331" s="104"/>
      <c r="F331" s="104"/>
      <c r="G331" s="104"/>
    </row>
    <row r="332" spans="1:7" ht="12.5" x14ac:dyDescent="0.25">
      <c r="A332" s="104"/>
      <c r="B332" s="104"/>
      <c r="D332" s="104"/>
      <c r="E332" s="104"/>
      <c r="F332" s="104"/>
      <c r="G332" s="104"/>
    </row>
    <row r="333" spans="1:7" ht="12.5" x14ac:dyDescent="0.25">
      <c r="A333" s="104"/>
      <c r="B333" s="104"/>
      <c r="D333" s="104"/>
      <c r="E333" s="104"/>
      <c r="F333" s="104"/>
      <c r="G333" s="104"/>
    </row>
    <row r="334" spans="1:7" ht="12.5" x14ac:dyDescent="0.25">
      <c r="A334" s="104"/>
      <c r="B334" s="104"/>
      <c r="D334" s="104"/>
      <c r="E334" s="104"/>
      <c r="F334" s="104"/>
      <c r="G334" s="104"/>
    </row>
    <row r="335" spans="1:7" ht="12.5" x14ac:dyDescent="0.25">
      <c r="A335" s="104"/>
      <c r="B335" s="104"/>
      <c r="D335" s="104"/>
      <c r="E335" s="104"/>
      <c r="F335" s="104"/>
      <c r="G335" s="104"/>
    </row>
    <row r="336" spans="1:7" ht="12.5" x14ac:dyDescent="0.25">
      <c r="A336" s="104"/>
      <c r="B336" s="104"/>
      <c r="D336" s="104"/>
      <c r="E336" s="104"/>
      <c r="F336" s="104"/>
      <c r="G336" s="104"/>
    </row>
    <row r="337" spans="1:7" ht="12.5" x14ac:dyDescent="0.25">
      <c r="A337" s="104"/>
      <c r="B337" s="104"/>
      <c r="D337" s="104"/>
      <c r="E337" s="104"/>
      <c r="F337" s="104"/>
      <c r="G337" s="104"/>
    </row>
    <row r="338" spans="1:7" ht="12.5" x14ac:dyDescent="0.25">
      <c r="A338" s="104"/>
      <c r="B338" s="104"/>
      <c r="D338" s="104"/>
      <c r="E338" s="104"/>
      <c r="F338" s="104"/>
      <c r="G338" s="104"/>
    </row>
    <row r="339" spans="1:7" ht="12.5" x14ac:dyDescent="0.25">
      <c r="A339" s="104"/>
      <c r="B339" s="104"/>
      <c r="D339" s="104"/>
      <c r="E339" s="104"/>
      <c r="F339" s="104"/>
      <c r="G339" s="104"/>
    </row>
    <row r="340" spans="1:7" ht="12.5" x14ac:dyDescent="0.25">
      <c r="A340" s="104"/>
      <c r="B340" s="104"/>
      <c r="D340" s="104"/>
      <c r="E340" s="104"/>
      <c r="F340" s="104"/>
      <c r="G340" s="104"/>
    </row>
    <row r="341" spans="1:7" ht="12.5" x14ac:dyDescent="0.25">
      <c r="A341" s="104"/>
      <c r="B341" s="104"/>
      <c r="D341" s="104"/>
      <c r="E341" s="104"/>
      <c r="F341" s="104"/>
      <c r="G341" s="104"/>
    </row>
    <row r="342" spans="1:7" ht="12.5" x14ac:dyDescent="0.25">
      <c r="A342" s="104"/>
      <c r="B342" s="104"/>
      <c r="D342" s="104"/>
      <c r="E342" s="104"/>
      <c r="F342" s="104"/>
      <c r="G342" s="104"/>
    </row>
    <row r="343" spans="1:7" ht="12.5" x14ac:dyDescent="0.25">
      <c r="A343" s="104"/>
      <c r="B343" s="104"/>
      <c r="D343" s="104"/>
      <c r="E343" s="104"/>
      <c r="F343" s="104"/>
      <c r="G343" s="104"/>
    </row>
    <row r="344" spans="1:7" ht="12.5" x14ac:dyDescent="0.25">
      <c r="A344" s="104"/>
      <c r="B344" s="104"/>
      <c r="D344" s="104"/>
      <c r="E344" s="104"/>
      <c r="F344" s="104"/>
      <c r="G344" s="104"/>
    </row>
    <row r="345" spans="1:7" ht="12.5" x14ac:dyDescent="0.25">
      <c r="A345" s="104"/>
      <c r="B345" s="104"/>
      <c r="D345" s="104"/>
      <c r="E345" s="104"/>
      <c r="F345" s="104"/>
      <c r="G345" s="104"/>
    </row>
    <row r="346" spans="1:7" ht="12.5" x14ac:dyDescent="0.25">
      <c r="A346" s="104"/>
      <c r="B346" s="104"/>
      <c r="D346" s="104"/>
      <c r="E346" s="104"/>
      <c r="F346" s="104"/>
      <c r="G346" s="104"/>
    </row>
    <row r="347" spans="1:7" ht="12.5" x14ac:dyDescent="0.25">
      <c r="A347" s="104"/>
      <c r="B347" s="104"/>
      <c r="D347" s="104"/>
      <c r="E347" s="104"/>
      <c r="F347" s="104"/>
      <c r="G347" s="104"/>
    </row>
    <row r="348" spans="1:7" ht="12.5" x14ac:dyDescent="0.25">
      <c r="A348" s="104"/>
      <c r="B348" s="104"/>
      <c r="D348" s="104"/>
      <c r="E348" s="104"/>
      <c r="F348" s="104"/>
      <c r="G348" s="104"/>
    </row>
    <row r="349" spans="1:7" ht="12.5" x14ac:dyDescent="0.25">
      <c r="A349" s="104"/>
      <c r="B349" s="104"/>
      <c r="D349" s="104"/>
      <c r="E349" s="104"/>
      <c r="F349" s="104"/>
      <c r="G349" s="104"/>
    </row>
    <row r="350" spans="1:7" ht="12.5" x14ac:dyDescent="0.25">
      <c r="A350" s="104"/>
      <c r="B350" s="104"/>
      <c r="D350" s="104"/>
      <c r="E350" s="104"/>
      <c r="F350" s="104"/>
      <c r="G350" s="104"/>
    </row>
    <row r="351" spans="1:7" ht="12.5" x14ac:dyDescent="0.25">
      <c r="A351" s="104"/>
      <c r="B351" s="104"/>
      <c r="D351" s="104"/>
      <c r="E351" s="104"/>
      <c r="F351" s="104"/>
      <c r="G351" s="104"/>
    </row>
    <row r="352" spans="1:7" ht="12.5" x14ac:dyDescent="0.25">
      <c r="A352" s="104"/>
      <c r="B352" s="104"/>
      <c r="D352" s="104"/>
      <c r="E352" s="104"/>
      <c r="F352" s="104"/>
      <c r="G352" s="104"/>
    </row>
    <row r="353" spans="1:7" ht="12.5" x14ac:dyDescent="0.25">
      <c r="A353" s="104"/>
      <c r="B353" s="104"/>
      <c r="D353" s="104"/>
      <c r="E353" s="104"/>
      <c r="F353" s="104"/>
      <c r="G353" s="104"/>
    </row>
    <row r="354" spans="1:7" ht="12.5" x14ac:dyDescent="0.25">
      <c r="A354" s="104"/>
      <c r="B354" s="104"/>
      <c r="D354" s="104"/>
      <c r="E354" s="104"/>
      <c r="F354" s="104"/>
      <c r="G354" s="104"/>
    </row>
    <row r="355" spans="1:7" ht="12.5" x14ac:dyDescent="0.25">
      <c r="A355" s="104"/>
      <c r="B355" s="104"/>
      <c r="D355" s="104"/>
      <c r="E355" s="104"/>
      <c r="F355" s="104"/>
      <c r="G355" s="104"/>
    </row>
    <row r="356" spans="1:7" ht="12.5" x14ac:dyDescent="0.25">
      <c r="A356" s="104"/>
      <c r="B356" s="104"/>
      <c r="D356" s="104"/>
      <c r="E356" s="104"/>
      <c r="F356" s="104"/>
      <c r="G356" s="104"/>
    </row>
    <row r="357" spans="1:7" ht="12.5" x14ac:dyDescent="0.25">
      <c r="A357" s="104"/>
      <c r="B357" s="104"/>
      <c r="D357" s="104"/>
      <c r="E357" s="104"/>
      <c r="F357" s="104"/>
      <c r="G357" s="104"/>
    </row>
    <row r="358" spans="1:7" ht="12.5" x14ac:dyDescent="0.25">
      <c r="A358" s="104"/>
      <c r="B358" s="104"/>
      <c r="D358" s="104"/>
      <c r="E358" s="104"/>
      <c r="F358" s="104"/>
      <c r="G358" s="104"/>
    </row>
    <row r="359" spans="1:7" ht="12.5" x14ac:dyDescent="0.25">
      <c r="A359" s="104"/>
      <c r="B359" s="104"/>
      <c r="D359" s="104"/>
      <c r="E359" s="104"/>
      <c r="F359" s="104"/>
      <c r="G359" s="104"/>
    </row>
    <row r="360" spans="1:7" ht="12.5" x14ac:dyDescent="0.25">
      <c r="A360" s="104"/>
      <c r="B360" s="104"/>
      <c r="D360" s="104"/>
      <c r="E360" s="104"/>
      <c r="F360" s="104"/>
      <c r="G360" s="104"/>
    </row>
    <row r="361" spans="1:7" ht="12.5" x14ac:dyDescent="0.25">
      <c r="A361" s="104"/>
      <c r="B361" s="104"/>
      <c r="D361" s="104"/>
      <c r="E361" s="104"/>
      <c r="F361" s="104"/>
      <c r="G361" s="104"/>
    </row>
    <row r="362" spans="1:7" ht="12.5" x14ac:dyDescent="0.25">
      <c r="A362" s="104"/>
      <c r="B362" s="104"/>
      <c r="D362" s="104"/>
      <c r="E362" s="104"/>
      <c r="F362" s="104"/>
      <c r="G362" s="104"/>
    </row>
    <row r="363" spans="1:7" ht="12.5" x14ac:dyDescent="0.25">
      <c r="A363" s="104"/>
      <c r="B363" s="104"/>
      <c r="D363" s="104"/>
      <c r="E363" s="104"/>
      <c r="F363" s="104"/>
      <c r="G363" s="104"/>
    </row>
    <row r="364" spans="1:7" ht="12.5" x14ac:dyDescent="0.25">
      <c r="A364" s="104"/>
      <c r="B364" s="104"/>
      <c r="D364" s="104"/>
      <c r="E364" s="104"/>
      <c r="F364" s="104"/>
      <c r="G364" s="104"/>
    </row>
    <row r="365" spans="1:7" ht="12.5" x14ac:dyDescent="0.25">
      <c r="A365" s="104"/>
      <c r="B365" s="104"/>
      <c r="D365" s="104"/>
      <c r="E365" s="104"/>
      <c r="F365" s="104"/>
      <c r="G365" s="104"/>
    </row>
    <row r="366" spans="1:7" ht="12.5" x14ac:dyDescent="0.25">
      <c r="A366" s="104"/>
      <c r="B366" s="104"/>
      <c r="D366" s="104"/>
      <c r="E366" s="104"/>
      <c r="F366" s="104"/>
      <c r="G366" s="104"/>
    </row>
    <row r="367" spans="1:7" ht="12.5" x14ac:dyDescent="0.25">
      <c r="A367" s="104"/>
      <c r="B367" s="104"/>
      <c r="D367" s="104"/>
      <c r="E367" s="104"/>
      <c r="F367" s="104"/>
      <c r="G367" s="104"/>
    </row>
    <row r="368" spans="1:7" ht="12.5" x14ac:dyDescent="0.25">
      <c r="A368" s="104"/>
      <c r="B368" s="104"/>
      <c r="D368" s="104"/>
      <c r="E368" s="104"/>
      <c r="F368" s="104"/>
      <c r="G368" s="104"/>
    </row>
    <row r="369" spans="1:7" ht="12.5" x14ac:dyDescent="0.25">
      <c r="A369" s="104"/>
      <c r="B369" s="104"/>
      <c r="D369" s="104"/>
      <c r="E369" s="104"/>
      <c r="F369" s="104"/>
      <c r="G369" s="104"/>
    </row>
    <row r="370" spans="1:7" ht="12.5" x14ac:dyDescent="0.25">
      <c r="A370" s="104"/>
      <c r="B370" s="104"/>
      <c r="D370" s="104"/>
      <c r="E370" s="104"/>
      <c r="F370" s="104"/>
      <c r="G370" s="104"/>
    </row>
    <row r="371" spans="1:7" ht="12.5" x14ac:dyDescent="0.25">
      <c r="A371" s="104"/>
      <c r="B371" s="104"/>
      <c r="D371" s="104"/>
      <c r="E371" s="104"/>
      <c r="F371" s="104"/>
      <c r="G371" s="104"/>
    </row>
    <row r="372" spans="1:7" ht="12.5" x14ac:dyDescent="0.25">
      <c r="A372" s="104"/>
      <c r="B372" s="104"/>
      <c r="D372" s="104"/>
      <c r="E372" s="104"/>
      <c r="F372" s="104"/>
      <c r="G372" s="104"/>
    </row>
    <row r="373" spans="1:7" ht="12.5" x14ac:dyDescent="0.25">
      <c r="A373" s="104"/>
      <c r="B373" s="104"/>
      <c r="D373" s="104"/>
      <c r="E373" s="104"/>
      <c r="F373" s="104"/>
      <c r="G373" s="104"/>
    </row>
    <row r="374" spans="1:7" ht="12.5" x14ac:dyDescent="0.25">
      <c r="A374" s="104"/>
      <c r="B374" s="104"/>
      <c r="D374" s="104"/>
      <c r="E374" s="104"/>
      <c r="F374" s="104"/>
      <c r="G374" s="104"/>
    </row>
    <row r="375" spans="1:7" ht="12.5" x14ac:dyDescent="0.25">
      <c r="A375" s="104"/>
      <c r="B375" s="104"/>
      <c r="D375" s="104"/>
      <c r="E375" s="104"/>
      <c r="F375" s="104"/>
      <c r="G375" s="104"/>
    </row>
    <row r="376" spans="1:7" ht="12.5" x14ac:dyDescent="0.25">
      <c r="A376" s="104"/>
      <c r="B376" s="104"/>
      <c r="D376" s="104"/>
      <c r="E376" s="104"/>
      <c r="F376" s="104"/>
      <c r="G376" s="104"/>
    </row>
    <row r="377" spans="1:7" ht="12.5" x14ac:dyDescent="0.25">
      <c r="A377" s="104"/>
      <c r="B377" s="104"/>
      <c r="D377" s="104"/>
      <c r="E377" s="104"/>
      <c r="F377" s="104"/>
      <c r="G377" s="104"/>
    </row>
    <row r="378" spans="1:7" ht="12.5" x14ac:dyDescent="0.25">
      <c r="A378" s="104"/>
      <c r="B378" s="104"/>
      <c r="D378" s="104"/>
      <c r="E378" s="104"/>
      <c r="F378" s="104"/>
      <c r="G378" s="104"/>
    </row>
    <row r="379" spans="1:7" ht="12.5" x14ac:dyDescent="0.25">
      <c r="A379" s="104"/>
      <c r="B379" s="104"/>
      <c r="D379" s="104"/>
      <c r="E379" s="104"/>
      <c r="F379" s="104"/>
      <c r="G379" s="104"/>
    </row>
    <row r="380" spans="1:7" ht="12.5" x14ac:dyDescent="0.25">
      <c r="A380" s="104"/>
      <c r="B380" s="104"/>
      <c r="D380" s="104"/>
      <c r="E380" s="104"/>
      <c r="F380" s="104"/>
      <c r="G380" s="104"/>
    </row>
    <row r="381" spans="1:7" ht="12.5" x14ac:dyDescent="0.25">
      <c r="A381" s="104"/>
      <c r="B381" s="104"/>
      <c r="D381" s="104"/>
      <c r="E381" s="104"/>
      <c r="F381" s="104"/>
      <c r="G381" s="104"/>
    </row>
    <row r="382" spans="1:7" ht="12.5" x14ac:dyDescent="0.25">
      <c r="A382" s="104"/>
      <c r="B382" s="104"/>
      <c r="D382" s="104"/>
      <c r="E382" s="104"/>
      <c r="F382" s="104"/>
      <c r="G382" s="104"/>
    </row>
    <row r="383" spans="1:7" ht="12.5" x14ac:dyDescent="0.25">
      <c r="A383" s="104"/>
      <c r="B383" s="104"/>
      <c r="D383" s="104"/>
      <c r="E383" s="104"/>
      <c r="F383" s="104"/>
      <c r="G383" s="104"/>
    </row>
    <row r="384" spans="1:7" ht="12.5" x14ac:dyDescent="0.25">
      <c r="A384" s="104"/>
      <c r="B384" s="104"/>
      <c r="D384" s="104"/>
      <c r="E384" s="104"/>
      <c r="F384" s="104"/>
      <c r="G384" s="104"/>
    </row>
    <row r="385" spans="1:7" ht="12.5" x14ac:dyDescent="0.25">
      <c r="A385" s="104"/>
      <c r="B385" s="104"/>
      <c r="D385" s="104"/>
      <c r="E385" s="104"/>
      <c r="F385" s="104"/>
      <c r="G385" s="104"/>
    </row>
    <row r="386" spans="1:7" ht="12.5" x14ac:dyDescent="0.25">
      <c r="A386" s="104"/>
      <c r="B386" s="104"/>
      <c r="D386" s="104"/>
      <c r="E386" s="104"/>
      <c r="F386" s="104"/>
      <c r="G386" s="104"/>
    </row>
    <row r="387" spans="1:7" ht="12.5" x14ac:dyDescent="0.25">
      <c r="A387" s="104"/>
      <c r="B387" s="104"/>
      <c r="D387" s="104"/>
      <c r="E387" s="104"/>
      <c r="F387" s="104"/>
      <c r="G387" s="104"/>
    </row>
    <row r="388" spans="1:7" ht="12.5" x14ac:dyDescent="0.25">
      <c r="A388" s="104"/>
      <c r="B388" s="104"/>
      <c r="D388" s="104"/>
      <c r="E388" s="104"/>
      <c r="F388" s="104"/>
      <c r="G388" s="104"/>
    </row>
    <row r="389" spans="1:7" ht="12.5" x14ac:dyDescent="0.25">
      <c r="A389" s="104"/>
      <c r="B389" s="104"/>
      <c r="D389" s="104"/>
      <c r="E389" s="104"/>
      <c r="F389" s="104"/>
      <c r="G389" s="104"/>
    </row>
    <row r="390" spans="1:7" ht="12.5" x14ac:dyDescent="0.25">
      <c r="A390" s="104"/>
      <c r="B390" s="104"/>
      <c r="D390" s="104"/>
      <c r="E390" s="104"/>
      <c r="F390" s="104"/>
      <c r="G390" s="104"/>
    </row>
    <row r="391" spans="1:7" ht="12.5" x14ac:dyDescent="0.25">
      <c r="A391" s="104"/>
      <c r="B391" s="104"/>
      <c r="D391" s="104"/>
      <c r="E391" s="104"/>
      <c r="F391" s="104"/>
      <c r="G391" s="104"/>
    </row>
    <row r="392" spans="1:7" ht="12.5" x14ac:dyDescent="0.25">
      <c r="A392" s="104"/>
      <c r="B392" s="104"/>
      <c r="D392" s="104"/>
      <c r="E392" s="104"/>
      <c r="F392" s="104"/>
      <c r="G392" s="104"/>
    </row>
    <row r="393" spans="1:7" ht="12.5" x14ac:dyDescent="0.25">
      <c r="A393" s="104"/>
      <c r="B393" s="104"/>
      <c r="D393" s="104"/>
      <c r="E393" s="104"/>
      <c r="F393" s="104"/>
      <c r="G393" s="104"/>
    </row>
    <row r="394" spans="1:7" ht="12.5" x14ac:dyDescent="0.25">
      <c r="A394" s="104"/>
      <c r="B394" s="104"/>
      <c r="D394" s="104"/>
      <c r="E394" s="104"/>
      <c r="F394" s="104"/>
      <c r="G394" s="104"/>
    </row>
    <row r="395" spans="1:7" ht="12.5" x14ac:dyDescent="0.25">
      <c r="A395" s="104"/>
      <c r="B395" s="104"/>
      <c r="D395" s="104"/>
      <c r="E395" s="104"/>
      <c r="F395" s="104"/>
      <c r="G395" s="104"/>
    </row>
    <row r="396" spans="1:7" ht="12.5" x14ac:dyDescent="0.25">
      <c r="A396" s="104"/>
      <c r="B396" s="104"/>
      <c r="D396" s="104"/>
      <c r="E396" s="104"/>
      <c r="F396" s="104"/>
      <c r="G396" s="104"/>
    </row>
    <row r="397" spans="1:7" ht="12.5" x14ac:dyDescent="0.25">
      <c r="A397" s="104"/>
      <c r="B397" s="104"/>
      <c r="D397" s="104"/>
      <c r="E397" s="104"/>
      <c r="F397" s="104"/>
      <c r="G397" s="104"/>
    </row>
    <row r="398" spans="1:7" ht="12.5" x14ac:dyDescent="0.25">
      <c r="A398" s="104"/>
      <c r="B398" s="104"/>
      <c r="D398" s="104"/>
      <c r="E398" s="104"/>
      <c r="F398" s="104"/>
      <c r="G398" s="104"/>
    </row>
    <row r="399" spans="1:7" ht="12.5" x14ac:dyDescent="0.25">
      <c r="A399" s="104"/>
      <c r="B399" s="104"/>
      <c r="D399" s="104"/>
      <c r="E399" s="104"/>
      <c r="F399" s="104"/>
      <c r="G399" s="104"/>
    </row>
    <row r="400" spans="1:7" ht="12.5" x14ac:dyDescent="0.25">
      <c r="A400" s="104"/>
      <c r="B400" s="104"/>
      <c r="D400" s="104"/>
      <c r="E400" s="104"/>
      <c r="F400" s="104"/>
      <c r="G400" s="104"/>
    </row>
    <row r="401" spans="1:7" ht="12.5" x14ac:dyDescent="0.25">
      <c r="A401" s="104"/>
      <c r="B401" s="104"/>
      <c r="D401" s="104"/>
      <c r="E401" s="104"/>
      <c r="F401" s="104"/>
      <c r="G401" s="104"/>
    </row>
    <row r="402" spans="1:7" ht="12.5" x14ac:dyDescent="0.25">
      <c r="A402" s="104"/>
      <c r="B402" s="104"/>
      <c r="D402" s="104"/>
      <c r="E402" s="104"/>
      <c r="F402" s="104"/>
      <c r="G402" s="104"/>
    </row>
    <row r="403" spans="1:7" ht="12.5" x14ac:dyDescent="0.25">
      <c r="A403" s="104"/>
      <c r="B403" s="104"/>
      <c r="D403" s="104"/>
      <c r="E403" s="104"/>
      <c r="F403" s="104"/>
      <c r="G403" s="104"/>
    </row>
    <row r="404" spans="1:7" ht="12.5" x14ac:dyDescent="0.25">
      <c r="A404" s="104"/>
      <c r="B404" s="104"/>
      <c r="D404" s="104"/>
      <c r="E404" s="104"/>
      <c r="F404" s="104"/>
      <c r="G404" s="104"/>
    </row>
    <row r="405" spans="1:7" ht="12.5" x14ac:dyDescent="0.25">
      <c r="A405" s="104"/>
      <c r="B405" s="104"/>
      <c r="D405" s="104"/>
      <c r="E405" s="104"/>
      <c r="F405" s="104"/>
      <c r="G405" s="104"/>
    </row>
    <row r="406" spans="1:7" ht="12.5" x14ac:dyDescent="0.25">
      <c r="A406" s="104"/>
      <c r="B406" s="104"/>
      <c r="D406" s="104"/>
      <c r="E406" s="104"/>
      <c r="F406" s="104"/>
      <c r="G406" s="104"/>
    </row>
    <row r="407" spans="1:7" ht="12.5" x14ac:dyDescent="0.25">
      <c r="A407" s="104"/>
      <c r="B407" s="104"/>
      <c r="D407" s="104"/>
      <c r="E407" s="104"/>
      <c r="F407" s="104"/>
      <c r="G407" s="104"/>
    </row>
    <row r="408" spans="1:7" ht="12.5" x14ac:dyDescent="0.25">
      <c r="A408" s="104"/>
      <c r="B408" s="104"/>
      <c r="D408" s="104"/>
      <c r="E408" s="104"/>
      <c r="F408" s="104"/>
      <c r="G408" s="104"/>
    </row>
    <row r="409" spans="1:7" ht="12.5" x14ac:dyDescent="0.25">
      <c r="A409" s="104"/>
      <c r="B409" s="104"/>
      <c r="D409" s="104"/>
      <c r="E409" s="104"/>
      <c r="F409" s="104"/>
      <c r="G409" s="104"/>
    </row>
    <row r="410" spans="1:7" ht="12.5" x14ac:dyDescent="0.25">
      <c r="A410" s="104"/>
      <c r="B410" s="104"/>
      <c r="D410" s="104"/>
      <c r="E410" s="104"/>
      <c r="F410" s="104"/>
      <c r="G410" s="104"/>
    </row>
    <row r="411" spans="1:7" ht="12.5" x14ac:dyDescent="0.25">
      <c r="A411" s="104"/>
      <c r="B411" s="104"/>
      <c r="D411" s="104"/>
      <c r="E411" s="104"/>
      <c r="F411" s="104"/>
      <c r="G411" s="104"/>
    </row>
    <row r="412" spans="1:7" ht="12.5" x14ac:dyDescent="0.25">
      <c r="A412" s="104"/>
      <c r="B412" s="104"/>
      <c r="D412" s="104"/>
      <c r="E412" s="104"/>
      <c r="F412" s="104"/>
      <c r="G412" s="104"/>
    </row>
    <row r="413" spans="1:7" ht="12.5" x14ac:dyDescent="0.25">
      <c r="A413" s="104"/>
      <c r="B413" s="104"/>
      <c r="D413" s="104"/>
      <c r="E413" s="104"/>
      <c r="F413" s="104"/>
      <c r="G413" s="104"/>
    </row>
    <row r="414" spans="1:7" ht="12.5" x14ac:dyDescent="0.25">
      <c r="A414" s="104"/>
      <c r="B414" s="104"/>
      <c r="D414" s="104"/>
      <c r="E414" s="104"/>
      <c r="F414" s="104"/>
      <c r="G414" s="104"/>
    </row>
    <row r="415" spans="1:7" ht="12.5" x14ac:dyDescent="0.25">
      <c r="A415" s="104"/>
      <c r="B415" s="104"/>
      <c r="D415" s="104"/>
      <c r="E415" s="104"/>
      <c r="F415" s="104"/>
      <c r="G415" s="104"/>
    </row>
    <row r="416" spans="1:7" ht="12.5" x14ac:dyDescent="0.25">
      <c r="A416" s="104"/>
      <c r="B416" s="104"/>
      <c r="D416" s="104"/>
      <c r="E416" s="104"/>
      <c r="F416" s="104"/>
      <c r="G416" s="104"/>
    </row>
    <row r="417" spans="1:7" ht="12.5" x14ac:dyDescent="0.25">
      <c r="A417" s="104"/>
      <c r="B417" s="104"/>
      <c r="D417" s="104"/>
      <c r="E417" s="104"/>
      <c r="F417" s="104"/>
      <c r="G417" s="104"/>
    </row>
    <row r="418" spans="1:7" ht="12.5" x14ac:dyDescent="0.25">
      <c r="A418" s="104"/>
      <c r="B418" s="104"/>
      <c r="D418" s="104"/>
      <c r="E418" s="104"/>
      <c r="F418" s="104"/>
      <c r="G418" s="104"/>
    </row>
    <row r="419" spans="1:7" ht="12.5" x14ac:dyDescent="0.25">
      <c r="A419" s="104"/>
      <c r="B419" s="104"/>
      <c r="D419" s="104"/>
      <c r="E419" s="104"/>
      <c r="F419" s="104"/>
      <c r="G419" s="104"/>
    </row>
    <row r="420" spans="1:7" ht="12.5" x14ac:dyDescent="0.25">
      <c r="A420" s="104"/>
      <c r="B420" s="104"/>
      <c r="D420" s="104"/>
      <c r="E420" s="104"/>
      <c r="F420" s="104"/>
      <c r="G420" s="104"/>
    </row>
    <row r="421" spans="1:7" ht="12.5" x14ac:dyDescent="0.25">
      <c r="A421" s="104"/>
      <c r="B421" s="104"/>
      <c r="D421" s="104"/>
      <c r="E421" s="104"/>
      <c r="F421" s="104"/>
      <c r="G421" s="104"/>
    </row>
    <row r="422" spans="1:7" ht="12.5" x14ac:dyDescent="0.25">
      <c r="A422" s="104"/>
      <c r="B422" s="104"/>
      <c r="D422" s="104"/>
      <c r="E422" s="104"/>
      <c r="F422" s="104"/>
      <c r="G422" s="104"/>
    </row>
    <row r="423" spans="1:7" ht="12.5" x14ac:dyDescent="0.25">
      <c r="A423" s="104"/>
      <c r="B423" s="104"/>
      <c r="D423" s="104"/>
      <c r="E423" s="104"/>
      <c r="F423" s="104"/>
      <c r="G423" s="104"/>
    </row>
    <row r="424" spans="1:7" ht="12.5" x14ac:dyDescent="0.25">
      <c r="A424" s="104"/>
      <c r="B424" s="104"/>
      <c r="D424" s="104"/>
      <c r="E424" s="104"/>
      <c r="F424" s="104"/>
      <c r="G424" s="104"/>
    </row>
    <row r="425" spans="1:7" ht="12.5" x14ac:dyDescent="0.25">
      <c r="A425" s="104"/>
      <c r="B425" s="104"/>
      <c r="D425" s="104"/>
      <c r="E425" s="104"/>
      <c r="F425" s="104"/>
      <c r="G425" s="104"/>
    </row>
    <row r="426" spans="1:7" ht="12.5" x14ac:dyDescent="0.25">
      <c r="A426" s="104"/>
      <c r="B426" s="104"/>
      <c r="D426" s="104"/>
      <c r="E426" s="104"/>
      <c r="F426" s="104"/>
      <c r="G426" s="104"/>
    </row>
    <row r="427" spans="1:7" ht="12.5" x14ac:dyDescent="0.25">
      <c r="A427" s="104"/>
      <c r="B427" s="104"/>
      <c r="D427" s="104"/>
      <c r="E427" s="104"/>
      <c r="F427" s="104"/>
      <c r="G427" s="104"/>
    </row>
    <row r="428" spans="1:7" ht="12.5" x14ac:dyDescent="0.25">
      <c r="A428" s="104"/>
      <c r="B428" s="104"/>
      <c r="D428" s="104"/>
      <c r="E428" s="104"/>
      <c r="F428" s="104"/>
      <c r="G428" s="104"/>
    </row>
    <row r="429" spans="1:7" ht="12.5" x14ac:dyDescent="0.25">
      <c r="A429" s="104"/>
      <c r="B429" s="104"/>
      <c r="D429" s="104"/>
      <c r="E429" s="104"/>
      <c r="F429" s="104"/>
      <c r="G429" s="104"/>
    </row>
    <row r="430" spans="1:7" ht="12.5" x14ac:dyDescent="0.25">
      <c r="A430" s="104"/>
      <c r="B430" s="104"/>
      <c r="D430" s="104"/>
      <c r="E430" s="104"/>
      <c r="F430" s="104"/>
      <c r="G430" s="104"/>
    </row>
    <row r="431" spans="1:7" ht="12.5" x14ac:dyDescent="0.25">
      <c r="A431" s="104"/>
      <c r="B431" s="104"/>
      <c r="D431" s="104"/>
      <c r="E431" s="104"/>
      <c r="F431" s="104"/>
      <c r="G431" s="104"/>
    </row>
    <row r="432" spans="1:7" ht="12.5" x14ac:dyDescent="0.25">
      <c r="A432" s="104"/>
      <c r="B432" s="104"/>
      <c r="D432" s="104"/>
      <c r="E432" s="104"/>
      <c r="F432" s="104"/>
      <c r="G432" s="104"/>
    </row>
    <row r="433" spans="1:7" ht="12.5" x14ac:dyDescent="0.25">
      <c r="A433" s="104"/>
      <c r="B433" s="104"/>
      <c r="D433" s="104"/>
      <c r="E433" s="104"/>
      <c r="F433" s="104"/>
      <c r="G433" s="104"/>
    </row>
    <row r="434" spans="1:7" ht="12.5" x14ac:dyDescent="0.25">
      <c r="A434" s="104"/>
      <c r="B434" s="104"/>
      <c r="D434" s="104"/>
      <c r="E434" s="104"/>
      <c r="F434" s="104"/>
      <c r="G434" s="104"/>
    </row>
    <row r="435" spans="1:7" ht="12.5" x14ac:dyDescent="0.25">
      <c r="A435" s="104"/>
      <c r="B435" s="104"/>
      <c r="D435" s="104"/>
      <c r="E435" s="104"/>
      <c r="F435" s="104"/>
      <c r="G435" s="104"/>
    </row>
    <row r="436" spans="1:7" ht="12.5" x14ac:dyDescent="0.25">
      <c r="A436" s="104"/>
      <c r="B436" s="104"/>
      <c r="D436" s="104"/>
      <c r="E436" s="104"/>
      <c r="F436" s="104"/>
      <c r="G436" s="104"/>
    </row>
    <row r="437" spans="1:7" ht="12.5" x14ac:dyDescent="0.25">
      <c r="A437" s="104"/>
      <c r="B437" s="104"/>
      <c r="D437" s="104"/>
      <c r="E437" s="104"/>
      <c r="F437" s="104"/>
      <c r="G437" s="104"/>
    </row>
    <row r="438" spans="1:7" ht="12.5" x14ac:dyDescent="0.25">
      <c r="A438" s="104"/>
      <c r="B438" s="104"/>
      <c r="D438" s="104"/>
      <c r="E438" s="104"/>
      <c r="F438" s="104"/>
      <c r="G438" s="104"/>
    </row>
    <row r="439" spans="1:7" ht="12.5" x14ac:dyDescent="0.25">
      <c r="A439" s="104"/>
      <c r="B439" s="104"/>
      <c r="D439" s="104"/>
      <c r="E439" s="104"/>
      <c r="F439" s="104"/>
      <c r="G439" s="104"/>
    </row>
    <row r="440" spans="1:7" ht="12.5" x14ac:dyDescent="0.25">
      <c r="A440" s="104"/>
      <c r="B440" s="104"/>
      <c r="D440" s="104"/>
      <c r="E440" s="104"/>
      <c r="F440" s="104"/>
      <c r="G440" s="104"/>
    </row>
    <row r="441" spans="1:7" ht="12.5" x14ac:dyDescent="0.25">
      <c r="A441" s="104"/>
      <c r="B441" s="104"/>
      <c r="D441" s="104"/>
      <c r="E441" s="104"/>
      <c r="F441" s="104"/>
      <c r="G441" s="104"/>
    </row>
    <row r="442" spans="1:7" ht="12.5" x14ac:dyDescent="0.25">
      <c r="A442" s="104"/>
      <c r="B442" s="104"/>
      <c r="D442" s="104"/>
      <c r="E442" s="104"/>
      <c r="F442" s="104"/>
      <c r="G442" s="104"/>
    </row>
    <row r="443" spans="1:7" ht="12.5" x14ac:dyDescent="0.25">
      <c r="A443" s="104"/>
      <c r="B443" s="104"/>
      <c r="D443" s="104"/>
      <c r="E443" s="104"/>
      <c r="F443" s="104"/>
      <c r="G443" s="104"/>
    </row>
    <row r="444" spans="1:7" ht="12.5" x14ac:dyDescent="0.25">
      <c r="A444" s="104"/>
      <c r="B444" s="104"/>
      <c r="D444" s="104"/>
      <c r="E444" s="104"/>
      <c r="F444" s="104"/>
      <c r="G444" s="104"/>
    </row>
    <row r="445" spans="1:7" ht="12.5" x14ac:dyDescent="0.25">
      <c r="A445" s="104"/>
      <c r="B445" s="104"/>
      <c r="D445" s="104"/>
      <c r="E445" s="104"/>
      <c r="F445" s="104"/>
      <c r="G445" s="104"/>
    </row>
    <row r="446" spans="1:7" ht="12.5" x14ac:dyDescent="0.25">
      <c r="A446" s="104"/>
      <c r="B446" s="104"/>
      <c r="D446" s="104"/>
      <c r="E446" s="104"/>
      <c r="F446" s="104"/>
      <c r="G446" s="104"/>
    </row>
    <row r="447" spans="1:7" ht="12.5" x14ac:dyDescent="0.25">
      <c r="A447" s="104"/>
      <c r="B447" s="104"/>
      <c r="D447" s="104"/>
      <c r="E447" s="104"/>
      <c r="F447" s="104"/>
      <c r="G447" s="104"/>
    </row>
    <row r="448" spans="1:7" ht="12.5" x14ac:dyDescent="0.25">
      <c r="A448" s="104"/>
      <c r="B448" s="104"/>
      <c r="D448" s="104"/>
      <c r="E448" s="104"/>
      <c r="F448" s="104"/>
      <c r="G448" s="104"/>
    </row>
    <row r="449" spans="1:7" ht="12.5" x14ac:dyDescent="0.25">
      <c r="A449" s="104"/>
      <c r="B449" s="104"/>
      <c r="D449" s="104"/>
      <c r="E449" s="104"/>
      <c r="F449" s="104"/>
      <c r="G449" s="104"/>
    </row>
    <row r="450" spans="1:7" ht="12.5" x14ac:dyDescent="0.25">
      <c r="A450" s="104"/>
      <c r="B450" s="104"/>
      <c r="D450" s="104"/>
      <c r="E450" s="104"/>
      <c r="F450" s="104"/>
      <c r="G450" s="104"/>
    </row>
    <row r="451" spans="1:7" ht="12.5" x14ac:dyDescent="0.25">
      <c r="A451" s="104"/>
      <c r="B451" s="104"/>
      <c r="D451" s="104"/>
      <c r="E451" s="104"/>
      <c r="F451" s="104"/>
      <c r="G451" s="104"/>
    </row>
    <row r="452" spans="1:7" ht="12.5" x14ac:dyDescent="0.25">
      <c r="A452" s="104"/>
      <c r="B452" s="104"/>
      <c r="D452" s="104"/>
      <c r="E452" s="104"/>
      <c r="F452" s="104"/>
      <c r="G452" s="104"/>
    </row>
    <row r="453" spans="1:7" ht="12.5" x14ac:dyDescent="0.25">
      <c r="A453" s="104"/>
      <c r="B453" s="104"/>
      <c r="D453" s="104"/>
      <c r="E453" s="104"/>
      <c r="F453" s="104"/>
      <c r="G453" s="104"/>
    </row>
    <row r="454" spans="1:7" ht="12.5" x14ac:dyDescent="0.25">
      <c r="A454" s="104"/>
      <c r="B454" s="104"/>
      <c r="D454" s="104"/>
      <c r="E454" s="104"/>
      <c r="F454" s="104"/>
      <c r="G454" s="104"/>
    </row>
    <row r="455" spans="1:7" ht="12.5" x14ac:dyDescent="0.25">
      <c r="A455" s="104"/>
      <c r="B455" s="104"/>
      <c r="D455" s="104"/>
      <c r="E455" s="104"/>
      <c r="F455" s="104"/>
      <c r="G455" s="104"/>
    </row>
    <row r="456" spans="1:7" ht="12.5" x14ac:dyDescent="0.25">
      <c r="A456" s="104"/>
      <c r="B456" s="104"/>
      <c r="D456" s="104"/>
      <c r="E456" s="104"/>
      <c r="F456" s="104"/>
      <c r="G456" s="104"/>
    </row>
    <row r="457" spans="1:7" ht="12.5" x14ac:dyDescent="0.25">
      <c r="A457" s="104"/>
      <c r="B457" s="104"/>
      <c r="D457" s="104"/>
      <c r="E457" s="104"/>
      <c r="F457" s="104"/>
      <c r="G457" s="104"/>
    </row>
    <row r="458" spans="1:7" ht="12.5" x14ac:dyDescent="0.25">
      <c r="A458" s="104"/>
      <c r="B458" s="104"/>
      <c r="D458" s="104"/>
      <c r="E458" s="104"/>
      <c r="F458" s="104"/>
      <c r="G458" s="104"/>
    </row>
    <row r="459" spans="1:7" ht="12.5" x14ac:dyDescent="0.25">
      <c r="A459" s="104"/>
      <c r="B459" s="104"/>
      <c r="D459" s="104"/>
      <c r="E459" s="104"/>
      <c r="F459" s="104"/>
      <c r="G459" s="104"/>
    </row>
    <row r="460" spans="1:7" ht="12.5" x14ac:dyDescent="0.25">
      <c r="A460" s="104"/>
      <c r="B460" s="104"/>
      <c r="D460" s="104"/>
      <c r="E460" s="104"/>
      <c r="F460" s="104"/>
      <c r="G460" s="104"/>
    </row>
    <row r="461" spans="1:7" ht="12.5" x14ac:dyDescent="0.25">
      <c r="A461" s="104"/>
      <c r="B461" s="104"/>
      <c r="D461" s="104"/>
      <c r="E461" s="104"/>
      <c r="F461" s="104"/>
      <c r="G461" s="104"/>
    </row>
    <row r="462" spans="1:7" ht="12.5" x14ac:dyDescent="0.25">
      <c r="A462" s="104"/>
      <c r="B462" s="104"/>
      <c r="D462" s="104"/>
      <c r="E462" s="104"/>
      <c r="F462" s="104"/>
      <c r="G462" s="104"/>
    </row>
    <row r="463" spans="1:7" ht="12.5" x14ac:dyDescent="0.25">
      <c r="A463" s="104"/>
      <c r="B463" s="104"/>
      <c r="D463" s="104"/>
      <c r="E463" s="104"/>
      <c r="F463" s="104"/>
      <c r="G463" s="104"/>
    </row>
    <row r="464" spans="1:7" ht="12.5" x14ac:dyDescent="0.25">
      <c r="A464" s="104"/>
      <c r="B464" s="104"/>
      <c r="D464" s="104"/>
      <c r="E464" s="104"/>
      <c r="F464" s="104"/>
      <c r="G464" s="104"/>
    </row>
    <row r="465" spans="1:7" ht="12.5" x14ac:dyDescent="0.25">
      <c r="A465" s="104"/>
      <c r="B465" s="104"/>
      <c r="D465" s="104"/>
      <c r="E465" s="104"/>
      <c r="F465" s="104"/>
      <c r="G465" s="104"/>
    </row>
    <row r="466" spans="1:7" ht="12.5" x14ac:dyDescent="0.25">
      <c r="A466" s="104"/>
      <c r="B466" s="104"/>
      <c r="D466" s="104"/>
      <c r="E466" s="104"/>
      <c r="F466" s="104"/>
      <c r="G466" s="104"/>
    </row>
    <row r="467" spans="1:7" ht="12.5" x14ac:dyDescent="0.25">
      <c r="A467" s="104"/>
      <c r="B467" s="104"/>
      <c r="D467" s="104"/>
      <c r="E467" s="104"/>
      <c r="F467" s="104"/>
      <c r="G467" s="104"/>
    </row>
    <row r="468" spans="1:7" ht="12.5" x14ac:dyDescent="0.25">
      <c r="A468" s="104"/>
      <c r="B468" s="104"/>
      <c r="D468" s="104"/>
      <c r="E468" s="104"/>
      <c r="F468" s="104"/>
      <c r="G468" s="104"/>
    </row>
    <row r="469" spans="1:7" ht="12.5" x14ac:dyDescent="0.25">
      <c r="A469" s="104"/>
      <c r="B469" s="104"/>
      <c r="D469" s="104"/>
      <c r="E469" s="104"/>
      <c r="F469" s="104"/>
      <c r="G469" s="104"/>
    </row>
    <row r="470" spans="1:7" ht="12.5" x14ac:dyDescent="0.25">
      <c r="A470" s="104"/>
      <c r="B470" s="104"/>
      <c r="D470" s="104"/>
      <c r="E470" s="104"/>
      <c r="F470" s="104"/>
      <c r="G470" s="104"/>
    </row>
    <row r="471" spans="1:7" ht="12.5" x14ac:dyDescent="0.25">
      <c r="A471" s="104"/>
      <c r="B471" s="104"/>
      <c r="D471" s="104"/>
      <c r="E471" s="104"/>
      <c r="F471" s="104"/>
      <c r="G471" s="104"/>
    </row>
    <row r="472" spans="1:7" ht="12.5" x14ac:dyDescent="0.25">
      <c r="A472" s="104"/>
      <c r="B472" s="104"/>
      <c r="D472" s="104"/>
      <c r="E472" s="104"/>
      <c r="F472" s="104"/>
      <c r="G472" s="104"/>
    </row>
    <row r="473" spans="1:7" ht="12.5" x14ac:dyDescent="0.25">
      <c r="A473" s="104"/>
      <c r="B473" s="104"/>
      <c r="D473" s="104"/>
      <c r="E473" s="104"/>
      <c r="F473" s="104"/>
      <c r="G473" s="104"/>
    </row>
    <row r="474" spans="1:7" ht="12.5" x14ac:dyDescent="0.25">
      <c r="A474" s="104"/>
      <c r="B474" s="104"/>
      <c r="D474" s="104"/>
      <c r="E474" s="104"/>
      <c r="F474" s="104"/>
      <c r="G474" s="104"/>
    </row>
    <row r="475" spans="1:7" ht="12.5" x14ac:dyDescent="0.25">
      <c r="A475" s="104"/>
      <c r="B475" s="104"/>
      <c r="D475" s="104"/>
      <c r="E475" s="104"/>
      <c r="F475" s="104"/>
      <c r="G475" s="104"/>
    </row>
    <row r="476" spans="1:7" ht="12.5" x14ac:dyDescent="0.25">
      <c r="A476" s="104"/>
      <c r="B476" s="104"/>
      <c r="D476" s="104"/>
      <c r="E476" s="104"/>
      <c r="F476" s="104"/>
      <c r="G476" s="104"/>
    </row>
    <row r="477" spans="1:7" ht="12.5" x14ac:dyDescent="0.25">
      <c r="A477" s="104"/>
      <c r="B477" s="104"/>
      <c r="D477" s="104"/>
      <c r="E477" s="104"/>
      <c r="F477" s="104"/>
      <c r="G477" s="104"/>
    </row>
    <row r="478" spans="1:7" ht="12.5" x14ac:dyDescent="0.25">
      <c r="A478" s="104"/>
      <c r="B478" s="104"/>
      <c r="D478" s="104"/>
      <c r="E478" s="104"/>
      <c r="F478" s="104"/>
      <c r="G478" s="104"/>
    </row>
    <row r="479" spans="1:7" ht="12.5" x14ac:dyDescent="0.25">
      <c r="A479" s="104"/>
      <c r="B479" s="104"/>
      <c r="D479" s="104"/>
      <c r="E479" s="104"/>
      <c r="F479" s="104"/>
      <c r="G479" s="104"/>
    </row>
    <row r="480" spans="1:7" ht="12.5" x14ac:dyDescent="0.25">
      <c r="A480" s="104"/>
      <c r="B480" s="104"/>
      <c r="D480" s="104"/>
      <c r="E480" s="104"/>
      <c r="F480" s="104"/>
      <c r="G480" s="104"/>
    </row>
    <row r="481" spans="1:7" ht="12.5" x14ac:dyDescent="0.25">
      <c r="A481" s="104"/>
      <c r="B481" s="104"/>
      <c r="D481" s="104"/>
      <c r="E481" s="104"/>
      <c r="F481" s="104"/>
      <c r="G481" s="104"/>
    </row>
    <row r="482" spans="1:7" ht="12.5" x14ac:dyDescent="0.25">
      <c r="A482" s="104"/>
      <c r="B482" s="104"/>
      <c r="D482" s="104"/>
      <c r="E482" s="104"/>
      <c r="F482" s="104"/>
      <c r="G482" s="104"/>
    </row>
    <row r="483" spans="1:7" ht="12.5" x14ac:dyDescent="0.25">
      <c r="A483" s="104"/>
      <c r="B483" s="104"/>
      <c r="D483" s="104"/>
      <c r="E483" s="104"/>
      <c r="F483" s="104"/>
      <c r="G483" s="104"/>
    </row>
    <row r="484" spans="1:7" ht="12.5" x14ac:dyDescent="0.25">
      <c r="A484" s="104"/>
      <c r="B484" s="104"/>
      <c r="D484" s="104"/>
      <c r="E484" s="104"/>
      <c r="F484" s="104"/>
      <c r="G484" s="104"/>
    </row>
    <row r="485" spans="1:7" ht="12.5" x14ac:dyDescent="0.25">
      <c r="A485" s="104"/>
      <c r="B485" s="104"/>
      <c r="D485" s="104"/>
      <c r="E485" s="104"/>
      <c r="F485" s="104"/>
      <c r="G485" s="104"/>
    </row>
    <row r="486" spans="1:7" ht="12.5" x14ac:dyDescent="0.25">
      <c r="A486" s="104"/>
      <c r="B486" s="104"/>
      <c r="D486" s="104"/>
      <c r="E486" s="104"/>
      <c r="F486" s="104"/>
      <c r="G486" s="104"/>
    </row>
    <row r="487" spans="1:7" ht="12.5" x14ac:dyDescent="0.25">
      <c r="A487" s="104"/>
      <c r="B487" s="104"/>
      <c r="D487" s="104"/>
      <c r="E487" s="104"/>
      <c r="F487" s="104"/>
      <c r="G487" s="104"/>
    </row>
    <row r="488" spans="1:7" ht="12.5" x14ac:dyDescent="0.25">
      <c r="A488" s="104"/>
      <c r="B488" s="104"/>
      <c r="D488" s="104"/>
      <c r="E488" s="104"/>
      <c r="F488" s="104"/>
      <c r="G488" s="104"/>
    </row>
    <row r="489" spans="1:7" ht="12.5" x14ac:dyDescent="0.25">
      <c r="A489" s="104"/>
      <c r="B489" s="104"/>
      <c r="D489" s="104"/>
      <c r="E489" s="104"/>
      <c r="F489" s="104"/>
      <c r="G489" s="104"/>
    </row>
    <row r="490" spans="1:7" ht="12.5" x14ac:dyDescent="0.25">
      <c r="A490" s="104"/>
      <c r="B490" s="104"/>
      <c r="D490" s="104"/>
      <c r="E490" s="104"/>
      <c r="F490" s="104"/>
      <c r="G490" s="104"/>
    </row>
    <row r="491" spans="1:7" ht="12.5" x14ac:dyDescent="0.25">
      <c r="A491" s="104"/>
      <c r="B491" s="104"/>
      <c r="D491" s="104"/>
      <c r="E491" s="104"/>
      <c r="F491" s="104"/>
      <c r="G491" s="104"/>
    </row>
    <row r="492" spans="1:7" ht="12.5" x14ac:dyDescent="0.25">
      <c r="A492" s="104"/>
      <c r="B492" s="104"/>
      <c r="D492" s="104"/>
      <c r="E492" s="104"/>
      <c r="F492" s="104"/>
      <c r="G492" s="104"/>
    </row>
    <row r="493" spans="1:7" ht="12.5" x14ac:dyDescent="0.25">
      <c r="A493" s="104"/>
      <c r="B493" s="104"/>
      <c r="D493" s="104"/>
      <c r="E493" s="104"/>
      <c r="F493" s="104"/>
      <c r="G493" s="104"/>
    </row>
    <row r="494" spans="1:7" ht="12.5" x14ac:dyDescent="0.25">
      <c r="A494" s="104"/>
      <c r="B494" s="104"/>
      <c r="D494" s="104"/>
      <c r="E494" s="104"/>
      <c r="F494" s="104"/>
      <c r="G494" s="104"/>
    </row>
    <row r="495" spans="1:7" ht="12.5" x14ac:dyDescent="0.25">
      <c r="A495" s="104"/>
      <c r="B495" s="104"/>
      <c r="D495" s="104"/>
      <c r="E495" s="104"/>
      <c r="F495" s="104"/>
      <c r="G495" s="104"/>
    </row>
    <row r="496" spans="1:7" ht="12.5" x14ac:dyDescent="0.25">
      <c r="A496" s="104"/>
      <c r="B496" s="104"/>
      <c r="D496" s="104"/>
      <c r="E496" s="104"/>
      <c r="F496" s="104"/>
      <c r="G496" s="104"/>
    </row>
    <row r="497" spans="1:7" ht="12.5" x14ac:dyDescent="0.25">
      <c r="A497" s="104"/>
      <c r="B497" s="104"/>
      <c r="D497" s="104"/>
      <c r="E497" s="104"/>
      <c r="F497" s="104"/>
      <c r="G497" s="104"/>
    </row>
    <row r="498" spans="1:7" ht="12.5" x14ac:dyDescent="0.25">
      <c r="A498" s="104"/>
      <c r="B498" s="104"/>
      <c r="D498" s="104"/>
      <c r="E498" s="104"/>
      <c r="F498" s="104"/>
      <c r="G498" s="104"/>
    </row>
    <row r="499" spans="1:7" ht="12.5" x14ac:dyDescent="0.25">
      <c r="A499" s="104"/>
      <c r="B499" s="104"/>
      <c r="D499" s="104"/>
      <c r="E499" s="104"/>
      <c r="F499" s="104"/>
      <c r="G499" s="104"/>
    </row>
    <row r="500" spans="1:7" ht="12.5" x14ac:dyDescent="0.25">
      <c r="A500" s="104"/>
      <c r="B500" s="104"/>
      <c r="D500" s="104"/>
      <c r="E500" s="104"/>
      <c r="F500" s="104"/>
      <c r="G500" s="104"/>
    </row>
    <row r="501" spans="1:7" ht="12.5" x14ac:dyDescent="0.25">
      <c r="A501" s="104"/>
      <c r="B501" s="104"/>
      <c r="D501" s="104"/>
      <c r="E501" s="104"/>
      <c r="F501" s="104"/>
      <c r="G501" s="104"/>
    </row>
    <row r="502" spans="1:7" ht="12.5" x14ac:dyDescent="0.25">
      <c r="A502" s="104"/>
      <c r="B502" s="104"/>
      <c r="D502" s="104"/>
      <c r="E502" s="104"/>
      <c r="F502" s="104"/>
      <c r="G502" s="104"/>
    </row>
    <row r="503" spans="1:7" ht="12.5" x14ac:dyDescent="0.25">
      <c r="A503" s="104"/>
      <c r="B503" s="104"/>
      <c r="D503" s="104"/>
      <c r="E503" s="104"/>
      <c r="F503" s="104"/>
      <c r="G503" s="104"/>
    </row>
    <row r="504" spans="1:7" ht="12.5" x14ac:dyDescent="0.25">
      <c r="A504" s="104"/>
      <c r="B504" s="104"/>
      <c r="D504" s="104"/>
      <c r="E504" s="104"/>
      <c r="F504" s="104"/>
      <c r="G504" s="104"/>
    </row>
    <row r="505" spans="1:7" ht="12.5" x14ac:dyDescent="0.25">
      <c r="A505" s="104"/>
      <c r="B505" s="104"/>
      <c r="D505" s="104"/>
      <c r="E505" s="104"/>
      <c r="F505" s="104"/>
      <c r="G505" s="104"/>
    </row>
    <row r="506" spans="1:7" ht="12.5" x14ac:dyDescent="0.25">
      <c r="A506" s="104"/>
      <c r="B506" s="104"/>
      <c r="D506" s="104"/>
      <c r="E506" s="104"/>
      <c r="F506" s="104"/>
      <c r="G506" s="104"/>
    </row>
    <row r="507" spans="1:7" ht="12.5" x14ac:dyDescent="0.25">
      <c r="A507" s="104"/>
      <c r="B507" s="104"/>
      <c r="D507" s="104"/>
      <c r="E507" s="104"/>
      <c r="F507" s="104"/>
      <c r="G507" s="104"/>
    </row>
    <row r="508" spans="1:7" ht="12.5" x14ac:dyDescent="0.25">
      <c r="A508" s="104"/>
      <c r="B508" s="104"/>
      <c r="D508" s="104"/>
      <c r="E508" s="104"/>
      <c r="F508" s="104"/>
      <c r="G508" s="104"/>
    </row>
    <row r="509" spans="1:7" ht="12.5" x14ac:dyDescent="0.25">
      <c r="A509" s="104"/>
      <c r="B509" s="104"/>
      <c r="D509" s="104"/>
      <c r="E509" s="104"/>
      <c r="F509" s="104"/>
      <c r="G509" s="104"/>
    </row>
    <row r="510" spans="1:7" ht="12.5" x14ac:dyDescent="0.25">
      <c r="A510" s="104"/>
      <c r="B510" s="104"/>
      <c r="D510" s="104"/>
      <c r="E510" s="104"/>
      <c r="F510" s="104"/>
      <c r="G510" s="104"/>
    </row>
    <row r="511" spans="1:7" ht="12.5" x14ac:dyDescent="0.25">
      <c r="A511" s="104"/>
      <c r="B511" s="104"/>
      <c r="D511" s="104"/>
      <c r="E511" s="104"/>
      <c r="F511" s="104"/>
      <c r="G511" s="104"/>
    </row>
    <row r="512" spans="1:7" ht="12.5" x14ac:dyDescent="0.25">
      <c r="A512" s="104"/>
      <c r="B512" s="104"/>
      <c r="D512" s="104"/>
      <c r="E512" s="104"/>
      <c r="F512" s="104"/>
      <c r="G512" s="104"/>
    </row>
    <row r="513" spans="1:7" ht="12.5" x14ac:dyDescent="0.25">
      <c r="A513" s="104"/>
      <c r="B513" s="104"/>
      <c r="D513" s="104"/>
      <c r="E513" s="104"/>
      <c r="F513" s="104"/>
      <c r="G513" s="104"/>
    </row>
    <row r="514" spans="1:7" ht="12.5" x14ac:dyDescent="0.25">
      <c r="A514" s="104"/>
      <c r="B514" s="104"/>
      <c r="D514" s="104"/>
      <c r="E514" s="104"/>
      <c r="F514" s="104"/>
      <c r="G514" s="104"/>
    </row>
    <row r="515" spans="1:7" ht="12.5" x14ac:dyDescent="0.25">
      <c r="A515" s="104"/>
      <c r="B515" s="104"/>
      <c r="D515" s="104"/>
      <c r="E515" s="104"/>
      <c r="F515" s="104"/>
      <c r="G515" s="104"/>
    </row>
    <row r="516" spans="1:7" ht="12.5" x14ac:dyDescent="0.25">
      <c r="A516" s="104"/>
      <c r="B516" s="104"/>
      <c r="D516" s="104"/>
      <c r="E516" s="104"/>
      <c r="F516" s="104"/>
      <c r="G516" s="104"/>
    </row>
    <row r="517" spans="1:7" ht="12.5" x14ac:dyDescent="0.25">
      <c r="A517" s="104"/>
      <c r="B517" s="104"/>
      <c r="D517" s="104"/>
      <c r="E517" s="104"/>
      <c r="F517" s="104"/>
      <c r="G517" s="104"/>
    </row>
    <row r="518" spans="1:7" ht="12.5" x14ac:dyDescent="0.25">
      <c r="A518" s="104"/>
      <c r="B518" s="104"/>
      <c r="D518" s="104"/>
      <c r="E518" s="104"/>
      <c r="F518" s="104"/>
      <c r="G518" s="104"/>
    </row>
    <row r="519" spans="1:7" ht="12.5" x14ac:dyDescent="0.25">
      <c r="A519" s="104"/>
      <c r="B519" s="104"/>
      <c r="D519" s="104"/>
      <c r="E519" s="104"/>
      <c r="F519" s="104"/>
      <c r="G519" s="104"/>
    </row>
    <row r="520" spans="1:7" ht="12.5" x14ac:dyDescent="0.25">
      <c r="A520" s="104"/>
      <c r="B520" s="104"/>
      <c r="D520" s="104"/>
      <c r="E520" s="104"/>
      <c r="F520" s="104"/>
      <c r="G520" s="104"/>
    </row>
    <row r="521" spans="1:7" ht="12.5" x14ac:dyDescent="0.25">
      <c r="A521" s="104"/>
      <c r="B521" s="104"/>
      <c r="D521" s="104"/>
      <c r="E521" s="104"/>
      <c r="F521" s="104"/>
      <c r="G521" s="104"/>
    </row>
    <row r="522" spans="1:7" ht="12.5" x14ac:dyDescent="0.25">
      <c r="A522" s="104"/>
      <c r="B522" s="104"/>
      <c r="D522" s="104"/>
      <c r="E522" s="104"/>
      <c r="F522" s="104"/>
      <c r="G522" s="104"/>
    </row>
    <row r="523" spans="1:7" ht="12.5" x14ac:dyDescent="0.25">
      <c r="A523" s="104"/>
      <c r="B523" s="104"/>
      <c r="D523" s="104"/>
      <c r="E523" s="104"/>
      <c r="F523" s="104"/>
      <c r="G523" s="104"/>
    </row>
    <row r="524" spans="1:7" ht="12.5" x14ac:dyDescent="0.25">
      <c r="A524" s="104"/>
      <c r="B524" s="104"/>
      <c r="D524" s="104"/>
      <c r="E524" s="104"/>
      <c r="F524" s="104"/>
      <c r="G524" s="104"/>
    </row>
    <row r="525" spans="1:7" ht="12.5" x14ac:dyDescent="0.25">
      <c r="A525" s="104"/>
      <c r="B525" s="104"/>
      <c r="D525" s="104"/>
      <c r="E525" s="104"/>
      <c r="F525" s="104"/>
      <c r="G525" s="104"/>
    </row>
    <row r="526" spans="1:7" ht="12.5" x14ac:dyDescent="0.25">
      <c r="A526" s="104"/>
      <c r="B526" s="104"/>
      <c r="D526" s="104"/>
      <c r="E526" s="104"/>
      <c r="F526" s="104"/>
      <c r="G526" s="104"/>
    </row>
    <row r="527" spans="1:7" ht="12.5" x14ac:dyDescent="0.25">
      <c r="A527" s="104"/>
      <c r="B527" s="104"/>
      <c r="D527" s="104"/>
      <c r="E527" s="104"/>
      <c r="F527" s="104"/>
      <c r="G527" s="104"/>
    </row>
    <row r="528" spans="1:7" ht="12.5" x14ac:dyDescent="0.25">
      <c r="A528" s="104"/>
      <c r="B528" s="104"/>
      <c r="D528" s="104"/>
      <c r="E528" s="104"/>
      <c r="F528" s="104"/>
      <c r="G528" s="104"/>
    </row>
    <row r="529" spans="1:7" ht="12.5" x14ac:dyDescent="0.25">
      <c r="A529" s="104"/>
      <c r="B529" s="104"/>
      <c r="D529" s="104"/>
      <c r="E529" s="104"/>
      <c r="F529" s="104"/>
      <c r="G529" s="104"/>
    </row>
    <row r="530" spans="1:7" ht="12.5" x14ac:dyDescent="0.25">
      <c r="A530" s="104"/>
      <c r="B530" s="104"/>
      <c r="D530" s="104"/>
      <c r="E530" s="104"/>
      <c r="F530" s="104"/>
      <c r="G530" s="104"/>
    </row>
    <row r="531" spans="1:7" ht="12.5" x14ac:dyDescent="0.25">
      <c r="A531" s="104"/>
      <c r="B531" s="104"/>
      <c r="D531" s="104"/>
      <c r="E531" s="104"/>
      <c r="F531" s="104"/>
      <c r="G531" s="104"/>
    </row>
    <row r="532" spans="1:7" ht="12.5" x14ac:dyDescent="0.25">
      <c r="A532" s="104"/>
      <c r="B532" s="104"/>
      <c r="D532" s="104"/>
      <c r="E532" s="104"/>
      <c r="F532" s="104"/>
      <c r="G532" s="104"/>
    </row>
    <row r="533" spans="1:7" ht="12.5" x14ac:dyDescent="0.25">
      <c r="A533" s="104"/>
      <c r="B533" s="104"/>
      <c r="D533" s="104"/>
      <c r="E533" s="104"/>
      <c r="F533" s="104"/>
      <c r="G533" s="104"/>
    </row>
    <row r="534" spans="1:7" ht="12.5" x14ac:dyDescent="0.25">
      <c r="A534" s="104"/>
      <c r="B534" s="104"/>
      <c r="D534" s="104"/>
      <c r="E534" s="104"/>
      <c r="F534" s="104"/>
      <c r="G534" s="104"/>
    </row>
    <row r="535" spans="1:7" ht="12.5" x14ac:dyDescent="0.25">
      <c r="A535" s="104"/>
      <c r="B535" s="104"/>
      <c r="D535" s="104"/>
      <c r="E535" s="104"/>
      <c r="F535" s="104"/>
      <c r="G535" s="104"/>
    </row>
    <row r="536" spans="1:7" ht="12.5" x14ac:dyDescent="0.25">
      <c r="A536" s="104"/>
      <c r="B536" s="104"/>
      <c r="D536" s="104"/>
      <c r="E536" s="104"/>
      <c r="F536" s="104"/>
      <c r="G536" s="104"/>
    </row>
    <row r="537" spans="1:7" ht="12.5" x14ac:dyDescent="0.25">
      <c r="A537" s="104"/>
      <c r="B537" s="104"/>
      <c r="D537" s="104"/>
      <c r="E537" s="104"/>
      <c r="F537" s="104"/>
      <c r="G537" s="104"/>
    </row>
    <row r="538" spans="1:7" ht="12.5" x14ac:dyDescent="0.25">
      <c r="A538" s="104"/>
      <c r="B538" s="104"/>
      <c r="D538" s="104"/>
      <c r="E538" s="104"/>
      <c r="F538" s="104"/>
      <c r="G538" s="104"/>
    </row>
    <row r="539" spans="1:7" ht="12.5" x14ac:dyDescent="0.25">
      <c r="A539" s="104"/>
      <c r="B539" s="104"/>
      <c r="D539" s="104"/>
      <c r="E539" s="104"/>
      <c r="F539" s="104"/>
      <c r="G539" s="104"/>
    </row>
    <row r="540" spans="1:7" ht="12.5" x14ac:dyDescent="0.25">
      <c r="A540" s="104"/>
      <c r="B540" s="104"/>
      <c r="D540" s="104"/>
      <c r="E540" s="104"/>
      <c r="F540" s="104"/>
      <c r="G540" s="104"/>
    </row>
    <row r="541" spans="1:7" ht="12.5" x14ac:dyDescent="0.25">
      <c r="A541" s="104"/>
      <c r="B541" s="104"/>
      <c r="D541" s="104"/>
      <c r="E541" s="104"/>
      <c r="F541" s="104"/>
      <c r="G541" s="104"/>
    </row>
    <row r="542" spans="1:7" ht="12.5" x14ac:dyDescent="0.25">
      <c r="A542" s="104"/>
      <c r="B542" s="104"/>
      <c r="D542" s="104"/>
      <c r="E542" s="104"/>
      <c r="F542" s="104"/>
      <c r="G542" s="104"/>
    </row>
    <row r="543" spans="1:7" ht="12.5" x14ac:dyDescent="0.25">
      <c r="A543" s="104"/>
      <c r="B543" s="104"/>
      <c r="D543" s="104"/>
      <c r="E543" s="104"/>
      <c r="F543" s="104"/>
      <c r="G543" s="104"/>
    </row>
    <row r="544" spans="1:7" ht="12.5" x14ac:dyDescent="0.25">
      <c r="A544" s="104"/>
      <c r="B544" s="104"/>
      <c r="D544" s="104"/>
      <c r="E544" s="104"/>
      <c r="F544" s="104"/>
      <c r="G544" s="104"/>
    </row>
    <row r="545" spans="1:7" ht="12.5" x14ac:dyDescent="0.25">
      <c r="A545" s="104"/>
      <c r="B545" s="104"/>
      <c r="D545" s="104"/>
      <c r="E545" s="104"/>
      <c r="F545" s="104"/>
      <c r="G545" s="104"/>
    </row>
    <row r="546" spans="1:7" ht="12.5" x14ac:dyDescent="0.25">
      <c r="A546" s="104"/>
      <c r="B546" s="104"/>
      <c r="D546" s="104"/>
      <c r="E546" s="104"/>
      <c r="F546" s="104"/>
      <c r="G546" s="104"/>
    </row>
    <row r="547" spans="1:7" ht="12.5" x14ac:dyDescent="0.25">
      <c r="A547" s="104"/>
      <c r="B547" s="104"/>
      <c r="D547" s="104"/>
      <c r="E547" s="104"/>
      <c r="F547" s="104"/>
      <c r="G547" s="104"/>
    </row>
    <row r="548" spans="1:7" ht="12.5" x14ac:dyDescent="0.25">
      <c r="A548" s="104"/>
      <c r="B548" s="104"/>
      <c r="D548" s="104"/>
      <c r="E548" s="104"/>
      <c r="F548" s="104"/>
      <c r="G548" s="104"/>
    </row>
    <row r="549" spans="1:7" ht="12.5" x14ac:dyDescent="0.25">
      <c r="A549" s="104"/>
      <c r="B549" s="104"/>
      <c r="D549" s="104"/>
      <c r="E549" s="104"/>
      <c r="F549" s="104"/>
      <c r="G549" s="104"/>
    </row>
    <row r="550" spans="1:7" ht="12.5" x14ac:dyDescent="0.25">
      <c r="A550" s="104"/>
      <c r="B550" s="104"/>
      <c r="D550" s="104"/>
      <c r="E550" s="104"/>
      <c r="F550" s="104"/>
      <c r="G550" s="104"/>
    </row>
    <row r="551" spans="1:7" ht="12.5" x14ac:dyDescent="0.25">
      <c r="A551" s="104"/>
      <c r="B551" s="104"/>
      <c r="D551" s="104"/>
      <c r="E551" s="104"/>
      <c r="F551" s="104"/>
      <c r="G551" s="104"/>
    </row>
    <row r="552" spans="1:7" ht="12.5" x14ac:dyDescent="0.25">
      <c r="A552" s="104"/>
      <c r="B552" s="104"/>
      <c r="D552" s="104"/>
      <c r="E552" s="104"/>
      <c r="F552" s="104"/>
      <c r="G552" s="104"/>
    </row>
    <row r="553" spans="1:7" ht="12.5" x14ac:dyDescent="0.25">
      <c r="A553" s="104"/>
      <c r="B553" s="104"/>
      <c r="D553" s="104"/>
      <c r="E553" s="104"/>
      <c r="F553" s="104"/>
      <c r="G553" s="104"/>
    </row>
    <row r="554" spans="1:7" ht="12.5" x14ac:dyDescent="0.25">
      <c r="A554" s="104"/>
      <c r="B554" s="104"/>
      <c r="D554" s="104"/>
      <c r="E554" s="104"/>
      <c r="F554" s="104"/>
      <c r="G554" s="104"/>
    </row>
    <row r="555" spans="1:7" ht="12.5" x14ac:dyDescent="0.25">
      <c r="A555" s="104"/>
      <c r="B555" s="104"/>
      <c r="D555" s="104"/>
      <c r="E555" s="104"/>
      <c r="F555" s="104"/>
      <c r="G555" s="104"/>
    </row>
    <row r="556" spans="1:7" ht="12.5" x14ac:dyDescent="0.25">
      <c r="A556" s="104"/>
      <c r="B556" s="104"/>
      <c r="D556" s="104"/>
      <c r="E556" s="104"/>
      <c r="F556" s="104"/>
      <c r="G556" s="104"/>
    </row>
    <row r="557" spans="1:7" ht="12.5" x14ac:dyDescent="0.25">
      <c r="A557" s="104"/>
      <c r="B557" s="104"/>
      <c r="D557" s="104"/>
      <c r="E557" s="104"/>
      <c r="F557" s="104"/>
      <c r="G557" s="104"/>
    </row>
    <row r="558" spans="1:7" ht="12.5" x14ac:dyDescent="0.25">
      <c r="A558" s="104"/>
      <c r="B558" s="104"/>
      <c r="D558" s="104"/>
      <c r="E558" s="104"/>
      <c r="F558" s="104"/>
      <c r="G558" s="104"/>
    </row>
    <row r="559" spans="1:7" ht="12.5" x14ac:dyDescent="0.25">
      <c r="A559" s="104"/>
      <c r="B559" s="104"/>
      <c r="D559" s="104"/>
      <c r="E559" s="104"/>
      <c r="F559" s="104"/>
      <c r="G559" s="104"/>
    </row>
    <row r="560" spans="1:7" ht="12.5" x14ac:dyDescent="0.25">
      <c r="A560" s="104"/>
      <c r="B560" s="104"/>
      <c r="D560" s="104"/>
      <c r="E560" s="104"/>
      <c r="F560" s="104"/>
      <c r="G560" s="104"/>
    </row>
    <row r="561" spans="1:7" ht="12.5" x14ac:dyDescent="0.25">
      <c r="A561" s="104"/>
      <c r="B561" s="104"/>
      <c r="D561" s="104"/>
      <c r="E561" s="104"/>
      <c r="F561" s="104"/>
      <c r="G561" s="104"/>
    </row>
    <row r="562" spans="1:7" ht="12.5" x14ac:dyDescent="0.25">
      <c r="A562" s="104"/>
      <c r="B562" s="104"/>
      <c r="D562" s="104"/>
      <c r="E562" s="104"/>
      <c r="F562" s="104"/>
      <c r="G562" s="104"/>
    </row>
    <row r="563" spans="1:7" ht="12.5" x14ac:dyDescent="0.25">
      <c r="A563" s="104"/>
      <c r="B563" s="104"/>
      <c r="D563" s="104"/>
      <c r="E563" s="104"/>
      <c r="F563" s="104"/>
      <c r="G563" s="104"/>
    </row>
    <row r="564" spans="1:7" ht="12.5" x14ac:dyDescent="0.25">
      <c r="A564" s="104"/>
      <c r="B564" s="104"/>
      <c r="D564" s="104"/>
      <c r="E564" s="104"/>
      <c r="F564" s="104"/>
      <c r="G564" s="104"/>
    </row>
    <row r="565" spans="1:7" ht="12.5" x14ac:dyDescent="0.25">
      <c r="A565" s="104"/>
      <c r="B565" s="104"/>
      <c r="D565" s="104"/>
      <c r="E565" s="104"/>
      <c r="F565" s="104"/>
      <c r="G565" s="104"/>
    </row>
    <row r="566" spans="1:7" ht="12.5" x14ac:dyDescent="0.25">
      <c r="A566" s="104"/>
      <c r="B566" s="104"/>
      <c r="D566" s="104"/>
      <c r="E566" s="104"/>
      <c r="F566" s="104"/>
      <c r="G566" s="104"/>
    </row>
    <row r="567" spans="1:7" ht="12.5" x14ac:dyDescent="0.25">
      <c r="A567" s="104"/>
      <c r="B567" s="104"/>
      <c r="D567" s="104"/>
      <c r="E567" s="104"/>
      <c r="F567" s="104"/>
      <c r="G567" s="104"/>
    </row>
    <row r="568" spans="1:7" ht="12.5" x14ac:dyDescent="0.25">
      <c r="A568" s="104"/>
      <c r="B568" s="104"/>
      <c r="D568" s="104"/>
      <c r="E568" s="104"/>
      <c r="F568" s="104"/>
      <c r="G568" s="104"/>
    </row>
    <row r="569" spans="1:7" ht="12.5" x14ac:dyDescent="0.25">
      <c r="A569" s="104"/>
      <c r="B569" s="104"/>
      <c r="D569" s="104"/>
      <c r="E569" s="104"/>
      <c r="F569" s="104"/>
      <c r="G569" s="104"/>
    </row>
    <row r="570" spans="1:7" ht="12.5" x14ac:dyDescent="0.25">
      <c r="A570" s="104"/>
      <c r="B570" s="104"/>
      <c r="D570" s="104"/>
      <c r="E570" s="104"/>
      <c r="F570" s="104"/>
      <c r="G570" s="104"/>
    </row>
    <row r="571" spans="1:7" ht="12.5" x14ac:dyDescent="0.25">
      <c r="A571" s="104"/>
      <c r="B571" s="104"/>
      <c r="D571" s="104"/>
      <c r="E571" s="104"/>
      <c r="F571" s="104"/>
      <c r="G571" s="104"/>
    </row>
    <row r="572" spans="1:7" ht="12.5" x14ac:dyDescent="0.25">
      <c r="A572" s="104"/>
      <c r="B572" s="104"/>
      <c r="D572" s="104"/>
      <c r="E572" s="104"/>
      <c r="F572" s="104"/>
      <c r="G572" s="104"/>
    </row>
    <row r="573" spans="1:7" ht="12.5" x14ac:dyDescent="0.25">
      <c r="A573" s="104"/>
      <c r="B573" s="104"/>
      <c r="D573" s="104"/>
      <c r="E573" s="104"/>
      <c r="F573" s="104"/>
      <c r="G573" s="104"/>
    </row>
    <row r="574" spans="1:7" ht="12.5" x14ac:dyDescent="0.25">
      <c r="A574" s="104"/>
      <c r="B574" s="104"/>
      <c r="D574" s="104"/>
      <c r="E574" s="104"/>
      <c r="F574" s="104"/>
      <c r="G574" s="104"/>
    </row>
    <row r="575" spans="1:7" ht="12.5" x14ac:dyDescent="0.25">
      <c r="A575" s="104"/>
      <c r="B575" s="104"/>
      <c r="D575" s="104"/>
      <c r="E575" s="104"/>
      <c r="F575" s="104"/>
      <c r="G575" s="104"/>
    </row>
    <row r="576" spans="1:7" ht="12.5" x14ac:dyDescent="0.25">
      <c r="A576" s="104"/>
      <c r="B576" s="104"/>
      <c r="D576" s="104"/>
      <c r="E576" s="104"/>
      <c r="F576" s="104"/>
      <c r="G576" s="104"/>
    </row>
    <row r="577" spans="1:7" ht="12.5" x14ac:dyDescent="0.25">
      <c r="A577" s="104"/>
      <c r="B577" s="104"/>
      <c r="D577" s="104"/>
      <c r="E577" s="104"/>
      <c r="F577" s="104"/>
      <c r="G577" s="104"/>
    </row>
    <row r="578" spans="1:7" ht="12.5" x14ac:dyDescent="0.25">
      <c r="A578" s="104"/>
      <c r="B578" s="104"/>
      <c r="D578" s="104"/>
      <c r="E578" s="104"/>
      <c r="F578" s="104"/>
      <c r="G578" s="104"/>
    </row>
    <row r="579" spans="1:7" ht="12.5" x14ac:dyDescent="0.25">
      <c r="A579" s="104"/>
      <c r="B579" s="104"/>
      <c r="D579" s="104"/>
      <c r="E579" s="104"/>
      <c r="F579" s="104"/>
      <c r="G579" s="104"/>
    </row>
    <row r="580" spans="1:7" ht="12.5" x14ac:dyDescent="0.25">
      <c r="A580" s="104"/>
      <c r="B580" s="104"/>
      <c r="D580" s="104"/>
      <c r="E580" s="104"/>
      <c r="F580" s="104"/>
      <c r="G580" s="104"/>
    </row>
    <row r="581" spans="1:7" ht="12.5" x14ac:dyDescent="0.25">
      <c r="A581" s="104"/>
      <c r="B581" s="104"/>
      <c r="D581" s="104"/>
      <c r="E581" s="104"/>
      <c r="F581" s="104"/>
      <c r="G581" s="104"/>
    </row>
    <row r="582" spans="1:7" ht="12.5" x14ac:dyDescent="0.25">
      <c r="A582" s="104"/>
      <c r="B582" s="104"/>
      <c r="D582" s="104"/>
      <c r="E582" s="104"/>
      <c r="F582" s="104"/>
      <c r="G582" s="104"/>
    </row>
    <row r="583" spans="1:7" ht="12.5" x14ac:dyDescent="0.25">
      <c r="A583" s="104"/>
      <c r="B583" s="104"/>
      <c r="D583" s="104"/>
      <c r="E583" s="104"/>
      <c r="F583" s="104"/>
      <c r="G583" s="104"/>
    </row>
    <row r="584" spans="1:7" ht="12.5" x14ac:dyDescent="0.25">
      <c r="A584" s="104"/>
      <c r="B584" s="104"/>
      <c r="D584" s="104"/>
      <c r="E584" s="104"/>
      <c r="F584" s="104"/>
      <c r="G584" s="104"/>
    </row>
    <row r="585" spans="1:7" ht="12.5" x14ac:dyDescent="0.25">
      <c r="A585" s="104"/>
      <c r="B585" s="104"/>
      <c r="D585" s="104"/>
      <c r="E585" s="104"/>
      <c r="F585" s="104"/>
      <c r="G585" s="104"/>
    </row>
    <row r="586" spans="1:7" ht="12.5" x14ac:dyDescent="0.25">
      <c r="A586" s="104"/>
      <c r="B586" s="104"/>
      <c r="D586" s="104"/>
      <c r="E586" s="104"/>
      <c r="F586" s="104"/>
      <c r="G586" s="104"/>
    </row>
    <row r="587" spans="1:7" ht="12.5" x14ac:dyDescent="0.25">
      <c r="A587" s="104"/>
      <c r="B587" s="104"/>
      <c r="D587" s="104"/>
      <c r="E587" s="104"/>
      <c r="F587" s="104"/>
      <c r="G587" s="104"/>
    </row>
    <row r="588" spans="1:7" ht="12.5" x14ac:dyDescent="0.25">
      <c r="A588" s="104"/>
      <c r="B588" s="104"/>
      <c r="D588" s="104"/>
      <c r="E588" s="104"/>
      <c r="F588" s="104"/>
      <c r="G588" s="104"/>
    </row>
    <row r="589" spans="1:7" ht="12.5" x14ac:dyDescent="0.25">
      <c r="A589" s="104"/>
      <c r="B589" s="104"/>
      <c r="D589" s="104"/>
      <c r="E589" s="104"/>
      <c r="F589" s="104"/>
      <c r="G589" s="104"/>
    </row>
    <row r="590" spans="1:7" ht="12.5" x14ac:dyDescent="0.25">
      <c r="A590" s="104"/>
      <c r="B590" s="104"/>
      <c r="D590" s="104"/>
      <c r="E590" s="104"/>
      <c r="F590" s="104"/>
      <c r="G590" s="104"/>
    </row>
    <row r="591" spans="1:7" ht="12.5" x14ac:dyDescent="0.25">
      <c r="A591" s="104"/>
      <c r="B591" s="104"/>
      <c r="D591" s="104"/>
      <c r="E591" s="104"/>
      <c r="F591" s="104"/>
      <c r="G591" s="104"/>
    </row>
    <row r="592" spans="1:7" ht="12.5" x14ac:dyDescent="0.25">
      <c r="A592" s="104"/>
      <c r="B592" s="104"/>
      <c r="D592" s="104"/>
      <c r="E592" s="104"/>
      <c r="F592" s="104"/>
      <c r="G592" s="104"/>
    </row>
    <row r="593" spans="1:7" ht="12.5" x14ac:dyDescent="0.25">
      <c r="A593" s="104"/>
      <c r="B593" s="104"/>
      <c r="D593" s="104"/>
      <c r="E593" s="104"/>
      <c r="F593" s="104"/>
      <c r="G593" s="104"/>
    </row>
    <row r="594" spans="1:7" ht="12.5" x14ac:dyDescent="0.25">
      <c r="A594" s="104"/>
      <c r="B594" s="104"/>
      <c r="D594" s="104"/>
      <c r="E594" s="104"/>
      <c r="F594" s="104"/>
      <c r="G594" s="104"/>
    </row>
    <row r="595" spans="1:7" ht="12.5" x14ac:dyDescent="0.25">
      <c r="A595" s="104"/>
      <c r="B595" s="104"/>
      <c r="D595" s="104"/>
      <c r="E595" s="104"/>
      <c r="F595" s="104"/>
      <c r="G595" s="104"/>
    </row>
    <row r="596" spans="1:7" ht="12.5" x14ac:dyDescent="0.25">
      <c r="A596" s="104"/>
      <c r="B596" s="104"/>
      <c r="D596" s="104"/>
      <c r="E596" s="104"/>
      <c r="F596" s="104"/>
      <c r="G596" s="104"/>
    </row>
    <row r="597" spans="1:7" ht="12.5" x14ac:dyDescent="0.25">
      <c r="A597" s="104"/>
      <c r="B597" s="104"/>
      <c r="D597" s="104"/>
      <c r="E597" s="104"/>
      <c r="F597" s="104"/>
      <c r="G597" s="104"/>
    </row>
    <row r="598" spans="1:7" ht="12.5" x14ac:dyDescent="0.25">
      <c r="A598" s="104"/>
      <c r="B598" s="104"/>
      <c r="D598" s="104"/>
      <c r="E598" s="104"/>
      <c r="F598" s="104"/>
      <c r="G598" s="104"/>
    </row>
    <row r="599" spans="1:7" ht="12.5" x14ac:dyDescent="0.25">
      <c r="A599" s="104"/>
      <c r="B599" s="104"/>
      <c r="D599" s="104"/>
      <c r="E599" s="104"/>
      <c r="F599" s="104"/>
      <c r="G599" s="104"/>
    </row>
    <row r="600" spans="1:7" ht="12.5" x14ac:dyDescent="0.25">
      <c r="A600" s="104"/>
      <c r="B600" s="104"/>
      <c r="D600" s="104"/>
      <c r="E600" s="104"/>
      <c r="F600" s="104"/>
      <c r="G600" s="104"/>
    </row>
    <row r="601" spans="1:7" ht="12.5" x14ac:dyDescent="0.25">
      <c r="A601" s="104"/>
      <c r="B601" s="104"/>
      <c r="D601" s="104"/>
      <c r="E601" s="104"/>
      <c r="F601" s="104"/>
      <c r="G601" s="104"/>
    </row>
    <row r="602" spans="1:7" ht="12.5" x14ac:dyDescent="0.25">
      <c r="A602" s="104"/>
      <c r="B602" s="104"/>
      <c r="D602" s="104"/>
      <c r="E602" s="104"/>
      <c r="F602" s="104"/>
      <c r="G602" s="104"/>
    </row>
    <row r="603" spans="1:7" ht="12.5" x14ac:dyDescent="0.25">
      <c r="A603" s="104"/>
      <c r="B603" s="104"/>
      <c r="D603" s="104"/>
      <c r="E603" s="104"/>
      <c r="F603" s="104"/>
      <c r="G603" s="104"/>
    </row>
    <row r="604" spans="1:7" ht="12.5" x14ac:dyDescent="0.25">
      <c r="A604" s="104"/>
      <c r="B604" s="104"/>
      <c r="D604" s="104"/>
      <c r="E604" s="104"/>
      <c r="F604" s="104"/>
      <c r="G604" s="104"/>
    </row>
    <row r="605" spans="1:7" ht="12.5" x14ac:dyDescent="0.25">
      <c r="A605" s="104"/>
      <c r="B605" s="104"/>
      <c r="D605" s="104"/>
      <c r="E605" s="104"/>
      <c r="F605" s="104"/>
      <c r="G605" s="104"/>
    </row>
    <row r="606" spans="1:7" ht="12.5" x14ac:dyDescent="0.25">
      <c r="A606" s="104"/>
      <c r="B606" s="104"/>
      <c r="D606" s="104"/>
      <c r="E606" s="104"/>
      <c r="F606" s="104"/>
      <c r="G606" s="104"/>
    </row>
    <row r="607" spans="1:7" ht="12.5" x14ac:dyDescent="0.25">
      <c r="A607" s="104"/>
      <c r="B607" s="104"/>
      <c r="D607" s="104"/>
      <c r="E607" s="104"/>
      <c r="F607" s="104"/>
      <c r="G607" s="104"/>
    </row>
    <row r="608" spans="1:7" ht="12.5" x14ac:dyDescent="0.25">
      <c r="A608" s="104"/>
      <c r="B608" s="104"/>
      <c r="D608" s="104"/>
      <c r="E608" s="104"/>
      <c r="F608" s="104"/>
      <c r="G608" s="104"/>
    </row>
    <row r="609" spans="1:7" ht="12.5" x14ac:dyDescent="0.25">
      <c r="A609" s="104"/>
      <c r="B609" s="104"/>
      <c r="D609" s="104"/>
      <c r="E609" s="104"/>
      <c r="F609" s="104"/>
      <c r="G609" s="104"/>
    </row>
    <row r="610" spans="1:7" ht="12.5" x14ac:dyDescent="0.25">
      <c r="A610" s="104"/>
      <c r="B610" s="104"/>
      <c r="D610" s="104"/>
      <c r="E610" s="104"/>
      <c r="F610" s="104"/>
      <c r="G610" s="104"/>
    </row>
    <row r="611" spans="1:7" ht="12.5" x14ac:dyDescent="0.25">
      <c r="A611" s="104"/>
      <c r="B611" s="104"/>
      <c r="D611" s="104"/>
      <c r="E611" s="104"/>
      <c r="F611" s="104"/>
      <c r="G611" s="104"/>
    </row>
    <row r="612" spans="1:7" ht="12.5" x14ac:dyDescent="0.25">
      <c r="A612" s="104"/>
      <c r="B612" s="104"/>
      <c r="D612" s="104"/>
      <c r="E612" s="104"/>
      <c r="F612" s="104"/>
      <c r="G612" s="104"/>
    </row>
    <row r="613" spans="1:7" ht="12.5" x14ac:dyDescent="0.25">
      <c r="A613" s="104"/>
      <c r="B613" s="104"/>
      <c r="D613" s="104"/>
      <c r="E613" s="104"/>
      <c r="F613" s="104"/>
      <c r="G613" s="104"/>
    </row>
    <row r="614" spans="1:7" ht="12.5" x14ac:dyDescent="0.25">
      <c r="A614" s="104"/>
      <c r="B614" s="104"/>
      <c r="D614" s="104"/>
      <c r="E614" s="104"/>
      <c r="F614" s="104"/>
      <c r="G614" s="104"/>
    </row>
    <row r="615" spans="1:7" ht="12.5" x14ac:dyDescent="0.25">
      <c r="A615" s="104"/>
      <c r="B615" s="104"/>
      <c r="D615" s="104"/>
      <c r="E615" s="104"/>
      <c r="F615" s="104"/>
      <c r="G615" s="104"/>
    </row>
    <row r="616" spans="1:7" ht="12.5" x14ac:dyDescent="0.25">
      <c r="A616" s="104"/>
      <c r="B616" s="104"/>
      <c r="D616" s="104"/>
      <c r="E616" s="104"/>
      <c r="F616" s="104"/>
      <c r="G616" s="104"/>
    </row>
    <row r="617" spans="1:7" ht="12.5" x14ac:dyDescent="0.25">
      <c r="A617" s="104"/>
      <c r="B617" s="104"/>
      <c r="D617" s="104"/>
      <c r="E617" s="104"/>
      <c r="F617" s="104"/>
      <c r="G617" s="104"/>
    </row>
    <row r="618" spans="1:7" ht="12.5" x14ac:dyDescent="0.25">
      <c r="A618" s="104"/>
      <c r="B618" s="104"/>
      <c r="D618" s="104"/>
      <c r="E618" s="104"/>
      <c r="F618" s="104"/>
      <c r="G618" s="104"/>
    </row>
    <row r="619" spans="1:7" ht="12.5" x14ac:dyDescent="0.25">
      <c r="A619" s="104"/>
      <c r="B619" s="104"/>
      <c r="D619" s="104"/>
      <c r="E619" s="104"/>
      <c r="F619" s="104"/>
      <c r="G619" s="104"/>
    </row>
    <row r="620" spans="1:7" ht="12.5" x14ac:dyDescent="0.25">
      <c r="A620" s="104"/>
      <c r="B620" s="104"/>
      <c r="D620" s="104"/>
      <c r="E620" s="104"/>
      <c r="F620" s="104"/>
      <c r="G620" s="104"/>
    </row>
    <row r="621" spans="1:7" ht="12.5" x14ac:dyDescent="0.25">
      <c r="A621" s="104"/>
      <c r="B621" s="104"/>
      <c r="D621" s="104"/>
      <c r="E621" s="104"/>
      <c r="F621" s="104"/>
      <c r="G621" s="104"/>
    </row>
    <row r="622" spans="1:7" ht="12.5" x14ac:dyDescent="0.25">
      <c r="A622" s="104"/>
      <c r="B622" s="104"/>
      <c r="D622" s="104"/>
      <c r="E622" s="104"/>
      <c r="F622" s="104"/>
      <c r="G622" s="104"/>
    </row>
    <row r="623" spans="1:7" ht="12.5" x14ac:dyDescent="0.25">
      <c r="A623" s="104"/>
      <c r="B623" s="104"/>
      <c r="D623" s="104"/>
      <c r="E623" s="104"/>
      <c r="F623" s="104"/>
      <c r="G623" s="104"/>
    </row>
    <row r="624" spans="1:7" ht="12.5" x14ac:dyDescent="0.25">
      <c r="A624" s="104"/>
      <c r="B624" s="104"/>
      <c r="D624" s="104"/>
      <c r="E624" s="104"/>
      <c r="F624" s="104"/>
      <c r="G624" s="104"/>
    </row>
    <row r="625" spans="1:7" ht="12.5" x14ac:dyDescent="0.25">
      <c r="A625" s="104"/>
      <c r="B625" s="104"/>
      <c r="D625" s="104"/>
      <c r="E625" s="104"/>
      <c r="F625" s="104"/>
      <c r="G625" s="104"/>
    </row>
    <row r="626" spans="1:7" ht="12.5" x14ac:dyDescent="0.25">
      <c r="A626" s="104"/>
      <c r="B626" s="104"/>
      <c r="D626" s="104"/>
      <c r="E626" s="104"/>
      <c r="F626" s="104"/>
      <c r="G626" s="104"/>
    </row>
    <row r="627" spans="1:7" ht="12.5" x14ac:dyDescent="0.25">
      <c r="A627" s="104"/>
      <c r="B627" s="104"/>
      <c r="D627" s="104"/>
      <c r="E627" s="104"/>
      <c r="F627" s="104"/>
      <c r="G627" s="104"/>
    </row>
    <row r="628" spans="1:7" ht="12.5" x14ac:dyDescent="0.25">
      <c r="A628" s="104"/>
      <c r="B628" s="104"/>
      <c r="D628" s="104"/>
      <c r="E628" s="104"/>
      <c r="F628" s="104"/>
      <c r="G628" s="104"/>
    </row>
    <row r="629" spans="1:7" ht="12.5" x14ac:dyDescent="0.25">
      <c r="A629" s="104"/>
      <c r="B629" s="104"/>
      <c r="D629" s="104"/>
      <c r="E629" s="104"/>
      <c r="F629" s="104"/>
      <c r="G629" s="104"/>
    </row>
    <row r="630" spans="1:7" ht="12.5" x14ac:dyDescent="0.25">
      <c r="A630" s="104"/>
      <c r="B630" s="104"/>
      <c r="D630" s="104"/>
      <c r="E630" s="104"/>
      <c r="F630" s="104"/>
      <c r="G630" s="104"/>
    </row>
    <row r="631" spans="1:7" ht="12.5" x14ac:dyDescent="0.25">
      <c r="A631" s="104"/>
      <c r="B631" s="104"/>
      <c r="D631" s="104"/>
      <c r="E631" s="104"/>
      <c r="F631" s="104"/>
      <c r="G631" s="104"/>
    </row>
    <row r="632" spans="1:7" ht="12.5" x14ac:dyDescent="0.25">
      <c r="A632" s="104"/>
      <c r="B632" s="104"/>
      <c r="D632" s="104"/>
      <c r="E632" s="104"/>
      <c r="F632" s="104"/>
      <c r="G632" s="104"/>
    </row>
    <row r="633" spans="1:7" ht="12.5" x14ac:dyDescent="0.25">
      <c r="A633" s="104"/>
      <c r="B633" s="104"/>
      <c r="D633" s="104"/>
      <c r="E633" s="104"/>
      <c r="F633" s="104"/>
      <c r="G633" s="104"/>
    </row>
    <row r="634" spans="1:7" ht="12.5" x14ac:dyDescent="0.25">
      <c r="A634" s="104"/>
      <c r="B634" s="104"/>
      <c r="D634" s="104"/>
      <c r="E634" s="104"/>
      <c r="F634" s="104"/>
      <c r="G634" s="104"/>
    </row>
    <row r="635" spans="1:7" ht="12.5" x14ac:dyDescent="0.25">
      <c r="A635" s="104"/>
      <c r="B635" s="104"/>
      <c r="D635" s="104"/>
      <c r="E635" s="104"/>
      <c r="F635" s="104"/>
      <c r="G635" s="104"/>
    </row>
    <row r="636" spans="1:7" ht="12.5" x14ac:dyDescent="0.25">
      <c r="A636" s="104"/>
      <c r="B636" s="104"/>
      <c r="D636" s="104"/>
      <c r="E636" s="104"/>
      <c r="F636" s="104"/>
      <c r="G636" s="104"/>
    </row>
    <row r="637" spans="1:7" ht="12.5" x14ac:dyDescent="0.25">
      <c r="A637" s="104"/>
      <c r="B637" s="104"/>
      <c r="D637" s="104"/>
      <c r="E637" s="104"/>
      <c r="F637" s="104"/>
      <c r="G637" s="104"/>
    </row>
    <row r="638" spans="1:7" ht="12.5" x14ac:dyDescent="0.25">
      <c r="A638" s="104"/>
      <c r="B638" s="104"/>
      <c r="D638" s="104"/>
      <c r="E638" s="104"/>
      <c r="F638" s="104"/>
      <c r="G638" s="104"/>
    </row>
    <row r="639" spans="1:7" ht="12.5" x14ac:dyDescent="0.25">
      <c r="A639" s="104"/>
      <c r="B639" s="104"/>
      <c r="D639" s="104"/>
      <c r="E639" s="104"/>
      <c r="F639" s="104"/>
      <c r="G639" s="104"/>
    </row>
    <row r="640" spans="1:7" ht="12.5" x14ac:dyDescent="0.25">
      <c r="A640" s="104"/>
      <c r="B640" s="104"/>
      <c r="D640" s="104"/>
      <c r="E640" s="104"/>
      <c r="F640" s="104"/>
      <c r="G640" s="104"/>
    </row>
    <row r="641" spans="1:7" ht="12.5" x14ac:dyDescent="0.25">
      <c r="A641" s="104"/>
      <c r="B641" s="104"/>
      <c r="D641" s="104"/>
      <c r="E641" s="104"/>
      <c r="F641" s="104"/>
      <c r="G641" s="104"/>
    </row>
    <row r="642" spans="1:7" ht="12.5" x14ac:dyDescent="0.25">
      <c r="A642" s="104"/>
      <c r="B642" s="104"/>
      <c r="D642" s="104"/>
      <c r="E642" s="104"/>
      <c r="F642" s="104"/>
      <c r="G642" s="104"/>
    </row>
    <row r="643" spans="1:7" ht="12.5" x14ac:dyDescent="0.25">
      <c r="A643" s="104"/>
      <c r="B643" s="104"/>
      <c r="D643" s="104"/>
      <c r="E643" s="104"/>
      <c r="F643" s="104"/>
      <c r="G643" s="104"/>
    </row>
    <row r="644" spans="1:7" ht="12.5" x14ac:dyDescent="0.25">
      <c r="A644" s="104"/>
      <c r="B644" s="104"/>
      <c r="D644" s="104"/>
      <c r="E644" s="104"/>
      <c r="F644" s="104"/>
      <c r="G644" s="104"/>
    </row>
    <row r="645" spans="1:7" ht="12.5" x14ac:dyDescent="0.25">
      <c r="A645" s="104"/>
      <c r="B645" s="104"/>
      <c r="D645" s="104"/>
      <c r="E645" s="104"/>
      <c r="F645" s="104"/>
      <c r="G645" s="104"/>
    </row>
    <row r="646" spans="1:7" ht="12.5" x14ac:dyDescent="0.25">
      <c r="A646" s="104"/>
      <c r="B646" s="104"/>
      <c r="D646" s="104"/>
      <c r="E646" s="104"/>
      <c r="F646" s="104"/>
      <c r="G646" s="104"/>
    </row>
    <row r="647" spans="1:7" ht="12.5" x14ac:dyDescent="0.25">
      <c r="A647" s="104"/>
      <c r="B647" s="104"/>
      <c r="D647" s="104"/>
      <c r="E647" s="104"/>
      <c r="F647" s="104"/>
      <c r="G647" s="104"/>
    </row>
    <row r="648" spans="1:7" ht="12.5" x14ac:dyDescent="0.25">
      <c r="A648" s="104"/>
      <c r="B648" s="104"/>
      <c r="D648" s="104"/>
      <c r="E648" s="104"/>
      <c r="F648" s="104"/>
      <c r="G648" s="104"/>
    </row>
    <row r="649" spans="1:7" ht="12.5" x14ac:dyDescent="0.25">
      <c r="A649" s="104"/>
      <c r="B649" s="104"/>
      <c r="D649" s="104"/>
      <c r="E649" s="104"/>
      <c r="F649" s="104"/>
      <c r="G649" s="104"/>
    </row>
    <row r="650" spans="1:7" ht="12.5" x14ac:dyDescent="0.25">
      <c r="A650" s="104"/>
      <c r="B650" s="104"/>
      <c r="D650" s="104"/>
      <c r="E650" s="104"/>
      <c r="F650" s="104"/>
      <c r="G650" s="104"/>
    </row>
    <row r="651" spans="1:7" ht="12.5" x14ac:dyDescent="0.25">
      <c r="A651" s="104"/>
      <c r="B651" s="104"/>
      <c r="D651" s="104"/>
      <c r="E651" s="104"/>
      <c r="F651" s="104"/>
      <c r="G651" s="104"/>
    </row>
    <row r="652" spans="1:7" ht="12.5" x14ac:dyDescent="0.25">
      <c r="A652" s="104"/>
      <c r="B652" s="104"/>
      <c r="D652" s="104"/>
      <c r="E652" s="104"/>
      <c r="F652" s="104"/>
      <c r="G652" s="104"/>
    </row>
    <row r="653" spans="1:7" ht="12.5" x14ac:dyDescent="0.25">
      <c r="A653" s="104"/>
      <c r="B653" s="104"/>
      <c r="D653" s="104"/>
      <c r="E653" s="104"/>
      <c r="F653" s="104"/>
      <c r="G653" s="104"/>
    </row>
    <row r="654" spans="1:7" ht="12.5" x14ac:dyDescent="0.25">
      <c r="A654" s="104"/>
      <c r="B654" s="104"/>
      <c r="D654" s="104"/>
      <c r="E654" s="104"/>
      <c r="F654" s="104"/>
      <c r="G654" s="104"/>
    </row>
    <row r="655" spans="1:7" ht="12.5" x14ac:dyDescent="0.25">
      <c r="A655" s="104"/>
      <c r="B655" s="104"/>
      <c r="D655" s="104"/>
      <c r="E655" s="104"/>
      <c r="F655" s="104"/>
      <c r="G655" s="104"/>
    </row>
    <row r="656" spans="1:7" ht="12.5" x14ac:dyDescent="0.25">
      <c r="A656" s="104"/>
      <c r="B656" s="104"/>
      <c r="D656" s="104"/>
      <c r="E656" s="104"/>
      <c r="F656" s="104"/>
      <c r="G656" s="104"/>
    </row>
    <row r="657" spans="1:7" ht="12.5" x14ac:dyDescent="0.25">
      <c r="A657" s="104"/>
      <c r="B657" s="104"/>
      <c r="D657" s="104"/>
      <c r="E657" s="104"/>
      <c r="F657" s="104"/>
      <c r="G657" s="104"/>
    </row>
    <row r="658" spans="1:7" ht="12.5" x14ac:dyDescent="0.25">
      <c r="A658" s="104"/>
      <c r="B658" s="104"/>
      <c r="D658" s="104"/>
      <c r="E658" s="104"/>
      <c r="F658" s="104"/>
      <c r="G658" s="104"/>
    </row>
    <row r="659" spans="1:7" ht="12.5" x14ac:dyDescent="0.25">
      <c r="A659" s="104"/>
      <c r="B659" s="104"/>
      <c r="D659" s="104"/>
      <c r="E659" s="104"/>
      <c r="F659" s="104"/>
      <c r="G659" s="104"/>
    </row>
    <row r="660" spans="1:7" ht="12.5" x14ac:dyDescent="0.25">
      <c r="A660" s="104"/>
      <c r="B660" s="104"/>
      <c r="D660" s="104"/>
      <c r="E660" s="104"/>
      <c r="F660" s="104"/>
      <c r="G660" s="104"/>
    </row>
    <row r="661" spans="1:7" ht="12.5" x14ac:dyDescent="0.25">
      <c r="A661" s="104"/>
      <c r="B661" s="104"/>
      <c r="D661" s="104"/>
      <c r="E661" s="104"/>
      <c r="F661" s="104"/>
      <c r="G661" s="104"/>
    </row>
    <row r="662" spans="1:7" ht="12.5" x14ac:dyDescent="0.25">
      <c r="A662" s="104"/>
      <c r="B662" s="104"/>
      <c r="D662" s="104"/>
      <c r="E662" s="104"/>
      <c r="F662" s="104"/>
      <c r="G662" s="104"/>
    </row>
    <row r="663" spans="1:7" ht="12.5" x14ac:dyDescent="0.25">
      <c r="A663" s="104"/>
      <c r="B663" s="104"/>
      <c r="D663" s="104"/>
      <c r="E663" s="104"/>
      <c r="F663" s="104"/>
      <c r="G663" s="104"/>
    </row>
    <row r="664" spans="1:7" ht="12.5" x14ac:dyDescent="0.25">
      <c r="A664" s="104"/>
      <c r="B664" s="104"/>
      <c r="D664" s="104"/>
      <c r="E664" s="104"/>
      <c r="F664" s="104"/>
      <c r="G664" s="104"/>
    </row>
    <row r="665" spans="1:7" ht="12.5" x14ac:dyDescent="0.25">
      <c r="A665" s="104"/>
      <c r="B665" s="104"/>
      <c r="D665" s="104"/>
      <c r="E665" s="104"/>
      <c r="F665" s="104"/>
      <c r="G665" s="104"/>
    </row>
    <row r="666" spans="1:7" ht="12.5" x14ac:dyDescent="0.25">
      <c r="A666" s="104"/>
      <c r="B666" s="104"/>
      <c r="D666" s="104"/>
      <c r="E666" s="104"/>
      <c r="F666" s="104"/>
      <c r="G666" s="104"/>
    </row>
    <row r="667" spans="1:7" ht="12.5" x14ac:dyDescent="0.25">
      <c r="A667" s="104"/>
      <c r="B667" s="104"/>
      <c r="D667" s="104"/>
      <c r="E667" s="104"/>
      <c r="F667" s="104"/>
      <c r="G667" s="104"/>
    </row>
    <row r="668" spans="1:7" ht="12.5" x14ac:dyDescent="0.25">
      <c r="A668" s="104"/>
      <c r="B668" s="104"/>
      <c r="D668" s="104"/>
      <c r="E668" s="104"/>
      <c r="F668" s="104"/>
      <c r="G668" s="104"/>
    </row>
    <row r="669" spans="1:7" ht="12.5" x14ac:dyDescent="0.25">
      <c r="A669" s="104"/>
      <c r="B669" s="104"/>
      <c r="D669" s="104"/>
      <c r="E669" s="104"/>
      <c r="F669" s="104"/>
      <c r="G669" s="104"/>
    </row>
    <row r="670" spans="1:7" ht="12.5" x14ac:dyDescent="0.25">
      <c r="A670" s="104"/>
      <c r="B670" s="104"/>
      <c r="D670" s="104"/>
      <c r="E670" s="104"/>
      <c r="F670" s="104"/>
      <c r="G670" s="104"/>
    </row>
    <row r="671" spans="1:7" ht="12.5" x14ac:dyDescent="0.25">
      <c r="A671" s="104"/>
      <c r="B671" s="104"/>
      <c r="D671" s="104"/>
      <c r="E671" s="104"/>
      <c r="F671" s="104"/>
      <c r="G671" s="104"/>
    </row>
    <row r="672" spans="1:7" ht="12.5" x14ac:dyDescent="0.25">
      <c r="A672" s="104"/>
      <c r="B672" s="104"/>
      <c r="D672" s="104"/>
      <c r="E672" s="104"/>
      <c r="F672" s="104"/>
      <c r="G672" s="104"/>
    </row>
    <row r="673" spans="1:7" ht="12.5" x14ac:dyDescent="0.25">
      <c r="A673" s="104"/>
      <c r="B673" s="104"/>
      <c r="D673" s="104"/>
      <c r="E673" s="104"/>
      <c r="F673" s="104"/>
      <c r="G673" s="104"/>
    </row>
    <row r="674" spans="1:7" ht="12.5" x14ac:dyDescent="0.25">
      <c r="A674" s="104"/>
      <c r="B674" s="104"/>
      <c r="D674" s="104"/>
      <c r="E674" s="104"/>
      <c r="F674" s="104"/>
      <c r="G674" s="104"/>
    </row>
    <row r="675" spans="1:7" ht="12.5" x14ac:dyDescent="0.25">
      <c r="A675" s="104"/>
      <c r="B675" s="104"/>
      <c r="D675" s="104"/>
      <c r="E675" s="104"/>
      <c r="F675" s="104"/>
      <c r="G675" s="104"/>
    </row>
    <row r="676" spans="1:7" ht="12.5" x14ac:dyDescent="0.25">
      <c r="A676" s="104"/>
      <c r="B676" s="104"/>
      <c r="D676" s="104"/>
      <c r="E676" s="104"/>
      <c r="F676" s="104"/>
      <c r="G676" s="104"/>
    </row>
    <row r="677" spans="1:7" ht="12.5" x14ac:dyDescent="0.25">
      <c r="A677" s="104"/>
      <c r="B677" s="104"/>
      <c r="D677" s="104"/>
      <c r="E677" s="104"/>
      <c r="F677" s="104"/>
      <c r="G677" s="104"/>
    </row>
    <row r="678" spans="1:7" ht="12.5" x14ac:dyDescent="0.25">
      <c r="A678" s="104"/>
      <c r="B678" s="104"/>
      <c r="D678" s="104"/>
      <c r="E678" s="104"/>
      <c r="F678" s="104"/>
      <c r="G678" s="104"/>
    </row>
    <row r="679" spans="1:7" ht="12.5" x14ac:dyDescent="0.25">
      <c r="A679" s="104"/>
      <c r="B679" s="104"/>
      <c r="D679" s="104"/>
      <c r="E679" s="104"/>
      <c r="F679" s="104"/>
      <c r="G679" s="104"/>
    </row>
    <row r="680" spans="1:7" ht="12.5" x14ac:dyDescent="0.25">
      <c r="A680" s="104"/>
      <c r="B680" s="104"/>
      <c r="D680" s="104"/>
      <c r="E680" s="104"/>
      <c r="F680" s="104"/>
      <c r="G680" s="104"/>
    </row>
    <row r="681" spans="1:7" ht="12.5" x14ac:dyDescent="0.25">
      <c r="A681" s="104"/>
      <c r="B681" s="104"/>
      <c r="D681" s="104"/>
      <c r="E681" s="104"/>
      <c r="F681" s="104"/>
      <c r="G681" s="104"/>
    </row>
    <row r="682" spans="1:7" ht="12.5" x14ac:dyDescent="0.25">
      <c r="A682" s="104"/>
      <c r="B682" s="104"/>
      <c r="D682" s="104"/>
      <c r="E682" s="104"/>
      <c r="F682" s="104"/>
      <c r="G682" s="104"/>
    </row>
    <row r="683" spans="1:7" ht="12.5" x14ac:dyDescent="0.25">
      <c r="A683" s="104"/>
      <c r="B683" s="104"/>
      <c r="D683" s="104"/>
      <c r="E683" s="104"/>
      <c r="F683" s="104"/>
      <c r="G683" s="104"/>
    </row>
    <row r="684" spans="1:7" ht="12.5" x14ac:dyDescent="0.25">
      <c r="A684" s="104"/>
      <c r="B684" s="104"/>
      <c r="D684" s="104"/>
      <c r="E684" s="104"/>
      <c r="F684" s="104"/>
      <c r="G684" s="104"/>
    </row>
    <row r="685" spans="1:7" ht="12.5" x14ac:dyDescent="0.25">
      <c r="A685" s="104"/>
      <c r="B685" s="104"/>
      <c r="D685" s="104"/>
      <c r="E685" s="104"/>
      <c r="F685" s="104"/>
      <c r="G685" s="104"/>
    </row>
    <row r="686" spans="1:7" ht="12.5" x14ac:dyDescent="0.25">
      <c r="A686" s="104"/>
      <c r="B686" s="104"/>
      <c r="D686" s="104"/>
      <c r="E686" s="104"/>
      <c r="F686" s="104"/>
      <c r="G686" s="104"/>
    </row>
    <row r="687" spans="1:7" ht="12.5" x14ac:dyDescent="0.25">
      <c r="A687" s="104"/>
      <c r="B687" s="104"/>
      <c r="D687" s="104"/>
      <c r="E687" s="104"/>
      <c r="F687" s="104"/>
      <c r="G687" s="104"/>
    </row>
    <row r="688" spans="1:7" ht="12.5" x14ac:dyDescent="0.25">
      <c r="A688" s="104"/>
      <c r="B688" s="104"/>
      <c r="D688" s="104"/>
      <c r="E688" s="104"/>
      <c r="F688" s="104"/>
      <c r="G688" s="104"/>
    </row>
    <row r="689" spans="1:7" ht="12.5" x14ac:dyDescent="0.25">
      <c r="A689" s="104"/>
      <c r="B689" s="104"/>
      <c r="D689" s="104"/>
      <c r="E689" s="104"/>
      <c r="F689" s="104"/>
      <c r="G689" s="104"/>
    </row>
    <row r="690" spans="1:7" ht="12.5" x14ac:dyDescent="0.25">
      <c r="A690" s="104"/>
      <c r="B690" s="104"/>
      <c r="D690" s="104"/>
      <c r="E690" s="104"/>
      <c r="F690" s="104"/>
      <c r="G690" s="104"/>
    </row>
    <row r="691" spans="1:7" ht="12.5" x14ac:dyDescent="0.25">
      <c r="A691" s="104"/>
      <c r="B691" s="104"/>
      <c r="D691" s="104"/>
      <c r="E691" s="104"/>
      <c r="F691" s="104"/>
      <c r="G691" s="104"/>
    </row>
    <row r="692" spans="1:7" ht="12.5" x14ac:dyDescent="0.25">
      <c r="A692" s="104"/>
      <c r="B692" s="104"/>
      <c r="D692" s="104"/>
      <c r="E692" s="104"/>
      <c r="F692" s="104"/>
      <c r="G692" s="104"/>
    </row>
    <row r="693" spans="1:7" ht="12.5" x14ac:dyDescent="0.25">
      <c r="A693" s="104"/>
      <c r="B693" s="104"/>
      <c r="D693" s="104"/>
      <c r="E693" s="104"/>
      <c r="F693" s="104"/>
      <c r="G693" s="104"/>
    </row>
    <row r="694" spans="1:7" ht="12.5" x14ac:dyDescent="0.25">
      <c r="A694" s="104"/>
      <c r="B694" s="104"/>
      <c r="D694" s="104"/>
      <c r="E694" s="104"/>
      <c r="F694" s="104"/>
      <c r="G694" s="104"/>
    </row>
    <row r="695" spans="1:7" ht="12.5" x14ac:dyDescent="0.25">
      <c r="A695" s="104"/>
      <c r="B695" s="104"/>
      <c r="D695" s="104"/>
      <c r="E695" s="104"/>
      <c r="F695" s="104"/>
      <c r="G695" s="104"/>
    </row>
    <row r="696" spans="1:7" ht="12.5" x14ac:dyDescent="0.25">
      <c r="A696" s="104"/>
      <c r="B696" s="104"/>
      <c r="D696" s="104"/>
      <c r="E696" s="104"/>
      <c r="F696" s="104"/>
      <c r="G696" s="104"/>
    </row>
    <row r="697" spans="1:7" ht="12.5" x14ac:dyDescent="0.25">
      <c r="A697" s="104"/>
      <c r="B697" s="104"/>
      <c r="D697" s="104"/>
      <c r="E697" s="104"/>
      <c r="F697" s="104"/>
      <c r="G697" s="104"/>
    </row>
    <row r="698" spans="1:7" ht="12.5" x14ac:dyDescent="0.25">
      <c r="A698" s="104"/>
      <c r="B698" s="104"/>
      <c r="D698" s="104"/>
      <c r="E698" s="104"/>
      <c r="F698" s="104"/>
      <c r="G698" s="104"/>
    </row>
    <row r="699" spans="1:7" ht="12.5" x14ac:dyDescent="0.25">
      <c r="A699" s="104"/>
      <c r="B699" s="104"/>
      <c r="D699" s="104"/>
      <c r="E699" s="104"/>
      <c r="F699" s="104"/>
      <c r="G699" s="104"/>
    </row>
    <row r="700" spans="1:7" ht="12.5" x14ac:dyDescent="0.25">
      <c r="A700" s="104"/>
      <c r="B700" s="104"/>
      <c r="D700" s="104"/>
      <c r="E700" s="104"/>
      <c r="F700" s="104"/>
      <c r="G700" s="104"/>
    </row>
    <row r="701" spans="1:7" ht="12.5" x14ac:dyDescent="0.25">
      <c r="A701" s="104"/>
      <c r="B701" s="104"/>
      <c r="D701" s="104"/>
      <c r="E701" s="104"/>
      <c r="F701" s="104"/>
      <c r="G701" s="104"/>
    </row>
    <row r="702" spans="1:7" ht="12.5" x14ac:dyDescent="0.25">
      <c r="A702" s="104"/>
      <c r="B702" s="104"/>
      <c r="D702" s="104"/>
      <c r="E702" s="104"/>
      <c r="F702" s="104"/>
      <c r="G702" s="104"/>
    </row>
    <row r="703" spans="1:7" ht="12.5" x14ac:dyDescent="0.25">
      <c r="A703" s="104"/>
      <c r="B703" s="104"/>
      <c r="D703" s="104"/>
      <c r="E703" s="104"/>
      <c r="F703" s="104"/>
      <c r="G703" s="104"/>
    </row>
    <row r="704" spans="1:7" ht="12.5" x14ac:dyDescent="0.25">
      <c r="A704" s="104"/>
      <c r="B704" s="104"/>
      <c r="D704" s="104"/>
      <c r="E704" s="104"/>
      <c r="F704" s="104"/>
      <c r="G704" s="104"/>
    </row>
    <row r="705" spans="1:7" ht="12.5" x14ac:dyDescent="0.25">
      <c r="A705" s="104"/>
      <c r="B705" s="104"/>
      <c r="D705" s="104"/>
      <c r="E705" s="104"/>
      <c r="F705" s="104"/>
      <c r="G705" s="104"/>
    </row>
    <row r="706" spans="1:7" ht="12.5" x14ac:dyDescent="0.25">
      <c r="A706" s="104"/>
      <c r="B706" s="104"/>
      <c r="D706" s="104"/>
      <c r="E706" s="104"/>
      <c r="F706" s="104"/>
      <c r="G706" s="104"/>
    </row>
    <row r="707" spans="1:7" ht="12.5" x14ac:dyDescent="0.25">
      <c r="A707" s="104"/>
      <c r="B707" s="104"/>
      <c r="D707" s="104"/>
      <c r="E707" s="104"/>
      <c r="F707" s="104"/>
      <c r="G707" s="104"/>
    </row>
    <row r="708" spans="1:7" ht="12.5" x14ac:dyDescent="0.25">
      <c r="A708" s="104"/>
      <c r="B708" s="104"/>
      <c r="D708" s="104"/>
      <c r="E708" s="104"/>
      <c r="F708" s="104"/>
      <c r="G708" s="104"/>
    </row>
    <row r="709" spans="1:7" ht="12.5" x14ac:dyDescent="0.25">
      <c r="A709" s="104"/>
      <c r="B709" s="104"/>
      <c r="D709" s="104"/>
      <c r="E709" s="104"/>
      <c r="F709" s="104"/>
      <c r="G709" s="104"/>
    </row>
    <row r="710" spans="1:7" ht="12.5" x14ac:dyDescent="0.25">
      <c r="A710" s="104"/>
      <c r="B710" s="104"/>
      <c r="D710" s="104"/>
      <c r="E710" s="104"/>
      <c r="F710" s="104"/>
      <c r="G710" s="104"/>
    </row>
    <row r="711" spans="1:7" ht="12.5" x14ac:dyDescent="0.25">
      <c r="A711" s="104"/>
      <c r="B711" s="104"/>
      <c r="D711" s="104"/>
      <c r="E711" s="104"/>
      <c r="F711" s="104"/>
      <c r="G711" s="104"/>
    </row>
    <row r="712" spans="1:7" ht="12.5" x14ac:dyDescent="0.25">
      <c r="A712" s="104"/>
      <c r="B712" s="104"/>
      <c r="D712" s="104"/>
      <c r="E712" s="104"/>
      <c r="F712" s="104"/>
      <c r="G712" s="104"/>
    </row>
    <row r="713" spans="1:7" ht="12.5" x14ac:dyDescent="0.25">
      <c r="A713" s="104"/>
      <c r="B713" s="104"/>
      <c r="D713" s="104"/>
      <c r="E713" s="104"/>
      <c r="F713" s="104"/>
      <c r="G713" s="104"/>
    </row>
    <row r="714" spans="1:7" ht="12.5" x14ac:dyDescent="0.25">
      <c r="A714" s="104"/>
      <c r="B714" s="104"/>
      <c r="D714" s="104"/>
      <c r="E714" s="104"/>
      <c r="F714" s="104"/>
      <c r="G714" s="104"/>
    </row>
    <row r="715" spans="1:7" ht="12.5" x14ac:dyDescent="0.25">
      <c r="A715" s="104"/>
      <c r="B715" s="104"/>
      <c r="D715" s="104"/>
      <c r="E715" s="104"/>
      <c r="F715" s="104"/>
      <c r="G715" s="104"/>
    </row>
    <row r="716" spans="1:7" ht="12.5" x14ac:dyDescent="0.25">
      <c r="A716" s="104"/>
      <c r="B716" s="104"/>
      <c r="D716" s="104"/>
      <c r="E716" s="104"/>
      <c r="F716" s="104"/>
      <c r="G716" s="104"/>
    </row>
    <row r="717" spans="1:7" ht="12.5" x14ac:dyDescent="0.25">
      <c r="A717" s="104"/>
      <c r="B717" s="104"/>
      <c r="D717" s="104"/>
      <c r="E717" s="104"/>
      <c r="F717" s="104"/>
      <c r="G717" s="104"/>
    </row>
    <row r="718" spans="1:7" ht="12.5" x14ac:dyDescent="0.25">
      <c r="A718" s="104"/>
      <c r="B718" s="104"/>
      <c r="D718" s="104"/>
      <c r="E718" s="104"/>
      <c r="F718" s="104"/>
      <c r="G718" s="104"/>
    </row>
    <row r="719" spans="1:7" ht="12.5" x14ac:dyDescent="0.25">
      <c r="A719" s="104"/>
      <c r="B719" s="104"/>
      <c r="D719" s="104"/>
      <c r="E719" s="104"/>
      <c r="F719" s="104"/>
      <c r="G719" s="104"/>
    </row>
    <row r="720" spans="1:7" ht="12.5" x14ac:dyDescent="0.25">
      <c r="A720" s="104"/>
      <c r="B720" s="104"/>
      <c r="D720" s="104"/>
      <c r="E720" s="104"/>
      <c r="F720" s="104"/>
      <c r="G720" s="104"/>
    </row>
    <row r="721" spans="1:7" ht="12.5" x14ac:dyDescent="0.25">
      <c r="A721" s="104"/>
      <c r="B721" s="104"/>
      <c r="D721" s="104"/>
      <c r="E721" s="104"/>
      <c r="F721" s="104"/>
      <c r="G721" s="104"/>
    </row>
    <row r="722" spans="1:7" ht="12.5" x14ac:dyDescent="0.25">
      <c r="A722" s="104"/>
      <c r="B722" s="104"/>
      <c r="D722" s="104"/>
      <c r="E722" s="104"/>
      <c r="F722" s="104"/>
      <c r="G722" s="104"/>
    </row>
    <row r="723" spans="1:7" ht="12.5" x14ac:dyDescent="0.25">
      <c r="A723" s="104"/>
      <c r="B723" s="104"/>
      <c r="D723" s="104"/>
      <c r="E723" s="104"/>
      <c r="F723" s="104"/>
      <c r="G723" s="104"/>
    </row>
    <row r="724" spans="1:7" ht="12.5" x14ac:dyDescent="0.25">
      <c r="A724" s="104"/>
      <c r="B724" s="104"/>
      <c r="D724" s="104"/>
      <c r="E724" s="104"/>
      <c r="F724" s="104"/>
      <c r="G724" s="104"/>
    </row>
    <row r="725" spans="1:7" ht="12.5" x14ac:dyDescent="0.25">
      <c r="A725" s="104"/>
      <c r="B725" s="104"/>
      <c r="D725" s="104"/>
      <c r="E725" s="104"/>
      <c r="F725" s="104"/>
      <c r="G725" s="104"/>
    </row>
    <row r="726" spans="1:7" ht="12.5" x14ac:dyDescent="0.25">
      <c r="A726" s="104"/>
      <c r="B726" s="104"/>
      <c r="D726" s="104"/>
      <c r="E726" s="104"/>
      <c r="F726" s="104"/>
      <c r="G726" s="104"/>
    </row>
    <row r="727" spans="1:7" ht="12.5" x14ac:dyDescent="0.25">
      <c r="A727" s="104"/>
      <c r="B727" s="104"/>
      <c r="D727" s="104"/>
      <c r="E727" s="104"/>
      <c r="F727" s="104"/>
      <c r="G727" s="104"/>
    </row>
    <row r="728" spans="1:7" ht="12.5" x14ac:dyDescent="0.25">
      <c r="A728" s="104"/>
      <c r="B728" s="104"/>
      <c r="D728" s="104"/>
      <c r="E728" s="104"/>
      <c r="F728" s="104"/>
      <c r="G728" s="104"/>
    </row>
    <row r="729" spans="1:7" ht="12.5" x14ac:dyDescent="0.25">
      <c r="A729" s="104"/>
      <c r="B729" s="104"/>
      <c r="D729" s="104"/>
      <c r="E729" s="104"/>
      <c r="F729" s="104"/>
      <c r="G729" s="104"/>
    </row>
    <row r="730" spans="1:7" ht="12.5" x14ac:dyDescent="0.25">
      <c r="A730" s="104"/>
      <c r="B730" s="104"/>
      <c r="D730" s="104"/>
      <c r="E730" s="104"/>
      <c r="F730" s="104"/>
      <c r="G730" s="104"/>
    </row>
    <row r="731" spans="1:7" ht="12.5" x14ac:dyDescent="0.25">
      <c r="A731" s="104"/>
      <c r="B731" s="104"/>
      <c r="D731" s="104"/>
      <c r="E731" s="104"/>
      <c r="F731" s="104"/>
      <c r="G731" s="104"/>
    </row>
    <row r="732" spans="1:7" ht="12.5" x14ac:dyDescent="0.25">
      <c r="A732" s="104"/>
      <c r="B732" s="104"/>
      <c r="D732" s="104"/>
      <c r="E732" s="104"/>
      <c r="F732" s="104"/>
      <c r="G732" s="104"/>
    </row>
    <row r="733" spans="1:7" ht="12.5" x14ac:dyDescent="0.25">
      <c r="A733" s="104"/>
      <c r="B733" s="104"/>
      <c r="D733" s="104"/>
      <c r="E733" s="104"/>
      <c r="F733" s="104"/>
      <c r="G733" s="104"/>
    </row>
    <row r="734" spans="1:7" ht="12.5" x14ac:dyDescent="0.25">
      <c r="A734" s="104"/>
      <c r="B734" s="104"/>
      <c r="D734" s="104"/>
      <c r="E734" s="104"/>
      <c r="F734" s="104"/>
      <c r="G734" s="104"/>
    </row>
    <row r="735" spans="1:7" ht="12.5" x14ac:dyDescent="0.25">
      <c r="A735" s="104"/>
      <c r="B735" s="104"/>
      <c r="D735" s="104"/>
      <c r="E735" s="104"/>
      <c r="F735" s="104"/>
      <c r="G735" s="104"/>
    </row>
    <row r="736" spans="1:7" ht="12.5" x14ac:dyDescent="0.25">
      <c r="A736" s="104"/>
      <c r="B736" s="104"/>
      <c r="D736" s="104"/>
      <c r="E736" s="104"/>
      <c r="F736" s="104"/>
      <c r="G736" s="104"/>
    </row>
    <row r="737" spans="1:7" ht="12.5" x14ac:dyDescent="0.25">
      <c r="A737" s="104"/>
      <c r="B737" s="104"/>
      <c r="D737" s="104"/>
      <c r="E737" s="104"/>
      <c r="F737" s="104"/>
      <c r="G737" s="104"/>
    </row>
    <row r="738" spans="1:7" ht="12.5" x14ac:dyDescent="0.25">
      <c r="A738" s="104"/>
      <c r="B738" s="104"/>
      <c r="D738" s="104"/>
      <c r="E738" s="104"/>
      <c r="F738" s="104"/>
      <c r="G738" s="104"/>
    </row>
    <row r="739" spans="1:7" ht="12.5" x14ac:dyDescent="0.25">
      <c r="A739" s="104"/>
      <c r="B739" s="104"/>
      <c r="D739" s="104"/>
      <c r="E739" s="104"/>
      <c r="F739" s="104"/>
      <c r="G739" s="104"/>
    </row>
    <row r="740" spans="1:7" ht="12.5" x14ac:dyDescent="0.25">
      <c r="A740" s="104"/>
      <c r="B740" s="104"/>
      <c r="D740" s="104"/>
      <c r="E740" s="104"/>
      <c r="F740" s="104"/>
      <c r="G740" s="104"/>
    </row>
    <row r="741" spans="1:7" ht="12.5" x14ac:dyDescent="0.25">
      <c r="A741" s="104"/>
      <c r="B741" s="104"/>
      <c r="D741" s="104"/>
      <c r="E741" s="104"/>
      <c r="F741" s="104"/>
      <c r="G741" s="104"/>
    </row>
    <row r="742" spans="1:7" ht="12.5" x14ac:dyDescent="0.25">
      <c r="A742" s="104"/>
      <c r="B742" s="104"/>
      <c r="D742" s="104"/>
      <c r="E742" s="104"/>
      <c r="F742" s="104"/>
      <c r="G742" s="104"/>
    </row>
    <row r="743" spans="1:7" ht="12.5" x14ac:dyDescent="0.25">
      <c r="A743" s="104"/>
      <c r="B743" s="104"/>
      <c r="D743" s="104"/>
      <c r="E743" s="104"/>
      <c r="F743" s="104"/>
      <c r="G743" s="104"/>
    </row>
    <row r="744" spans="1:7" ht="12.5" x14ac:dyDescent="0.25">
      <c r="A744" s="104"/>
      <c r="B744" s="104"/>
      <c r="D744" s="104"/>
      <c r="E744" s="104"/>
      <c r="F744" s="104"/>
      <c r="G744" s="104"/>
    </row>
    <row r="745" spans="1:7" ht="12.5" x14ac:dyDescent="0.25">
      <c r="A745" s="104"/>
      <c r="B745" s="104"/>
      <c r="D745" s="104"/>
      <c r="E745" s="104"/>
      <c r="F745" s="104"/>
      <c r="G745" s="104"/>
    </row>
    <row r="746" spans="1:7" ht="12.5" x14ac:dyDescent="0.25">
      <c r="A746" s="104"/>
      <c r="B746" s="104"/>
      <c r="D746" s="104"/>
      <c r="E746" s="104"/>
      <c r="F746" s="104"/>
      <c r="G746" s="104"/>
    </row>
    <row r="747" spans="1:7" ht="12.5" x14ac:dyDescent="0.25">
      <c r="A747" s="104"/>
      <c r="B747" s="104"/>
      <c r="D747" s="104"/>
      <c r="E747" s="104"/>
      <c r="F747" s="104"/>
      <c r="G747" s="104"/>
    </row>
    <row r="748" spans="1:7" ht="12.5" x14ac:dyDescent="0.25">
      <c r="A748" s="104"/>
      <c r="B748" s="104"/>
      <c r="D748" s="104"/>
      <c r="E748" s="104"/>
      <c r="F748" s="104"/>
      <c r="G748" s="104"/>
    </row>
    <row r="749" spans="1:7" ht="12.5" x14ac:dyDescent="0.25">
      <c r="A749" s="104"/>
      <c r="B749" s="104"/>
      <c r="D749" s="104"/>
      <c r="E749" s="104"/>
      <c r="F749" s="104"/>
      <c r="G749" s="104"/>
    </row>
    <row r="750" spans="1:7" ht="12.5" x14ac:dyDescent="0.25">
      <c r="A750" s="104"/>
      <c r="B750" s="104"/>
      <c r="D750" s="104"/>
      <c r="E750" s="104"/>
      <c r="F750" s="104"/>
      <c r="G750" s="104"/>
    </row>
    <row r="751" spans="1:7" ht="12.5" x14ac:dyDescent="0.25">
      <c r="A751" s="104"/>
      <c r="B751" s="104"/>
      <c r="D751" s="104"/>
      <c r="E751" s="104"/>
      <c r="F751" s="104"/>
      <c r="G751" s="104"/>
    </row>
    <row r="752" spans="1:7" ht="12.5" x14ac:dyDescent="0.25">
      <c r="A752" s="104"/>
      <c r="B752" s="104"/>
      <c r="D752" s="104"/>
      <c r="E752" s="104"/>
      <c r="F752" s="104"/>
      <c r="G752" s="104"/>
    </row>
    <row r="753" spans="1:7" ht="12.5" x14ac:dyDescent="0.25">
      <c r="A753" s="104"/>
      <c r="B753" s="104"/>
      <c r="D753" s="104"/>
      <c r="E753" s="104"/>
      <c r="F753" s="104"/>
      <c r="G753" s="104"/>
    </row>
    <row r="754" spans="1:7" ht="12.5" x14ac:dyDescent="0.25">
      <c r="A754" s="104"/>
      <c r="B754" s="104"/>
      <c r="D754" s="104"/>
      <c r="E754" s="104"/>
      <c r="F754" s="104"/>
      <c r="G754" s="104"/>
    </row>
    <row r="755" spans="1:7" ht="12.5" x14ac:dyDescent="0.25">
      <c r="A755" s="104"/>
      <c r="B755" s="104"/>
      <c r="D755" s="104"/>
      <c r="E755" s="104"/>
      <c r="F755" s="104"/>
      <c r="G755" s="104"/>
    </row>
    <row r="756" spans="1:7" ht="12.5" x14ac:dyDescent="0.25">
      <c r="A756" s="104"/>
      <c r="B756" s="104"/>
      <c r="D756" s="104"/>
      <c r="E756" s="104"/>
      <c r="F756" s="104"/>
      <c r="G756" s="104"/>
    </row>
    <row r="757" spans="1:7" ht="12.5" x14ac:dyDescent="0.25">
      <c r="A757" s="104"/>
      <c r="B757" s="104"/>
      <c r="D757" s="104"/>
      <c r="E757" s="104"/>
      <c r="F757" s="104"/>
      <c r="G757" s="104"/>
    </row>
    <row r="758" spans="1:7" ht="12.5" x14ac:dyDescent="0.25">
      <c r="A758" s="104"/>
      <c r="B758" s="104"/>
      <c r="D758" s="104"/>
      <c r="E758" s="104"/>
      <c r="F758" s="104"/>
      <c r="G758" s="104"/>
    </row>
    <row r="759" spans="1:7" ht="12.5" x14ac:dyDescent="0.25">
      <c r="A759" s="104"/>
      <c r="B759" s="104"/>
      <c r="D759" s="104"/>
      <c r="E759" s="104"/>
      <c r="F759" s="104"/>
      <c r="G759" s="104"/>
    </row>
    <row r="760" spans="1:7" ht="12.5" x14ac:dyDescent="0.25">
      <c r="A760" s="104"/>
      <c r="B760" s="104"/>
      <c r="D760" s="104"/>
      <c r="E760" s="104"/>
      <c r="F760" s="104"/>
      <c r="G760" s="104"/>
    </row>
    <row r="761" spans="1:7" ht="12.5" x14ac:dyDescent="0.25">
      <c r="A761" s="104"/>
      <c r="B761" s="104"/>
      <c r="D761" s="104"/>
      <c r="E761" s="104"/>
      <c r="F761" s="104"/>
      <c r="G761" s="104"/>
    </row>
    <row r="762" spans="1:7" ht="12.5" x14ac:dyDescent="0.25">
      <c r="A762" s="104"/>
      <c r="B762" s="104"/>
      <c r="D762" s="104"/>
      <c r="E762" s="104"/>
      <c r="F762" s="104"/>
      <c r="G762" s="104"/>
    </row>
    <row r="763" spans="1:7" ht="12.5" x14ac:dyDescent="0.25">
      <c r="A763" s="104"/>
      <c r="B763" s="104"/>
      <c r="D763" s="104"/>
      <c r="E763" s="104"/>
      <c r="F763" s="104"/>
      <c r="G763" s="104"/>
    </row>
    <row r="764" spans="1:7" ht="12.5" x14ac:dyDescent="0.25">
      <c r="A764" s="104"/>
      <c r="B764" s="104"/>
      <c r="D764" s="104"/>
      <c r="E764" s="104"/>
      <c r="F764" s="104"/>
      <c r="G764" s="104"/>
    </row>
    <row r="765" spans="1:7" ht="12.5" x14ac:dyDescent="0.25">
      <c r="A765" s="104"/>
      <c r="B765" s="104"/>
      <c r="D765" s="104"/>
      <c r="E765" s="104"/>
      <c r="F765" s="104"/>
      <c r="G765" s="104"/>
    </row>
    <row r="766" spans="1:7" ht="12.5" x14ac:dyDescent="0.25">
      <c r="A766" s="104"/>
      <c r="B766" s="104"/>
      <c r="D766" s="104"/>
      <c r="E766" s="104"/>
      <c r="F766" s="104"/>
      <c r="G766" s="104"/>
    </row>
    <row r="767" spans="1:7" ht="12.5" x14ac:dyDescent="0.25">
      <c r="A767" s="104"/>
      <c r="B767" s="104"/>
      <c r="D767" s="104"/>
      <c r="E767" s="104"/>
      <c r="F767" s="104"/>
      <c r="G767" s="104"/>
    </row>
    <row r="768" spans="1:7" ht="12.5" x14ac:dyDescent="0.25">
      <c r="A768" s="104"/>
      <c r="B768" s="104"/>
      <c r="D768" s="104"/>
      <c r="E768" s="104"/>
      <c r="F768" s="104"/>
      <c r="G768" s="104"/>
    </row>
    <row r="769" spans="1:7" ht="12.5" x14ac:dyDescent="0.25">
      <c r="A769" s="104"/>
      <c r="B769" s="104"/>
      <c r="D769" s="104"/>
      <c r="E769" s="104"/>
      <c r="F769" s="104"/>
      <c r="G769" s="104"/>
    </row>
    <row r="770" spans="1:7" ht="12.5" x14ac:dyDescent="0.25">
      <c r="A770" s="104"/>
      <c r="B770" s="104"/>
      <c r="D770" s="104"/>
      <c r="E770" s="104"/>
      <c r="F770" s="104"/>
      <c r="G770" s="104"/>
    </row>
    <row r="771" spans="1:7" ht="12.5" x14ac:dyDescent="0.25">
      <c r="A771" s="104"/>
      <c r="B771" s="104"/>
      <c r="D771" s="104"/>
      <c r="E771" s="104"/>
      <c r="F771" s="104"/>
      <c r="G771" s="104"/>
    </row>
    <row r="772" spans="1:7" ht="12.5" x14ac:dyDescent="0.25">
      <c r="A772" s="104"/>
      <c r="B772" s="104"/>
      <c r="D772" s="104"/>
      <c r="E772" s="104"/>
      <c r="F772" s="104"/>
      <c r="G772" s="104"/>
    </row>
    <row r="773" spans="1:7" ht="12.5" x14ac:dyDescent="0.25">
      <c r="A773" s="104"/>
      <c r="B773" s="104"/>
      <c r="D773" s="104"/>
      <c r="E773" s="104"/>
      <c r="F773" s="104"/>
      <c r="G773" s="104"/>
    </row>
    <row r="774" spans="1:7" ht="12.5" x14ac:dyDescent="0.25">
      <c r="A774" s="104"/>
      <c r="B774" s="104"/>
      <c r="D774" s="104"/>
      <c r="E774" s="104"/>
      <c r="F774" s="104"/>
      <c r="G774" s="104"/>
    </row>
    <row r="775" spans="1:7" ht="12.5" x14ac:dyDescent="0.25">
      <c r="A775" s="104"/>
      <c r="B775" s="104"/>
      <c r="D775" s="104"/>
      <c r="E775" s="104"/>
      <c r="F775" s="104"/>
      <c r="G775" s="104"/>
    </row>
    <row r="776" spans="1:7" ht="12.5" x14ac:dyDescent="0.25">
      <c r="A776" s="104"/>
      <c r="B776" s="104"/>
      <c r="D776" s="104"/>
      <c r="E776" s="104"/>
      <c r="F776" s="104"/>
      <c r="G776" s="104"/>
    </row>
    <row r="777" spans="1:7" ht="12.5" x14ac:dyDescent="0.25">
      <c r="A777" s="104"/>
      <c r="B777" s="104"/>
      <c r="D777" s="104"/>
      <c r="E777" s="104"/>
      <c r="F777" s="104"/>
      <c r="G777" s="104"/>
    </row>
    <row r="778" spans="1:7" ht="12.5" x14ac:dyDescent="0.25">
      <c r="A778" s="104"/>
      <c r="B778" s="104"/>
      <c r="D778" s="104"/>
      <c r="E778" s="104"/>
      <c r="F778" s="104"/>
      <c r="G778" s="104"/>
    </row>
    <row r="779" spans="1:7" ht="12.5" x14ac:dyDescent="0.25">
      <c r="A779" s="104"/>
      <c r="B779" s="104"/>
      <c r="D779" s="104"/>
      <c r="E779" s="104"/>
      <c r="F779" s="104"/>
      <c r="G779" s="104"/>
    </row>
    <row r="780" spans="1:7" ht="12.5" x14ac:dyDescent="0.25">
      <c r="A780" s="104"/>
      <c r="B780" s="104"/>
      <c r="D780" s="104"/>
      <c r="E780" s="104"/>
      <c r="F780" s="104"/>
      <c r="G780" s="104"/>
    </row>
    <row r="781" spans="1:7" ht="12.5" x14ac:dyDescent="0.25">
      <c r="A781" s="104"/>
      <c r="B781" s="104"/>
      <c r="D781" s="104"/>
      <c r="E781" s="104"/>
      <c r="F781" s="104"/>
      <c r="G781" s="104"/>
    </row>
    <row r="782" spans="1:7" ht="12.5" x14ac:dyDescent="0.25">
      <c r="A782" s="104"/>
      <c r="B782" s="104"/>
      <c r="D782" s="104"/>
      <c r="E782" s="104"/>
      <c r="F782" s="104"/>
      <c r="G782" s="104"/>
    </row>
    <row r="783" spans="1:7" ht="12.5" x14ac:dyDescent="0.25">
      <c r="A783" s="104"/>
      <c r="B783" s="104"/>
      <c r="D783" s="104"/>
      <c r="E783" s="104"/>
      <c r="F783" s="104"/>
      <c r="G783" s="104"/>
    </row>
    <row r="784" spans="1:7" ht="12.5" x14ac:dyDescent="0.25">
      <c r="A784" s="104"/>
      <c r="B784" s="104"/>
      <c r="D784" s="104"/>
      <c r="E784" s="104"/>
      <c r="F784" s="104"/>
      <c r="G784" s="104"/>
    </row>
    <row r="785" spans="1:7" ht="12.5" x14ac:dyDescent="0.25">
      <c r="A785" s="104"/>
      <c r="B785" s="104"/>
      <c r="D785" s="104"/>
      <c r="E785" s="104"/>
      <c r="F785" s="104"/>
      <c r="G785" s="104"/>
    </row>
    <row r="786" spans="1:7" ht="12.5" x14ac:dyDescent="0.25">
      <c r="A786" s="104"/>
      <c r="B786" s="104"/>
      <c r="D786" s="104"/>
      <c r="E786" s="104"/>
      <c r="F786" s="104"/>
      <c r="G786" s="104"/>
    </row>
    <row r="787" spans="1:7" ht="12.5" x14ac:dyDescent="0.25">
      <c r="A787" s="104"/>
      <c r="B787" s="104"/>
      <c r="D787" s="104"/>
      <c r="E787" s="104"/>
      <c r="F787" s="104"/>
      <c r="G787" s="104"/>
    </row>
    <row r="788" spans="1:7" ht="12.5" x14ac:dyDescent="0.25">
      <c r="A788" s="104"/>
      <c r="B788" s="104"/>
      <c r="D788" s="104"/>
      <c r="E788" s="104"/>
      <c r="F788" s="104"/>
      <c r="G788" s="104"/>
    </row>
    <row r="789" spans="1:7" ht="12.5" x14ac:dyDescent="0.25">
      <c r="A789" s="104"/>
      <c r="B789" s="104"/>
      <c r="D789" s="104"/>
      <c r="E789" s="104"/>
      <c r="F789" s="104"/>
      <c r="G789" s="104"/>
    </row>
    <row r="790" spans="1:7" ht="12.5" x14ac:dyDescent="0.25">
      <c r="A790" s="104"/>
      <c r="B790" s="104"/>
      <c r="D790" s="104"/>
      <c r="E790" s="104"/>
      <c r="F790" s="104"/>
      <c r="G790" s="104"/>
    </row>
    <row r="791" spans="1:7" ht="12.5" x14ac:dyDescent="0.25">
      <c r="A791" s="104"/>
      <c r="B791" s="104"/>
      <c r="D791" s="104"/>
      <c r="E791" s="104"/>
      <c r="F791" s="104"/>
      <c r="G791" s="104"/>
    </row>
    <row r="792" spans="1:7" ht="12.5" x14ac:dyDescent="0.25">
      <c r="A792" s="104"/>
      <c r="B792" s="104"/>
      <c r="D792" s="104"/>
      <c r="E792" s="104"/>
      <c r="F792" s="104"/>
      <c r="G792" s="104"/>
    </row>
    <row r="793" spans="1:7" ht="12.5" x14ac:dyDescent="0.25">
      <c r="A793" s="104"/>
      <c r="B793" s="104"/>
      <c r="D793" s="104"/>
      <c r="E793" s="104"/>
      <c r="F793" s="104"/>
      <c r="G793" s="104"/>
    </row>
    <row r="794" spans="1:7" ht="12.5" x14ac:dyDescent="0.25">
      <c r="A794" s="104"/>
      <c r="B794" s="104"/>
      <c r="D794" s="104"/>
      <c r="E794" s="104"/>
      <c r="F794" s="104"/>
      <c r="G794" s="104"/>
    </row>
    <row r="795" spans="1:7" ht="12.5" x14ac:dyDescent="0.25">
      <c r="A795" s="104"/>
      <c r="B795" s="104"/>
      <c r="D795" s="104"/>
      <c r="E795" s="104"/>
      <c r="F795" s="104"/>
      <c r="G795" s="104"/>
    </row>
    <row r="796" spans="1:7" ht="12.5" x14ac:dyDescent="0.25">
      <c r="A796" s="104"/>
      <c r="B796" s="104"/>
      <c r="D796" s="104"/>
      <c r="E796" s="104"/>
      <c r="F796" s="104"/>
      <c r="G796" s="104"/>
    </row>
    <row r="797" spans="1:7" ht="12.5" x14ac:dyDescent="0.25">
      <c r="A797" s="104"/>
      <c r="B797" s="104"/>
      <c r="D797" s="104"/>
      <c r="E797" s="104"/>
      <c r="F797" s="104"/>
      <c r="G797" s="104"/>
    </row>
    <row r="798" spans="1:7" ht="12.5" x14ac:dyDescent="0.25">
      <c r="A798" s="104"/>
      <c r="B798" s="104"/>
      <c r="D798" s="104"/>
      <c r="E798" s="104"/>
      <c r="F798" s="104"/>
      <c r="G798" s="104"/>
    </row>
    <row r="799" spans="1:7" ht="12.5" x14ac:dyDescent="0.25">
      <c r="A799" s="104"/>
      <c r="B799" s="104"/>
      <c r="D799" s="104"/>
      <c r="E799" s="104"/>
      <c r="F799" s="104"/>
      <c r="G799" s="104"/>
    </row>
    <row r="800" spans="1:7" ht="12.5" x14ac:dyDescent="0.25">
      <c r="A800" s="104"/>
      <c r="B800" s="104"/>
      <c r="D800" s="104"/>
      <c r="E800" s="104"/>
      <c r="F800" s="104"/>
      <c r="G800" s="104"/>
    </row>
    <row r="801" spans="1:7" ht="12.5" x14ac:dyDescent="0.25">
      <c r="A801" s="104"/>
      <c r="B801" s="104"/>
      <c r="D801" s="104"/>
      <c r="E801" s="104"/>
      <c r="F801" s="104"/>
      <c r="G801" s="104"/>
    </row>
    <row r="802" spans="1:7" ht="12.5" x14ac:dyDescent="0.25">
      <c r="A802" s="104"/>
      <c r="B802" s="104"/>
      <c r="D802" s="104"/>
      <c r="E802" s="104"/>
      <c r="F802" s="104"/>
      <c r="G802" s="104"/>
    </row>
    <row r="803" spans="1:7" ht="12.5" x14ac:dyDescent="0.25">
      <c r="A803" s="104"/>
      <c r="B803" s="104"/>
      <c r="D803" s="104"/>
      <c r="E803" s="104"/>
      <c r="F803" s="104"/>
      <c r="G803" s="104"/>
    </row>
    <row r="804" spans="1:7" ht="12.5" x14ac:dyDescent="0.25">
      <c r="A804" s="104"/>
      <c r="B804" s="104"/>
      <c r="D804" s="104"/>
      <c r="E804" s="104"/>
      <c r="F804" s="104"/>
      <c r="G804" s="104"/>
    </row>
    <row r="805" spans="1:7" ht="12.5" x14ac:dyDescent="0.25">
      <c r="A805" s="104"/>
      <c r="B805" s="104"/>
      <c r="D805" s="104"/>
      <c r="E805" s="104"/>
      <c r="F805" s="104"/>
      <c r="G805" s="104"/>
    </row>
    <row r="806" spans="1:7" ht="12.5" x14ac:dyDescent="0.25">
      <c r="A806" s="104"/>
      <c r="B806" s="104"/>
      <c r="D806" s="104"/>
      <c r="E806" s="104"/>
      <c r="F806" s="104"/>
      <c r="G806" s="104"/>
    </row>
    <row r="807" spans="1:7" ht="12.5" x14ac:dyDescent="0.25">
      <c r="A807" s="104"/>
      <c r="B807" s="104"/>
      <c r="D807" s="104"/>
      <c r="E807" s="104"/>
      <c r="F807" s="104"/>
      <c r="G807" s="104"/>
    </row>
    <row r="808" spans="1:7" ht="12.5" x14ac:dyDescent="0.25">
      <c r="A808" s="104"/>
      <c r="B808" s="104"/>
      <c r="D808" s="104"/>
      <c r="E808" s="104"/>
      <c r="F808" s="104"/>
      <c r="G808" s="104"/>
    </row>
    <row r="809" spans="1:7" ht="12.5" x14ac:dyDescent="0.25">
      <c r="A809" s="104"/>
      <c r="B809" s="104"/>
      <c r="D809" s="104"/>
      <c r="E809" s="104"/>
      <c r="F809" s="104"/>
      <c r="G809" s="104"/>
    </row>
    <row r="810" spans="1:7" ht="12.5" x14ac:dyDescent="0.25">
      <c r="A810" s="104"/>
      <c r="B810" s="104"/>
      <c r="D810" s="104"/>
      <c r="E810" s="104"/>
      <c r="F810" s="104"/>
      <c r="G810" s="104"/>
    </row>
    <row r="811" spans="1:7" ht="12.5" x14ac:dyDescent="0.25">
      <c r="A811" s="104"/>
      <c r="B811" s="104"/>
      <c r="D811" s="104"/>
      <c r="E811" s="104"/>
      <c r="F811" s="104"/>
      <c r="G811" s="104"/>
    </row>
    <row r="812" spans="1:7" ht="12.5" x14ac:dyDescent="0.25">
      <c r="A812" s="104"/>
      <c r="B812" s="104"/>
      <c r="D812" s="104"/>
      <c r="E812" s="104"/>
      <c r="F812" s="104"/>
      <c r="G812" s="104"/>
    </row>
    <row r="813" spans="1:7" ht="12.5" x14ac:dyDescent="0.25">
      <c r="A813" s="104"/>
      <c r="B813" s="104"/>
      <c r="D813" s="104"/>
      <c r="E813" s="104"/>
      <c r="F813" s="104"/>
      <c r="G813" s="104"/>
    </row>
    <row r="814" spans="1:7" ht="12.5" x14ac:dyDescent="0.25">
      <c r="A814" s="104"/>
      <c r="B814" s="104"/>
      <c r="D814" s="104"/>
      <c r="E814" s="104"/>
      <c r="F814" s="104"/>
      <c r="G814" s="104"/>
    </row>
    <row r="815" spans="1:7" ht="12.5" x14ac:dyDescent="0.25">
      <c r="A815" s="104"/>
      <c r="B815" s="104"/>
      <c r="D815" s="104"/>
      <c r="E815" s="104"/>
      <c r="F815" s="104"/>
      <c r="G815" s="104"/>
    </row>
    <row r="816" spans="1:7" ht="12.5" x14ac:dyDescent="0.25">
      <c r="A816" s="104"/>
      <c r="B816" s="104"/>
      <c r="D816" s="104"/>
      <c r="E816" s="104"/>
      <c r="F816" s="104"/>
      <c r="G816" s="104"/>
    </row>
    <row r="817" spans="1:7" ht="12.5" x14ac:dyDescent="0.25">
      <c r="A817" s="104"/>
      <c r="B817" s="104"/>
      <c r="D817" s="104"/>
      <c r="E817" s="104"/>
      <c r="F817" s="104"/>
      <c r="G817" s="104"/>
    </row>
    <row r="818" spans="1:7" ht="12.5" x14ac:dyDescent="0.25">
      <c r="A818" s="104"/>
      <c r="B818" s="104"/>
      <c r="D818" s="104"/>
      <c r="E818" s="104"/>
      <c r="F818" s="104"/>
      <c r="G818" s="104"/>
    </row>
    <row r="819" spans="1:7" ht="12.5" x14ac:dyDescent="0.25">
      <c r="A819" s="104"/>
      <c r="B819" s="104"/>
      <c r="D819" s="104"/>
      <c r="E819" s="104"/>
      <c r="F819" s="104"/>
      <c r="G819" s="104"/>
    </row>
    <row r="820" spans="1:7" ht="12.5" x14ac:dyDescent="0.25">
      <c r="A820" s="104"/>
      <c r="B820" s="104"/>
      <c r="D820" s="104"/>
      <c r="E820" s="104"/>
      <c r="F820" s="104"/>
      <c r="G820" s="104"/>
    </row>
    <row r="821" spans="1:7" ht="12.5" x14ac:dyDescent="0.25">
      <c r="A821" s="104"/>
      <c r="B821" s="104"/>
      <c r="D821" s="104"/>
      <c r="E821" s="104"/>
      <c r="F821" s="104"/>
      <c r="G821" s="104"/>
    </row>
    <row r="822" spans="1:7" ht="12.5" x14ac:dyDescent="0.25">
      <c r="A822" s="104"/>
      <c r="B822" s="104"/>
      <c r="D822" s="104"/>
      <c r="E822" s="104"/>
      <c r="F822" s="104"/>
      <c r="G822" s="104"/>
    </row>
    <row r="823" spans="1:7" ht="12.5" x14ac:dyDescent="0.25">
      <c r="A823" s="104"/>
      <c r="B823" s="104"/>
      <c r="D823" s="104"/>
      <c r="E823" s="104"/>
      <c r="F823" s="104"/>
      <c r="G823" s="104"/>
    </row>
    <row r="824" spans="1:7" ht="12.5" x14ac:dyDescent="0.25">
      <c r="A824" s="104"/>
      <c r="B824" s="104"/>
      <c r="D824" s="104"/>
      <c r="E824" s="104"/>
      <c r="F824" s="104"/>
      <c r="G824" s="104"/>
    </row>
    <row r="825" spans="1:7" ht="12.5" x14ac:dyDescent="0.25">
      <c r="A825" s="104"/>
      <c r="B825" s="104"/>
      <c r="D825" s="104"/>
      <c r="E825" s="104"/>
      <c r="F825" s="104"/>
      <c r="G825" s="104"/>
    </row>
    <row r="826" spans="1:7" ht="12.5" x14ac:dyDescent="0.25">
      <c r="A826" s="104"/>
      <c r="B826" s="104"/>
      <c r="D826" s="104"/>
      <c r="E826" s="104"/>
      <c r="F826" s="104"/>
      <c r="G826" s="104"/>
    </row>
    <row r="827" spans="1:7" ht="12.5" x14ac:dyDescent="0.25">
      <c r="A827" s="104"/>
      <c r="B827" s="104"/>
      <c r="D827" s="104"/>
      <c r="E827" s="104"/>
      <c r="F827" s="104"/>
      <c r="G827" s="104"/>
    </row>
    <row r="828" spans="1:7" ht="12.5" x14ac:dyDescent="0.25">
      <c r="A828" s="104"/>
      <c r="B828" s="104"/>
      <c r="D828" s="104"/>
      <c r="E828" s="104"/>
      <c r="F828" s="104"/>
      <c r="G828" s="104"/>
    </row>
    <row r="829" spans="1:7" ht="12.5" x14ac:dyDescent="0.25">
      <c r="A829" s="104"/>
      <c r="B829" s="104"/>
      <c r="D829" s="104"/>
      <c r="E829" s="104"/>
      <c r="F829" s="104"/>
      <c r="G829" s="104"/>
    </row>
    <row r="830" spans="1:7" ht="12.5" x14ac:dyDescent="0.25">
      <c r="A830" s="104"/>
      <c r="B830" s="104"/>
      <c r="D830" s="104"/>
      <c r="E830" s="104"/>
      <c r="F830" s="104"/>
      <c r="G830" s="104"/>
    </row>
    <row r="831" spans="1:7" ht="12.5" x14ac:dyDescent="0.25">
      <c r="A831" s="104"/>
      <c r="B831" s="104"/>
      <c r="D831" s="104"/>
      <c r="E831" s="104"/>
      <c r="F831" s="104"/>
      <c r="G831" s="104"/>
    </row>
    <row r="832" spans="1:7" ht="12.5" x14ac:dyDescent="0.25">
      <c r="A832" s="104"/>
      <c r="B832" s="104"/>
      <c r="D832" s="104"/>
      <c r="E832" s="104"/>
      <c r="F832" s="104"/>
      <c r="G832" s="104"/>
    </row>
    <row r="833" spans="1:7" ht="12.5" x14ac:dyDescent="0.25">
      <c r="A833" s="104"/>
      <c r="B833" s="104"/>
      <c r="D833" s="104"/>
      <c r="E833" s="104"/>
      <c r="F833" s="104"/>
      <c r="G833" s="104"/>
    </row>
    <row r="834" spans="1:7" ht="12.5" x14ac:dyDescent="0.25">
      <c r="A834" s="104"/>
      <c r="B834" s="104"/>
      <c r="D834" s="104"/>
      <c r="E834" s="104"/>
      <c r="F834" s="104"/>
      <c r="G834" s="104"/>
    </row>
    <row r="835" spans="1:7" ht="12.5" x14ac:dyDescent="0.25">
      <c r="A835" s="104"/>
      <c r="B835" s="104"/>
      <c r="D835" s="104"/>
      <c r="E835" s="104"/>
      <c r="F835" s="104"/>
      <c r="G835" s="104"/>
    </row>
    <row r="836" spans="1:7" ht="12.5" x14ac:dyDescent="0.25">
      <c r="A836" s="104"/>
      <c r="B836" s="104"/>
      <c r="D836" s="104"/>
      <c r="E836" s="104"/>
      <c r="F836" s="104"/>
      <c r="G836" s="104"/>
    </row>
    <row r="837" spans="1:7" ht="12.5" x14ac:dyDescent="0.25">
      <c r="A837" s="104"/>
      <c r="B837" s="104"/>
      <c r="D837" s="104"/>
      <c r="E837" s="104"/>
      <c r="F837" s="104"/>
      <c r="G837" s="104"/>
    </row>
    <row r="838" spans="1:7" ht="12.5" x14ac:dyDescent="0.25">
      <c r="A838" s="104"/>
      <c r="B838" s="104"/>
      <c r="D838" s="104"/>
      <c r="E838" s="104"/>
      <c r="F838" s="104"/>
      <c r="G838" s="104"/>
    </row>
    <row r="839" spans="1:7" ht="12.5" x14ac:dyDescent="0.25">
      <c r="A839" s="104"/>
      <c r="B839" s="104"/>
      <c r="D839" s="104"/>
      <c r="E839" s="104"/>
      <c r="F839" s="104"/>
      <c r="G839" s="104"/>
    </row>
    <row r="840" spans="1:7" ht="12.5" x14ac:dyDescent="0.25">
      <c r="A840" s="104"/>
      <c r="B840" s="104"/>
      <c r="D840" s="104"/>
      <c r="E840" s="104"/>
      <c r="F840" s="104"/>
      <c r="G840" s="104"/>
    </row>
    <row r="841" spans="1:7" ht="12.5" x14ac:dyDescent="0.25">
      <c r="A841" s="104"/>
      <c r="B841" s="104"/>
      <c r="D841" s="104"/>
      <c r="E841" s="104"/>
      <c r="F841" s="104"/>
      <c r="G841" s="104"/>
    </row>
    <row r="842" spans="1:7" ht="12.5" x14ac:dyDescent="0.25">
      <c r="A842" s="104"/>
      <c r="B842" s="104"/>
      <c r="D842" s="104"/>
      <c r="E842" s="104"/>
      <c r="F842" s="104"/>
      <c r="G842" s="104"/>
    </row>
    <row r="843" spans="1:7" ht="12.5" x14ac:dyDescent="0.25">
      <c r="A843" s="104"/>
      <c r="B843" s="104"/>
      <c r="D843" s="104"/>
      <c r="E843" s="104"/>
      <c r="F843" s="104"/>
      <c r="G843" s="104"/>
    </row>
    <row r="844" spans="1:7" ht="12.5" x14ac:dyDescent="0.25">
      <c r="A844" s="104"/>
      <c r="B844" s="104"/>
      <c r="D844" s="104"/>
      <c r="E844" s="104"/>
      <c r="F844" s="104"/>
      <c r="G844" s="104"/>
    </row>
    <row r="845" spans="1:7" ht="12.5" x14ac:dyDescent="0.25">
      <c r="A845" s="104"/>
      <c r="B845" s="104"/>
      <c r="D845" s="104"/>
      <c r="E845" s="104"/>
      <c r="F845" s="104"/>
      <c r="G845" s="104"/>
    </row>
    <row r="846" spans="1:7" ht="12.5" x14ac:dyDescent="0.25">
      <c r="A846" s="104"/>
      <c r="B846" s="104"/>
      <c r="D846" s="104"/>
      <c r="E846" s="104"/>
      <c r="F846" s="104"/>
      <c r="G846" s="104"/>
    </row>
    <row r="847" spans="1:7" ht="12.5" x14ac:dyDescent="0.25">
      <c r="A847" s="104"/>
      <c r="B847" s="104"/>
      <c r="D847" s="104"/>
      <c r="E847" s="104"/>
      <c r="F847" s="104"/>
      <c r="G847" s="104"/>
    </row>
    <row r="848" spans="1:7" ht="12.5" x14ac:dyDescent="0.25">
      <c r="A848" s="104"/>
      <c r="B848" s="104"/>
      <c r="D848" s="104"/>
      <c r="E848" s="104"/>
      <c r="F848" s="104"/>
      <c r="G848" s="104"/>
    </row>
    <row r="849" spans="1:7" ht="12.5" x14ac:dyDescent="0.25">
      <c r="A849" s="104"/>
      <c r="B849" s="104"/>
      <c r="D849" s="104"/>
      <c r="E849" s="104"/>
      <c r="F849" s="104"/>
      <c r="G849" s="104"/>
    </row>
    <row r="850" spans="1:7" ht="12.5" x14ac:dyDescent="0.25">
      <c r="A850" s="104"/>
      <c r="B850" s="104"/>
      <c r="D850" s="104"/>
      <c r="E850" s="104"/>
      <c r="F850" s="104"/>
      <c r="G850" s="104"/>
    </row>
    <row r="851" spans="1:7" ht="12.5" x14ac:dyDescent="0.25">
      <c r="A851" s="104"/>
      <c r="B851" s="104"/>
      <c r="D851" s="104"/>
      <c r="E851" s="104"/>
      <c r="F851" s="104"/>
      <c r="G851" s="104"/>
    </row>
    <row r="852" spans="1:7" ht="12.5" x14ac:dyDescent="0.25">
      <c r="A852" s="104"/>
      <c r="B852" s="104"/>
      <c r="D852" s="104"/>
      <c r="E852" s="104"/>
      <c r="F852" s="104"/>
      <c r="G852" s="104"/>
    </row>
    <row r="853" spans="1:7" ht="12.5" x14ac:dyDescent="0.25">
      <c r="A853" s="104"/>
      <c r="B853" s="104"/>
      <c r="D853" s="104"/>
      <c r="E853" s="104"/>
      <c r="F853" s="104"/>
      <c r="G853" s="104"/>
    </row>
    <row r="854" spans="1:7" ht="12.5" x14ac:dyDescent="0.25">
      <c r="A854" s="104"/>
      <c r="B854" s="104"/>
      <c r="D854" s="104"/>
      <c r="E854" s="104"/>
      <c r="F854" s="104"/>
      <c r="G854" s="104"/>
    </row>
    <row r="855" spans="1:7" ht="12.5" x14ac:dyDescent="0.25">
      <c r="A855" s="104"/>
      <c r="B855" s="104"/>
      <c r="D855" s="104"/>
      <c r="E855" s="104"/>
      <c r="F855" s="104"/>
      <c r="G855" s="104"/>
    </row>
    <row r="856" spans="1:7" ht="12.5" x14ac:dyDescent="0.25">
      <c r="A856" s="104"/>
      <c r="B856" s="104"/>
      <c r="D856" s="104"/>
      <c r="E856" s="104"/>
      <c r="F856" s="104"/>
      <c r="G856" s="104"/>
    </row>
    <row r="857" spans="1:7" ht="12.5" x14ac:dyDescent="0.25">
      <c r="A857" s="104"/>
      <c r="B857" s="104"/>
      <c r="D857" s="104"/>
      <c r="E857" s="104"/>
      <c r="F857" s="104"/>
      <c r="G857" s="104"/>
    </row>
    <row r="858" spans="1:7" ht="12.5" x14ac:dyDescent="0.25">
      <c r="A858" s="104"/>
      <c r="B858" s="104"/>
      <c r="D858" s="104"/>
      <c r="E858" s="104"/>
      <c r="F858" s="104"/>
      <c r="G858" s="104"/>
    </row>
    <row r="859" spans="1:7" ht="12.5" x14ac:dyDescent="0.25">
      <c r="A859" s="104"/>
      <c r="B859" s="104"/>
      <c r="D859" s="104"/>
      <c r="E859" s="104"/>
      <c r="F859" s="104"/>
      <c r="G859" s="104"/>
    </row>
    <row r="860" spans="1:7" ht="12.5" x14ac:dyDescent="0.25">
      <c r="A860" s="104"/>
      <c r="B860" s="104"/>
      <c r="D860" s="104"/>
      <c r="E860" s="104"/>
      <c r="F860" s="104"/>
      <c r="G860" s="104"/>
    </row>
    <row r="861" spans="1:7" ht="12.5" x14ac:dyDescent="0.25">
      <c r="A861" s="104"/>
      <c r="B861" s="104"/>
      <c r="D861" s="104"/>
      <c r="E861" s="104"/>
      <c r="F861" s="104"/>
      <c r="G861" s="104"/>
    </row>
    <row r="862" spans="1:7" ht="12.5" x14ac:dyDescent="0.25">
      <c r="A862" s="104"/>
      <c r="B862" s="104"/>
      <c r="D862" s="104"/>
      <c r="E862" s="104"/>
      <c r="F862" s="104"/>
      <c r="G862" s="104"/>
    </row>
    <row r="863" spans="1:7" ht="12.5" x14ac:dyDescent="0.25">
      <c r="A863" s="104"/>
      <c r="B863" s="104"/>
      <c r="D863" s="104"/>
      <c r="E863" s="104"/>
      <c r="F863" s="104"/>
      <c r="G863" s="104"/>
    </row>
    <row r="864" spans="1:7" ht="12.5" x14ac:dyDescent="0.25">
      <c r="A864" s="104"/>
      <c r="B864" s="104"/>
      <c r="D864" s="104"/>
      <c r="E864" s="104"/>
      <c r="F864" s="104"/>
      <c r="G864" s="104"/>
    </row>
    <row r="865" spans="1:7" ht="12.5" x14ac:dyDescent="0.25">
      <c r="A865" s="104"/>
      <c r="B865" s="104"/>
      <c r="D865" s="104"/>
      <c r="E865" s="104"/>
      <c r="F865" s="104"/>
      <c r="G865" s="104"/>
    </row>
    <row r="866" spans="1:7" ht="12.5" x14ac:dyDescent="0.25">
      <c r="A866" s="104"/>
      <c r="B866" s="104"/>
      <c r="D866" s="104"/>
      <c r="E866" s="104"/>
      <c r="F866" s="104"/>
      <c r="G866" s="104"/>
    </row>
    <row r="867" spans="1:7" ht="12.5" x14ac:dyDescent="0.25">
      <c r="A867" s="104"/>
      <c r="B867" s="104"/>
      <c r="D867" s="104"/>
      <c r="E867" s="104"/>
      <c r="F867" s="104"/>
      <c r="G867" s="104"/>
    </row>
    <row r="868" spans="1:7" ht="12.5" x14ac:dyDescent="0.25">
      <c r="A868" s="104"/>
      <c r="B868" s="104"/>
      <c r="D868" s="104"/>
      <c r="E868" s="104"/>
      <c r="F868" s="104"/>
      <c r="G868" s="104"/>
    </row>
    <row r="869" spans="1:7" ht="12.5" x14ac:dyDescent="0.25">
      <c r="A869" s="104"/>
      <c r="B869" s="104"/>
      <c r="D869" s="104"/>
      <c r="E869" s="104"/>
      <c r="F869" s="104"/>
      <c r="G869" s="104"/>
    </row>
    <row r="870" spans="1:7" ht="12.5" x14ac:dyDescent="0.25">
      <c r="A870" s="104"/>
      <c r="B870" s="104"/>
      <c r="D870" s="104"/>
      <c r="E870" s="104"/>
      <c r="F870" s="104"/>
      <c r="G870" s="104"/>
    </row>
    <row r="871" spans="1:7" ht="12.5" x14ac:dyDescent="0.25">
      <c r="A871" s="104"/>
      <c r="B871" s="104"/>
      <c r="D871" s="104"/>
      <c r="E871" s="104"/>
      <c r="F871" s="104"/>
      <c r="G871" s="104"/>
    </row>
    <row r="872" spans="1:7" ht="12.5" x14ac:dyDescent="0.25">
      <c r="A872" s="104"/>
      <c r="B872" s="104"/>
      <c r="D872" s="104"/>
      <c r="E872" s="104"/>
      <c r="F872" s="104"/>
      <c r="G872" s="104"/>
    </row>
    <row r="873" spans="1:7" ht="12.5" x14ac:dyDescent="0.25">
      <c r="A873" s="104"/>
      <c r="B873" s="104"/>
      <c r="D873" s="104"/>
      <c r="E873" s="104"/>
      <c r="F873" s="104"/>
      <c r="G873" s="104"/>
    </row>
    <row r="874" spans="1:7" ht="12.5" x14ac:dyDescent="0.25">
      <c r="A874" s="104"/>
      <c r="B874" s="104"/>
      <c r="D874" s="104"/>
      <c r="E874" s="104"/>
      <c r="F874" s="104"/>
      <c r="G874" s="104"/>
    </row>
    <row r="875" spans="1:7" ht="12.5" x14ac:dyDescent="0.25">
      <c r="A875" s="104"/>
      <c r="B875" s="104"/>
      <c r="D875" s="104"/>
      <c r="E875" s="104"/>
      <c r="F875" s="104"/>
      <c r="G875" s="104"/>
    </row>
    <row r="876" spans="1:7" ht="12.5" x14ac:dyDescent="0.25">
      <c r="A876" s="104"/>
      <c r="B876" s="104"/>
      <c r="D876" s="104"/>
      <c r="E876" s="104"/>
      <c r="F876" s="104"/>
      <c r="G876" s="104"/>
    </row>
    <row r="877" spans="1:7" ht="12.5" x14ac:dyDescent="0.25">
      <c r="A877" s="104"/>
      <c r="B877" s="104"/>
      <c r="D877" s="104"/>
      <c r="E877" s="104"/>
      <c r="F877" s="104"/>
      <c r="G877" s="104"/>
    </row>
    <row r="878" spans="1:7" ht="12.5" x14ac:dyDescent="0.25">
      <c r="A878" s="104"/>
      <c r="B878" s="104"/>
      <c r="D878" s="104"/>
      <c r="E878" s="104"/>
      <c r="F878" s="104"/>
      <c r="G878" s="104"/>
    </row>
    <row r="879" spans="1:7" ht="12.5" x14ac:dyDescent="0.25">
      <c r="A879" s="104"/>
      <c r="B879" s="104"/>
      <c r="D879" s="104"/>
      <c r="E879" s="104"/>
      <c r="F879" s="104"/>
      <c r="G879" s="104"/>
    </row>
    <row r="880" spans="1:7" ht="12.5" x14ac:dyDescent="0.25">
      <c r="A880" s="104"/>
      <c r="B880" s="104"/>
      <c r="D880" s="104"/>
      <c r="E880" s="104"/>
      <c r="F880" s="104"/>
      <c r="G880" s="104"/>
    </row>
    <row r="881" spans="1:7" ht="12.5" x14ac:dyDescent="0.25">
      <c r="A881" s="104"/>
      <c r="B881" s="104"/>
      <c r="D881" s="104"/>
      <c r="E881" s="104"/>
      <c r="F881" s="104"/>
      <c r="G881" s="104"/>
    </row>
    <row r="882" spans="1:7" ht="12.5" x14ac:dyDescent="0.25">
      <c r="A882" s="104"/>
      <c r="B882" s="104"/>
      <c r="D882" s="104"/>
      <c r="E882" s="104"/>
      <c r="F882" s="104"/>
      <c r="G882" s="104"/>
    </row>
    <row r="883" spans="1:7" ht="12.5" x14ac:dyDescent="0.25">
      <c r="A883" s="104"/>
      <c r="B883" s="104"/>
      <c r="D883" s="104"/>
      <c r="E883" s="104"/>
      <c r="F883" s="104"/>
      <c r="G883" s="104"/>
    </row>
    <row r="884" spans="1:7" ht="12.5" x14ac:dyDescent="0.25">
      <c r="A884" s="104"/>
      <c r="B884" s="104"/>
      <c r="D884" s="104"/>
      <c r="E884" s="104"/>
      <c r="F884" s="104"/>
      <c r="G884" s="104"/>
    </row>
    <row r="885" spans="1:7" ht="12.5" x14ac:dyDescent="0.25">
      <c r="A885" s="104"/>
      <c r="B885" s="104"/>
      <c r="D885" s="104"/>
      <c r="E885" s="104"/>
      <c r="F885" s="104"/>
      <c r="G885" s="104"/>
    </row>
    <row r="886" spans="1:7" ht="12.5" x14ac:dyDescent="0.25">
      <c r="A886" s="104"/>
      <c r="B886" s="104"/>
      <c r="D886" s="104"/>
      <c r="E886" s="104"/>
      <c r="F886" s="104"/>
      <c r="G886" s="104"/>
    </row>
    <row r="887" spans="1:7" ht="12.5" x14ac:dyDescent="0.25">
      <c r="A887" s="104"/>
      <c r="B887" s="104"/>
      <c r="D887" s="104"/>
      <c r="E887" s="104"/>
      <c r="F887" s="104"/>
      <c r="G887" s="104"/>
    </row>
    <row r="888" spans="1:7" ht="12.5" x14ac:dyDescent="0.25">
      <c r="A888" s="104"/>
      <c r="B888" s="104"/>
      <c r="D888" s="104"/>
      <c r="E888" s="104"/>
      <c r="F888" s="104"/>
      <c r="G888" s="104"/>
    </row>
    <row r="889" spans="1:7" ht="12.5" x14ac:dyDescent="0.25">
      <c r="A889" s="104"/>
      <c r="B889" s="104"/>
      <c r="D889" s="104"/>
      <c r="E889" s="104"/>
      <c r="F889" s="104"/>
      <c r="G889" s="104"/>
    </row>
    <row r="890" spans="1:7" ht="12.5" x14ac:dyDescent="0.25">
      <c r="A890" s="104"/>
      <c r="B890" s="104"/>
      <c r="D890" s="104"/>
      <c r="E890" s="104"/>
      <c r="F890" s="104"/>
      <c r="G890" s="104"/>
    </row>
    <row r="891" spans="1:7" ht="12.5" x14ac:dyDescent="0.25">
      <c r="A891" s="104"/>
      <c r="B891" s="104"/>
      <c r="D891" s="104"/>
      <c r="E891" s="104"/>
      <c r="F891" s="104"/>
      <c r="G891" s="104"/>
    </row>
    <row r="892" spans="1:7" ht="12.5" x14ac:dyDescent="0.25">
      <c r="A892" s="104"/>
      <c r="B892" s="104"/>
      <c r="D892" s="104"/>
      <c r="E892" s="104"/>
      <c r="F892" s="104"/>
      <c r="G892" s="104"/>
    </row>
    <row r="893" spans="1:7" ht="12.5" x14ac:dyDescent="0.25">
      <c r="A893" s="104"/>
      <c r="B893" s="104"/>
      <c r="D893" s="104"/>
      <c r="E893" s="104"/>
      <c r="F893" s="104"/>
      <c r="G893" s="104"/>
    </row>
    <row r="894" spans="1:7" ht="12.5" x14ac:dyDescent="0.25">
      <c r="A894" s="104"/>
      <c r="B894" s="104"/>
      <c r="D894" s="104"/>
      <c r="E894" s="104"/>
      <c r="F894" s="104"/>
      <c r="G894" s="104"/>
    </row>
    <row r="895" spans="1:7" ht="12.5" x14ac:dyDescent="0.25">
      <c r="A895" s="104"/>
      <c r="B895" s="104"/>
      <c r="D895" s="104"/>
      <c r="E895" s="104"/>
      <c r="F895" s="104"/>
      <c r="G895" s="104"/>
    </row>
    <row r="896" spans="1:7" ht="12.5" x14ac:dyDescent="0.25">
      <c r="A896" s="104"/>
      <c r="B896" s="104"/>
      <c r="D896" s="104"/>
      <c r="E896" s="104"/>
      <c r="F896" s="104"/>
      <c r="G896" s="104"/>
    </row>
    <row r="897" spans="1:7" ht="12.5" x14ac:dyDescent="0.25">
      <c r="A897" s="104"/>
      <c r="B897" s="104"/>
      <c r="D897" s="104"/>
      <c r="E897" s="104"/>
      <c r="F897" s="104"/>
      <c r="G897" s="104"/>
    </row>
    <row r="898" spans="1:7" ht="12.5" x14ac:dyDescent="0.25">
      <c r="A898" s="104"/>
      <c r="B898" s="104"/>
      <c r="D898" s="104"/>
      <c r="E898" s="104"/>
      <c r="F898" s="104"/>
      <c r="G898" s="104"/>
    </row>
    <row r="899" spans="1:7" ht="12.5" x14ac:dyDescent="0.25">
      <c r="A899" s="104"/>
      <c r="B899" s="104"/>
      <c r="D899" s="104"/>
      <c r="E899" s="104"/>
      <c r="F899" s="104"/>
      <c r="G899" s="104"/>
    </row>
    <row r="900" spans="1:7" ht="12.5" x14ac:dyDescent="0.25">
      <c r="A900" s="104"/>
      <c r="B900" s="104"/>
      <c r="D900" s="104"/>
      <c r="E900" s="104"/>
      <c r="F900" s="104"/>
      <c r="G900" s="104"/>
    </row>
    <row r="901" spans="1:7" ht="12.5" x14ac:dyDescent="0.25">
      <c r="A901" s="104"/>
      <c r="B901" s="104"/>
      <c r="D901" s="104"/>
      <c r="E901" s="104"/>
      <c r="F901" s="104"/>
      <c r="G901" s="104"/>
    </row>
    <row r="902" spans="1:7" ht="12.5" x14ac:dyDescent="0.25">
      <c r="A902" s="104"/>
      <c r="B902" s="104"/>
      <c r="D902" s="104"/>
      <c r="E902" s="104"/>
      <c r="F902" s="104"/>
      <c r="G902" s="104"/>
    </row>
    <row r="903" spans="1:7" ht="12.5" x14ac:dyDescent="0.25">
      <c r="A903" s="104"/>
      <c r="B903" s="104"/>
      <c r="D903" s="104"/>
      <c r="E903" s="104"/>
      <c r="F903" s="104"/>
      <c r="G903" s="104"/>
    </row>
    <row r="904" spans="1:7" ht="12.5" x14ac:dyDescent="0.25">
      <c r="A904" s="104"/>
      <c r="B904" s="104"/>
      <c r="D904" s="104"/>
      <c r="E904" s="104"/>
      <c r="F904" s="104"/>
      <c r="G904" s="104"/>
    </row>
    <row r="905" spans="1:7" ht="12.5" x14ac:dyDescent="0.25">
      <c r="A905" s="104"/>
      <c r="B905" s="104"/>
      <c r="D905" s="104"/>
      <c r="E905" s="104"/>
      <c r="F905" s="104"/>
      <c r="G905" s="104"/>
    </row>
    <row r="906" spans="1:7" ht="12.5" x14ac:dyDescent="0.25">
      <c r="A906" s="104"/>
      <c r="B906" s="104"/>
      <c r="D906" s="104"/>
      <c r="E906" s="104"/>
      <c r="F906" s="104"/>
      <c r="G906" s="104"/>
    </row>
    <row r="907" spans="1:7" ht="12.5" x14ac:dyDescent="0.25">
      <c r="A907" s="104"/>
      <c r="B907" s="104"/>
      <c r="D907" s="104"/>
      <c r="E907" s="104"/>
      <c r="F907" s="104"/>
      <c r="G907" s="104"/>
    </row>
    <row r="908" spans="1:7" ht="12.5" x14ac:dyDescent="0.25">
      <c r="A908" s="104"/>
      <c r="B908" s="104"/>
      <c r="D908" s="104"/>
      <c r="E908" s="104"/>
      <c r="F908" s="104"/>
      <c r="G908" s="104"/>
    </row>
    <row r="909" spans="1:7" ht="12.5" x14ac:dyDescent="0.25">
      <c r="A909" s="104"/>
      <c r="B909" s="104"/>
      <c r="D909" s="104"/>
      <c r="E909" s="104"/>
      <c r="F909" s="104"/>
      <c r="G909" s="104"/>
    </row>
    <row r="910" spans="1:7" ht="12.5" x14ac:dyDescent="0.25">
      <c r="A910" s="104"/>
      <c r="B910" s="104"/>
      <c r="D910" s="104"/>
      <c r="E910" s="104"/>
      <c r="F910" s="104"/>
      <c r="G910" s="104"/>
    </row>
    <row r="911" spans="1:7" ht="12.5" x14ac:dyDescent="0.25">
      <c r="A911" s="104"/>
      <c r="B911" s="104"/>
      <c r="D911" s="104"/>
      <c r="E911" s="104"/>
      <c r="F911" s="104"/>
      <c r="G911" s="104"/>
    </row>
    <row r="912" spans="1:7" ht="12.5" x14ac:dyDescent="0.25">
      <c r="A912" s="104"/>
      <c r="B912" s="104"/>
      <c r="D912" s="104"/>
      <c r="E912" s="104"/>
      <c r="F912" s="104"/>
      <c r="G912" s="104"/>
    </row>
    <row r="913" spans="1:7" ht="12.5" x14ac:dyDescent="0.25">
      <c r="A913" s="104"/>
      <c r="B913" s="104"/>
      <c r="D913" s="104"/>
      <c r="E913" s="104"/>
      <c r="F913" s="104"/>
      <c r="G913" s="104"/>
    </row>
    <row r="914" spans="1:7" ht="12.5" x14ac:dyDescent="0.25">
      <c r="A914" s="104"/>
      <c r="B914" s="104"/>
      <c r="D914" s="104"/>
      <c r="E914" s="104"/>
      <c r="F914" s="104"/>
      <c r="G914" s="104"/>
    </row>
    <row r="915" spans="1:7" ht="12.5" x14ac:dyDescent="0.25">
      <c r="A915" s="104"/>
      <c r="B915" s="104"/>
      <c r="D915" s="104"/>
      <c r="E915" s="104"/>
      <c r="F915" s="104"/>
      <c r="G915" s="104"/>
    </row>
    <row r="916" spans="1:7" ht="12.5" x14ac:dyDescent="0.25">
      <c r="A916" s="104"/>
      <c r="B916" s="104"/>
      <c r="D916" s="104"/>
      <c r="E916" s="104"/>
      <c r="F916" s="104"/>
      <c r="G916" s="104"/>
    </row>
    <row r="917" spans="1:7" ht="12.5" x14ac:dyDescent="0.25">
      <c r="A917" s="104"/>
      <c r="B917" s="104"/>
      <c r="D917" s="104"/>
      <c r="E917" s="104"/>
      <c r="F917" s="104"/>
      <c r="G917" s="104"/>
    </row>
    <row r="918" spans="1:7" ht="12.5" x14ac:dyDescent="0.25">
      <c r="A918" s="104"/>
      <c r="B918" s="104"/>
      <c r="D918" s="104"/>
      <c r="E918" s="104"/>
      <c r="F918" s="104"/>
      <c r="G918" s="104"/>
    </row>
    <row r="919" spans="1:7" ht="12.5" x14ac:dyDescent="0.25">
      <c r="A919" s="104"/>
      <c r="B919" s="104"/>
      <c r="D919" s="104"/>
      <c r="E919" s="104"/>
      <c r="F919" s="104"/>
      <c r="G919" s="104"/>
    </row>
    <row r="920" spans="1:7" ht="12.5" x14ac:dyDescent="0.25">
      <c r="A920" s="104"/>
      <c r="B920" s="104"/>
      <c r="D920" s="104"/>
      <c r="E920" s="104"/>
      <c r="F920" s="104"/>
      <c r="G920" s="104"/>
    </row>
    <row r="921" spans="1:7" ht="12.5" x14ac:dyDescent="0.25">
      <c r="A921" s="104"/>
      <c r="B921" s="104"/>
      <c r="D921" s="104"/>
      <c r="E921" s="104"/>
      <c r="F921" s="104"/>
      <c r="G921" s="104"/>
    </row>
    <row r="922" spans="1:7" ht="12.5" x14ac:dyDescent="0.25">
      <c r="A922" s="104"/>
      <c r="B922" s="104"/>
      <c r="D922" s="104"/>
      <c r="E922" s="104"/>
      <c r="F922" s="104"/>
      <c r="G922" s="104"/>
    </row>
    <row r="923" spans="1:7" ht="12.5" x14ac:dyDescent="0.25">
      <c r="A923" s="104"/>
      <c r="B923" s="104"/>
      <c r="D923" s="104"/>
      <c r="E923" s="104"/>
      <c r="F923" s="104"/>
      <c r="G923" s="104"/>
    </row>
    <row r="924" spans="1:7" ht="12.5" x14ac:dyDescent="0.25">
      <c r="A924" s="104"/>
      <c r="B924" s="104"/>
      <c r="D924" s="104"/>
      <c r="E924" s="104"/>
      <c r="F924" s="104"/>
      <c r="G924" s="104"/>
    </row>
    <row r="925" spans="1:7" ht="12.5" x14ac:dyDescent="0.25">
      <c r="A925" s="104"/>
      <c r="B925" s="104"/>
      <c r="D925" s="104"/>
      <c r="E925" s="104"/>
      <c r="F925" s="104"/>
      <c r="G925" s="104"/>
    </row>
    <row r="926" spans="1:7" ht="12.5" x14ac:dyDescent="0.25">
      <c r="A926" s="104"/>
      <c r="B926" s="104"/>
      <c r="D926" s="104"/>
      <c r="E926" s="104"/>
      <c r="F926" s="104"/>
      <c r="G926" s="104"/>
    </row>
    <row r="927" spans="1:7" ht="12.5" x14ac:dyDescent="0.25">
      <c r="A927" s="104"/>
      <c r="B927" s="104"/>
      <c r="D927" s="104"/>
      <c r="E927" s="104"/>
      <c r="F927" s="104"/>
      <c r="G927" s="104"/>
    </row>
    <row r="928" spans="1:7" ht="12.5" x14ac:dyDescent="0.25">
      <c r="A928" s="104"/>
      <c r="B928" s="104"/>
      <c r="D928" s="104"/>
      <c r="E928" s="104"/>
      <c r="F928" s="104"/>
      <c r="G928" s="104"/>
    </row>
    <row r="929" spans="1:7" ht="12.5" x14ac:dyDescent="0.25">
      <c r="A929" s="104"/>
      <c r="B929" s="104"/>
      <c r="D929" s="104"/>
      <c r="E929" s="104"/>
      <c r="F929" s="104"/>
      <c r="G929" s="104"/>
    </row>
    <row r="930" spans="1:7" ht="12.5" x14ac:dyDescent="0.25">
      <c r="A930" s="104"/>
      <c r="B930" s="104"/>
      <c r="D930" s="104"/>
      <c r="E930" s="104"/>
      <c r="F930" s="104"/>
      <c r="G930" s="104"/>
    </row>
    <row r="931" spans="1:7" ht="12.5" x14ac:dyDescent="0.25">
      <c r="A931" s="104"/>
      <c r="B931" s="104"/>
      <c r="D931" s="104"/>
      <c r="E931" s="104"/>
      <c r="F931" s="104"/>
      <c r="G931" s="104"/>
    </row>
    <row r="932" spans="1:7" ht="12.5" x14ac:dyDescent="0.25">
      <c r="A932" s="104"/>
      <c r="B932" s="104"/>
      <c r="D932" s="104"/>
      <c r="E932" s="104"/>
      <c r="F932" s="104"/>
      <c r="G932" s="104"/>
    </row>
    <row r="933" spans="1:7" ht="12.5" x14ac:dyDescent="0.25">
      <c r="A933" s="104"/>
      <c r="B933" s="104"/>
      <c r="D933" s="104"/>
      <c r="E933" s="104"/>
      <c r="F933" s="104"/>
      <c r="G933" s="104"/>
    </row>
    <row r="934" spans="1:7" ht="12.5" x14ac:dyDescent="0.25">
      <c r="A934" s="104"/>
      <c r="B934" s="104"/>
      <c r="D934" s="104"/>
      <c r="E934" s="104"/>
      <c r="F934" s="104"/>
      <c r="G934" s="104"/>
    </row>
    <row r="935" spans="1:7" ht="12.5" x14ac:dyDescent="0.25">
      <c r="A935" s="104"/>
      <c r="B935" s="104"/>
      <c r="D935" s="104"/>
      <c r="E935" s="104"/>
      <c r="F935" s="104"/>
      <c r="G935" s="104"/>
    </row>
    <row r="936" spans="1:7" ht="12.5" x14ac:dyDescent="0.25">
      <c r="A936" s="104"/>
      <c r="B936" s="104"/>
      <c r="D936" s="104"/>
      <c r="E936" s="104"/>
      <c r="F936" s="104"/>
      <c r="G936" s="104"/>
    </row>
    <row r="937" spans="1:7" ht="12.5" x14ac:dyDescent="0.25">
      <c r="A937" s="104"/>
      <c r="B937" s="104"/>
      <c r="D937" s="104"/>
      <c r="E937" s="104"/>
      <c r="F937" s="104"/>
      <c r="G937" s="104"/>
    </row>
    <row r="938" spans="1:7" ht="12.5" x14ac:dyDescent="0.25">
      <c r="A938" s="104"/>
      <c r="B938" s="104"/>
      <c r="D938" s="104"/>
      <c r="E938" s="104"/>
      <c r="F938" s="104"/>
      <c r="G938" s="104"/>
    </row>
    <row r="939" spans="1:7" ht="12.5" x14ac:dyDescent="0.25">
      <c r="A939" s="104"/>
      <c r="B939" s="104"/>
      <c r="D939" s="104"/>
      <c r="E939" s="104"/>
      <c r="F939" s="104"/>
      <c r="G939" s="104"/>
    </row>
    <row r="940" spans="1:7" ht="12.5" x14ac:dyDescent="0.25">
      <c r="A940" s="104"/>
      <c r="B940" s="104"/>
      <c r="D940" s="104"/>
      <c r="E940" s="104"/>
      <c r="F940" s="104"/>
      <c r="G940" s="104"/>
    </row>
    <row r="941" spans="1:7" ht="12.5" x14ac:dyDescent="0.25">
      <c r="A941" s="104"/>
      <c r="B941" s="104"/>
      <c r="D941" s="104"/>
      <c r="E941" s="104"/>
      <c r="F941" s="104"/>
      <c r="G941" s="104"/>
    </row>
    <row r="942" spans="1:7" ht="12.5" x14ac:dyDescent="0.25">
      <c r="A942" s="104"/>
      <c r="B942" s="104"/>
      <c r="D942" s="104"/>
      <c r="E942" s="104"/>
      <c r="F942" s="104"/>
      <c r="G942" s="104"/>
    </row>
    <row r="943" spans="1:7" ht="12.5" x14ac:dyDescent="0.25">
      <c r="A943" s="104"/>
      <c r="B943" s="104"/>
      <c r="D943" s="104"/>
      <c r="E943" s="104"/>
      <c r="F943" s="104"/>
      <c r="G943" s="104"/>
    </row>
    <row r="944" spans="1:7" ht="12.5" x14ac:dyDescent="0.25">
      <c r="A944" s="104"/>
      <c r="B944" s="104"/>
      <c r="D944" s="104"/>
      <c r="E944" s="104"/>
      <c r="F944" s="104"/>
      <c r="G944" s="104"/>
    </row>
    <row r="945" spans="1:7" ht="12.5" x14ac:dyDescent="0.25">
      <c r="A945" s="104"/>
      <c r="B945" s="104"/>
      <c r="D945" s="104"/>
      <c r="E945" s="104"/>
      <c r="F945" s="104"/>
      <c r="G945" s="104"/>
    </row>
    <row r="946" spans="1:7" ht="12.5" x14ac:dyDescent="0.25">
      <c r="A946" s="104"/>
      <c r="B946" s="104"/>
      <c r="D946" s="104"/>
      <c r="E946" s="104"/>
      <c r="F946" s="104"/>
      <c r="G946" s="104"/>
    </row>
    <row r="947" spans="1:7" ht="12.5" x14ac:dyDescent="0.25">
      <c r="A947" s="104"/>
      <c r="B947" s="104"/>
      <c r="D947" s="104"/>
      <c r="E947" s="104"/>
      <c r="F947" s="104"/>
      <c r="G947" s="104"/>
    </row>
    <row r="948" spans="1:7" ht="12.5" x14ac:dyDescent="0.25">
      <c r="A948" s="104"/>
      <c r="B948" s="104"/>
      <c r="D948" s="104"/>
      <c r="E948" s="104"/>
      <c r="F948" s="104"/>
      <c r="G948" s="104"/>
    </row>
    <row r="949" spans="1:7" ht="12.5" x14ac:dyDescent="0.25">
      <c r="A949" s="104"/>
      <c r="B949" s="104"/>
      <c r="D949" s="104"/>
      <c r="E949" s="104"/>
      <c r="F949" s="104"/>
      <c r="G949" s="104"/>
    </row>
    <row r="950" spans="1:7" ht="12.5" x14ac:dyDescent="0.25">
      <c r="A950" s="104"/>
      <c r="B950" s="104"/>
      <c r="D950" s="104"/>
      <c r="E950" s="104"/>
      <c r="F950" s="104"/>
      <c r="G950" s="104"/>
    </row>
    <row r="951" spans="1:7" ht="12.5" x14ac:dyDescent="0.25">
      <c r="A951" s="104"/>
      <c r="B951" s="104"/>
      <c r="D951" s="104"/>
      <c r="E951" s="104"/>
      <c r="F951" s="104"/>
      <c r="G951" s="104"/>
    </row>
    <row r="952" spans="1:7" ht="12.5" x14ac:dyDescent="0.25">
      <c r="A952" s="104"/>
      <c r="B952" s="104"/>
      <c r="D952" s="104"/>
      <c r="E952" s="104"/>
      <c r="F952" s="104"/>
      <c r="G952" s="104"/>
    </row>
    <row r="953" spans="1:7" ht="12.5" x14ac:dyDescent="0.25">
      <c r="A953" s="104"/>
      <c r="B953" s="104"/>
      <c r="D953" s="104"/>
      <c r="E953" s="104"/>
      <c r="F953" s="104"/>
      <c r="G953" s="104"/>
    </row>
    <row r="954" spans="1:7" ht="12.5" x14ac:dyDescent="0.25">
      <c r="A954" s="104"/>
      <c r="B954" s="104"/>
      <c r="D954" s="104"/>
      <c r="E954" s="104"/>
      <c r="F954" s="104"/>
      <c r="G954" s="104"/>
    </row>
    <row r="955" spans="1:7" ht="12.5" x14ac:dyDescent="0.25">
      <c r="A955" s="104"/>
      <c r="B955" s="104"/>
      <c r="D955" s="104"/>
      <c r="E955" s="104"/>
      <c r="F955" s="104"/>
      <c r="G955" s="104"/>
    </row>
    <row r="956" spans="1:7" ht="12.5" x14ac:dyDescent="0.25">
      <c r="A956" s="104"/>
      <c r="B956" s="104"/>
      <c r="D956" s="104"/>
      <c r="E956" s="104"/>
      <c r="F956" s="104"/>
      <c r="G956" s="104"/>
    </row>
    <row r="957" spans="1:7" ht="12.5" x14ac:dyDescent="0.25">
      <c r="A957" s="104"/>
      <c r="B957" s="104"/>
      <c r="D957" s="104"/>
      <c r="E957" s="104"/>
      <c r="F957" s="104"/>
      <c r="G957" s="104"/>
    </row>
    <row r="958" spans="1:7" ht="12.5" x14ac:dyDescent="0.25">
      <c r="A958" s="104"/>
      <c r="B958" s="104"/>
      <c r="D958" s="104"/>
      <c r="E958" s="104"/>
      <c r="F958" s="104"/>
      <c r="G958" s="104"/>
    </row>
    <row r="959" spans="1:7" ht="12.5" x14ac:dyDescent="0.25">
      <c r="A959" s="104"/>
      <c r="B959" s="104"/>
      <c r="D959" s="104"/>
      <c r="E959" s="104"/>
      <c r="F959" s="104"/>
      <c r="G959" s="104"/>
    </row>
    <row r="960" spans="1:7" ht="12.5" x14ac:dyDescent="0.25">
      <c r="A960" s="104"/>
      <c r="B960" s="104"/>
      <c r="D960" s="104"/>
      <c r="E960" s="104"/>
      <c r="F960" s="104"/>
      <c r="G960" s="104"/>
    </row>
    <row r="961" spans="1:7" ht="12.5" x14ac:dyDescent="0.25">
      <c r="A961" s="104"/>
      <c r="B961" s="104"/>
      <c r="D961" s="104"/>
      <c r="E961" s="104"/>
      <c r="F961" s="104"/>
      <c r="G961" s="104"/>
    </row>
    <row r="962" spans="1:7" ht="12.5" x14ac:dyDescent="0.25">
      <c r="A962" s="104"/>
      <c r="B962" s="104"/>
      <c r="D962" s="104"/>
      <c r="E962" s="104"/>
      <c r="F962" s="104"/>
      <c r="G962" s="104"/>
    </row>
    <row r="963" spans="1:7" ht="12.5" x14ac:dyDescent="0.25">
      <c r="A963" s="104"/>
      <c r="B963" s="104"/>
      <c r="D963" s="104"/>
      <c r="E963" s="104"/>
      <c r="F963" s="104"/>
      <c r="G963" s="104"/>
    </row>
    <row r="964" spans="1:7" ht="12.5" x14ac:dyDescent="0.25">
      <c r="A964" s="104"/>
      <c r="B964" s="104"/>
      <c r="D964" s="104"/>
      <c r="E964" s="104"/>
      <c r="F964" s="104"/>
      <c r="G964" s="104"/>
    </row>
    <row r="965" spans="1:7" ht="12.5" x14ac:dyDescent="0.25">
      <c r="A965" s="104"/>
      <c r="B965" s="104"/>
      <c r="D965" s="104"/>
      <c r="E965" s="104"/>
      <c r="F965" s="104"/>
      <c r="G965" s="104"/>
    </row>
    <row r="966" spans="1:7" ht="12.5" x14ac:dyDescent="0.25">
      <c r="A966" s="104"/>
      <c r="B966" s="104"/>
      <c r="D966" s="104"/>
      <c r="E966" s="104"/>
      <c r="F966" s="104"/>
      <c r="G966" s="104"/>
    </row>
    <row r="967" spans="1:7" ht="12.5" x14ac:dyDescent="0.25">
      <c r="A967" s="104"/>
      <c r="B967" s="104"/>
      <c r="D967" s="104"/>
      <c r="E967" s="104"/>
      <c r="F967" s="104"/>
      <c r="G967" s="104"/>
    </row>
    <row r="968" spans="1:7" ht="12.5" x14ac:dyDescent="0.25">
      <c r="A968" s="104"/>
      <c r="B968" s="104"/>
      <c r="D968" s="104"/>
      <c r="E968" s="104"/>
      <c r="F968" s="104"/>
      <c r="G968" s="104"/>
    </row>
    <row r="969" spans="1:7" ht="12.5" x14ac:dyDescent="0.25">
      <c r="A969" s="104"/>
      <c r="B969" s="104"/>
      <c r="D969" s="104"/>
      <c r="E969" s="104"/>
      <c r="F969" s="104"/>
      <c r="G969" s="104"/>
    </row>
    <row r="970" spans="1:7" ht="12.5" x14ac:dyDescent="0.25">
      <c r="A970" s="104"/>
      <c r="B970" s="104"/>
      <c r="D970" s="104"/>
      <c r="E970" s="104"/>
      <c r="F970" s="104"/>
      <c r="G970" s="104"/>
    </row>
    <row r="971" spans="1:7" ht="12.5" x14ac:dyDescent="0.25">
      <c r="A971" s="104"/>
      <c r="B971" s="104"/>
      <c r="D971" s="104"/>
      <c r="E971" s="104"/>
      <c r="F971" s="104"/>
      <c r="G971" s="104"/>
    </row>
    <row r="972" spans="1:7" ht="12.5" x14ac:dyDescent="0.25">
      <c r="A972" s="104"/>
      <c r="B972" s="104"/>
      <c r="D972" s="104"/>
      <c r="E972" s="104"/>
      <c r="F972" s="104"/>
      <c r="G972" s="104"/>
    </row>
    <row r="973" spans="1:7" ht="12.5" x14ac:dyDescent="0.25">
      <c r="A973" s="104"/>
      <c r="B973" s="104"/>
      <c r="D973" s="104"/>
      <c r="E973" s="104"/>
      <c r="F973" s="104"/>
      <c r="G973" s="104"/>
    </row>
    <row r="974" spans="1:7" ht="12.5" x14ac:dyDescent="0.25">
      <c r="A974" s="104"/>
      <c r="B974" s="104"/>
      <c r="D974" s="104"/>
      <c r="E974" s="104"/>
      <c r="F974" s="104"/>
      <c r="G974" s="104"/>
    </row>
    <row r="975" spans="1:7" ht="12.5" x14ac:dyDescent="0.25">
      <c r="A975" s="104"/>
      <c r="B975" s="104"/>
      <c r="D975" s="104"/>
      <c r="E975" s="104"/>
      <c r="F975" s="104"/>
      <c r="G975" s="104"/>
    </row>
    <row r="976" spans="1:7" ht="12.5" x14ac:dyDescent="0.25">
      <c r="A976" s="104"/>
      <c r="B976" s="104"/>
      <c r="D976" s="104"/>
      <c r="E976" s="104"/>
      <c r="F976" s="104"/>
      <c r="G976" s="104"/>
    </row>
    <row r="977" spans="1:7" ht="12.5" x14ac:dyDescent="0.25">
      <c r="A977" s="104"/>
      <c r="B977" s="104"/>
      <c r="D977" s="104"/>
      <c r="E977" s="104"/>
      <c r="F977" s="104"/>
      <c r="G977" s="104"/>
    </row>
    <row r="978" spans="1:7" ht="12.5" x14ac:dyDescent="0.25">
      <c r="A978" s="104"/>
      <c r="B978" s="104"/>
      <c r="D978" s="104"/>
      <c r="E978" s="104"/>
      <c r="F978" s="104"/>
      <c r="G978" s="104"/>
    </row>
    <row r="979" spans="1:7" ht="12.5" x14ac:dyDescent="0.25">
      <c r="A979" s="104"/>
      <c r="B979" s="104"/>
      <c r="D979" s="104"/>
      <c r="E979" s="104"/>
      <c r="F979" s="104"/>
      <c r="G979" s="104"/>
    </row>
    <row r="980" spans="1:7" ht="12.5" x14ac:dyDescent="0.25">
      <c r="A980" s="104"/>
      <c r="B980" s="104"/>
      <c r="D980" s="104"/>
      <c r="E980" s="104"/>
      <c r="F980" s="104"/>
      <c r="G980" s="104"/>
    </row>
    <row r="981" spans="1:7" ht="12.5" x14ac:dyDescent="0.25">
      <c r="A981" s="104"/>
      <c r="B981" s="104"/>
      <c r="D981" s="104"/>
      <c r="E981" s="104"/>
      <c r="F981" s="104"/>
      <c r="G981" s="104"/>
    </row>
    <row r="982" spans="1:7" ht="12.5" x14ac:dyDescent="0.25">
      <c r="A982" s="104"/>
      <c r="B982" s="104"/>
      <c r="D982" s="104"/>
      <c r="E982" s="104"/>
      <c r="F982" s="104"/>
      <c r="G982" s="104"/>
    </row>
    <row r="983" spans="1:7" ht="12.5" x14ac:dyDescent="0.25">
      <c r="A983" s="104"/>
      <c r="B983" s="104"/>
      <c r="D983" s="104"/>
      <c r="E983" s="104"/>
      <c r="F983" s="104"/>
      <c r="G983" s="104"/>
    </row>
    <row r="984" spans="1:7" ht="12.5" x14ac:dyDescent="0.25">
      <c r="A984" s="104"/>
      <c r="B984" s="104"/>
      <c r="D984" s="104"/>
      <c r="E984" s="104"/>
      <c r="F984" s="104"/>
      <c r="G984" s="104"/>
    </row>
    <row r="985" spans="1:7" ht="12.5" x14ac:dyDescent="0.25">
      <c r="A985" s="104"/>
      <c r="B985" s="104"/>
      <c r="D985" s="104"/>
      <c r="E985" s="104"/>
      <c r="F985" s="104"/>
      <c r="G985" s="104"/>
    </row>
    <row r="986" spans="1:7" ht="12.5" x14ac:dyDescent="0.25">
      <c r="A986" s="104"/>
      <c r="B986" s="104"/>
      <c r="D986" s="104"/>
      <c r="E986" s="104"/>
      <c r="F986" s="104"/>
      <c r="G986" s="104"/>
    </row>
    <row r="987" spans="1:7" ht="12.5" x14ac:dyDescent="0.25">
      <c r="A987" s="104"/>
      <c r="B987" s="104"/>
      <c r="D987" s="104"/>
      <c r="E987" s="104"/>
      <c r="F987" s="104"/>
      <c r="G987" s="104"/>
    </row>
    <row r="988" spans="1:7" ht="12.5" x14ac:dyDescent="0.25">
      <c r="A988" s="104"/>
      <c r="B988" s="104"/>
      <c r="D988" s="104"/>
      <c r="E988" s="104"/>
      <c r="F988" s="104"/>
      <c r="G988" s="104"/>
    </row>
    <row r="989" spans="1:7" ht="12.5" x14ac:dyDescent="0.25">
      <c r="A989" s="104"/>
      <c r="B989" s="104"/>
      <c r="D989" s="104"/>
      <c r="E989" s="104"/>
      <c r="F989" s="104"/>
      <c r="G989" s="104"/>
    </row>
    <row r="990" spans="1:7" ht="12.5" x14ac:dyDescent="0.25">
      <c r="A990" s="104"/>
      <c r="B990" s="104"/>
      <c r="D990" s="104"/>
      <c r="E990" s="104"/>
      <c r="F990" s="104"/>
      <c r="G990" s="104"/>
    </row>
    <row r="991" spans="1:7" ht="12.5" x14ac:dyDescent="0.25">
      <c r="A991" s="104"/>
      <c r="B991" s="104"/>
      <c r="D991" s="104"/>
      <c r="E991" s="104"/>
      <c r="F991" s="104"/>
      <c r="G991" s="104"/>
    </row>
    <row r="992" spans="1:7" ht="12.5" x14ac:dyDescent="0.25">
      <c r="A992" s="104"/>
      <c r="B992" s="104"/>
      <c r="D992" s="104"/>
      <c r="E992" s="104"/>
      <c r="F992" s="104"/>
      <c r="G992" s="104"/>
    </row>
    <row r="993" spans="1:7" ht="12.5" x14ac:dyDescent="0.25">
      <c r="A993" s="104"/>
      <c r="B993" s="104"/>
      <c r="D993" s="104"/>
      <c r="E993" s="104"/>
      <c r="F993" s="104"/>
      <c r="G993" s="104"/>
    </row>
    <row r="994" spans="1:7" ht="12.5" x14ac:dyDescent="0.25">
      <c r="A994" s="104"/>
      <c r="B994" s="104"/>
      <c r="D994" s="104"/>
      <c r="E994" s="104"/>
      <c r="F994" s="104"/>
      <c r="G994" s="104"/>
    </row>
    <row r="995" spans="1:7" ht="12.5" x14ac:dyDescent="0.25">
      <c r="A995" s="104"/>
      <c r="B995" s="104"/>
      <c r="D995" s="104"/>
      <c r="E995" s="104"/>
      <c r="F995" s="104"/>
      <c r="G995" s="104"/>
    </row>
    <row r="996" spans="1:7" ht="12.5" x14ac:dyDescent="0.25">
      <c r="A996" s="104"/>
      <c r="B996" s="104"/>
      <c r="D996" s="104"/>
      <c r="E996" s="104"/>
      <c r="F996" s="104"/>
      <c r="G996" s="104"/>
    </row>
    <row r="997" spans="1:7" ht="12.5" x14ac:dyDescent="0.25">
      <c r="A997" s="104"/>
      <c r="B997" s="104"/>
      <c r="D997" s="104"/>
      <c r="E997" s="104"/>
      <c r="F997" s="104"/>
      <c r="G997" s="104"/>
    </row>
    <row r="998" spans="1:7" ht="12.5" x14ac:dyDescent="0.25">
      <c r="A998" s="104"/>
      <c r="B998" s="104"/>
      <c r="D998" s="104"/>
      <c r="E998" s="104"/>
      <c r="F998" s="104"/>
      <c r="G998" s="104"/>
    </row>
    <row r="999" spans="1:7" ht="12.5" x14ac:dyDescent="0.25">
      <c r="A999" s="104"/>
      <c r="B999" s="104"/>
      <c r="D999" s="104"/>
      <c r="E999" s="104"/>
      <c r="F999" s="104"/>
      <c r="G999" s="104"/>
    </row>
    <row r="1000" spans="1:7" ht="12.5" x14ac:dyDescent="0.25">
      <c r="A1000" s="104"/>
      <c r="B1000" s="104"/>
      <c r="D1000" s="104"/>
      <c r="E1000" s="104"/>
      <c r="F1000" s="104"/>
      <c r="G1000" s="104"/>
    </row>
    <row r="1001" spans="1:7" ht="12.5" x14ac:dyDescent="0.25">
      <c r="A1001" s="104"/>
      <c r="B1001" s="104"/>
      <c r="D1001" s="104"/>
      <c r="E1001" s="104"/>
      <c r="F1001" s="104"/>
      <c r="G1001" s="104"/>
    </row>
    <row r="1002" spans="1:7" ht="12.5" x14ac:dyDescent="0.25">
      <c r="A1002" s="104"/>
      <c r="B1002" s="104"/>
      <c r="D1002" s="104"/>
      <c r="E1002" s="104"/>
      <c r="F1002" s="104"/>
      <c r="G1002" s="104"/>
    </row>
  </sheetData>
  <mergeCells count="7">
    <mergeCell ref="B14:C14"/>
    <mergeCell ref="H4:H5"/>
    <mergeCell ref="I4:I5"/>
    <mergeCell ref="H6:H7"/>
    <mergeCell ref="I6:I7"/>
    <mergeCell ref="H8:H9"/>
    <mergeCell ref="I8:I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2.6328125" defaultRowHeight="15.75" customHeight="1" x14ac:dyDescent="0.25"/>
  <cols>
    <col min="1" max="1" width="11.36328125" customWidth="1"/>
    <col min="2" max="2" width="19" customWidth="1"/>
    <col min="3" max="26" width="8.6328125" customWidth="1"/>
  </cols>
  <sheetData>
    <row r="1" spans="1:2" ht="15.75" customHeight="1" x14ac:dyDescent="0.35">
      <c r="B1" s="110"/>
    </row>
    <row r="2" spans="1:2" ht="15.75" customHeight="1" x14ac:dyDescent="0.35">
      <c r="A2" s="65" t="s">
        <v>2052</v>
      </c>
      <c r="B2" s="110" t="e">
        <f>'[1]SMA-S'!G98</f>
        <v>#REF!</v>
      </c>
    </row>
    <row r="3" spans="1:2" ht="15.75" customHeight="1" x14ac:dyDescent="0.35">
      <c r="A3" s="65" t="s">
        <v>2053</v>
      </c>
      <c r="B3" s="110" t="e">
        <f>'[2]SMK-S'!G133</f>
        <v>#REF!</v>
      </c>
    </row>
    <row r="4" spans="1:2" ht="15.75" customHeight="1" x14ac:dyDescent="0.35">
      <c r="A4" s="65" t="s">
        <v>2054</v>
      </c>
      <c r="B4" s="110" t="e">
        <f>'[3]SLB-S'!G34</f>
        <v>#REF!</v>
      </c>
    </row>
    <row r="5" spans="1:2" ht="15.75" customHeight="1" x14ac:dyDescent="0.35">
      <c r="A5" s="65" t="s">
        <v>94</v>
      </c>
      <c r="B5" s="110" t="e">
        <f>'[4]MA (1)'!G102</f>
        <v>#REF!</v>
      </c>
    </row>
    <row r="6" spans="1:2" ht="15.75" customHeight="1" x14ac:dyDescent="0.35">
      <c r="B6" s="110" t="e">
        <f>SUM(B2:B5)</f>
        <v>#REF!</v>
      </c>
    </row>
    <row r="7" spans="1:2" ht="15.75" customHeight="1" x14ac:dyDescent="0.35">
      <c r="B7" s="110"/>
    </row>
    <row r="8" spans="1:2" ht="15.75" customHeight="1" x14ac:dyDescent="0.35">
      <c r="B8" s="110" t="e">
        <f>B2+B3+B4+B5</f>
        <v>#REF!</v>
      </c>
    </row>
    <row r="9" spans="1:2" ht="15.75" customHeight="1" x14ac:dyDescent="0.35">
      <c r="B9" s="110"/>
    </row>
    <row r="10" spans="1:2" ht="15.75" customHeight="1" x14ac:dyDescent="0.35">
      <c r="B10" s="110"/>
    </row>
    <row r="11" spans="1:2" ht="15.75" customHeight="1" x14ac:dyDescent="0.35">
      <c r="B11" s="110"/>
    </row>
    <row r="12" spans="1:2" ht="15.75" customHeight="1" x14ac:dyDescent="0.35">
      <c r="B12" s="110"/>
    </row>
    <row r="13" spans="1:2" ht="15.75" customHeight="1" x14ac:dyDescent="0.35">
      <c r="B13" s="110"/>
    </row>
    <row r="14" spans="1:2" ht="15.75" customHeight="1" x14ac:dyDescent="0.35">
      <c r="B14" s="110"/>
    </row>
    <row r="15" spans="1:2" ht="15.75" customHeight="1" x14ac:dyDescent="0.35">
      <c r="B15" s="110"/>
    </row>
    <row r="16" spans="1:2" ht="15.75" customHeight="1" x14ac:dyDescent="0.35">
      <c r="B16" s="110"/>
    </row>
    <row r="17" spans="2:2" ht="15.75" customHeight="1" x14ac:dyDescent="0.35">
      <c r="B17" s="110"/>
    </row>
    <row r="18" spans="2:2" ht="15.75" customHeight="1" x14ac:dyDescent="0.35">
      <c r="B18" s="110"/>
    </row>
    <row r="19" spans="2:2" ht="15.75" customHeight="1" x14ac:dyDescent="0.35">
      <c r="B19" s="110"/>
    </row>
    <row r="20" spans="2:2" ht="15.75" customHeight="1" x14ac:dyDescent="0.35">
      <c r="B20" s="110"/>
    </row>
    <row r="21" spans="2:2" ht="15.75" customHeight="1" x14ac:dyDescent="0.35">
      <c r="B21" s="110"/>
    </row>
    <row r="22" spans="2:2" ht="15.75" customHeight="1" x14ac:dyDescent="0.35">
      <c r="B22" s="110"/>
    </row>
    <row r="23" spans="2:2" ht="15.75" customHeight="1" x14ac:dyDescent="0.35">
      <c r="B23" s="110"/>
    </row>
    <row r="24" spans="2:2" ht="15.75" customHeight="1" x14ac:dyDescent="0.35">
      <c r="B24" s="110"/>
    </row>
    <row r="25" spans="2:2" ht="15.75" customHeight="1" x14ac:dyDescent="0.35">
      <c r="B25" s="110"/>
    </row>
    <row r="26" spans="2:2" ht="15.75" customHeight="1" x14ac:dyDescent="0.35">
      <c r="B26" s="110"/>
    </row>
    <row r="27" spans="2:2" ht="15.75" customHeight="1" x14ac:dyDescent="0.35">
      <c r="B27" s="110"/>
    </row>
    <row r="28" spans="2:2" ht="15.75" customHeight="1" x14ac:dyDescent="0.35">
      <c r="B28" s="110"/>
    </row>
    <row r="29" spans="2:2" ht="15.75" customHeight="1" x14ac:dyDescent="0.35">
      <c r="B29" s="110"/>
    </row>
    <row r="30" spans="2:2" ht="15.75" customHeight="1" x14ac:dyDescent="0.35">
      <c r="B30" s="110"/>
    </row>
    <row r="31" spans="2:2" ht="15.75" customHeight="1" x14ac:dyDescent="0.35">
      <c r="B31" s="110"/>
    </row>
    <row r="32" spans="2:2" ht="15.75" customHeight="1" x14ac:dyDescent="0.35">
      <c r="B32" s="110"/>
    </row>
    <row r="33" spans="2:2" ht="15.75" customHeight="1" x14ac:dyDescent="0.35">
      <c r="B33" s="110"/>
    </row>
    <row r="34" spans="2:2" ht="15.75" customHeight="1" x14ac:dyDescent="0.35">
      <c r="B34" s="110"/>
    </row>
    <row r="35" spans="2:2" ht="15.75" customHeight="1" x14ac:dyDescent="0.35">
      <c r="B35" s="110"/>
    </row>
    <row r="36" spans="2:2" ht="14.5" x14ac:dyDescent="0.35">
      <c r="B36" s="110"/>
    </row>
    <row r="37" spans="2:2" ht="14.5" x14ac:dyDescent="0.35">
      <c r="B37" s="110"/>
    </row>
    <row r="38" spans="2:2" ht="14.5" x14ac:dyDescent="0.35">
      <c r="B38" s="110"/>
    </row>
    <row r="39" spans="2:2" ht="14.5" x14ac:dyDescent="0.35">
      <c r="B39" s="110"/>
    </row>
    <row r="40" spans="2:2" ht="14.5" x14ac:dyDescent="0.35">
      <c r="B40" s="110"/>
    </row>
    <row r="41" spans="2:2" ht="14.5" x14ac:dyDescent="0.35">
      <c r="B41" s="110"/>
    </row>
    <row r="42" spans="2:2" ht="14.5" x14ac:dyDescent="0.35">
      <c r="B42" s="110"/>
    </row>
    <row r="43" spans="2:2" ht="14.5" x14ac:dyDescent="0.35">
      <c r="B43" s="110"/>
    </row>
    <row r="44" spans="2:2" ht="14.5" x14ac:dyDescent="0.35">
      <c r="B44" s="110"/>
    </row>
    <row r="45" spans="2:2" ht="14.5" x14ac:dyDescent="0.35">
      <c r="B45" s="110"/>
    </row>
    <row r="46" spans="2:2" ht="14.5" x14ac:dyDescent="0.35">
      <c r="B46" s="110"/>
    </row>
    <row r="47" spans="2:2" ht="14.5" x14ac:dyDescent="0.35">
      <c r="B47" s="110"/>
    </row>
    <row r="48" spans="2:2" ht="14.5" x14ac:dyDescent="0.35">
      <c r="B48" s="110"/>
    </row>
    <row r="49" spans="2:2" ht="14.5" x14ac:dyDescent="0.35">
      <c r="B49" s="110"/>
    </row>
    <row r="50" spans="2:2" ht="14.5" x14ac:dyDescent="0.35">
      <c r="B50" s="110"/>
    </row>
    <row r="51" spans="2:2" ht="14.5" x14ac:dyDescent="0.35">
      <c r="B51" s="110"/>
    </row>
    <row r="52" spans="2:2" ht="14.5" x14ac:dyDescent="0.35">
      <c r="B52" s="110"/>
    </row>
    <row r="53" spans="2:2" ht="14.5" x14ac:dyDescent="0.35">
      <c r="B53" s="110"/>
    </row>
    <row r="54" spans="2:2" ht="14.5" x14ac:dyDescent="0.35">
      <c r="B54" s="110"/>
    </row>
    <row r="55" spans="2:2" ht="14.5" x14ac:dyDescent="0.35">
      <c r="B55" s="110"/>
    </row>
    <row r="56" spans="2:2" ht="14.5" x14ac:dyDescent="0.35">
      <c r="B56" s="110"/>
    </row>
    <row r="57" spans="2:2" ht="14.5" x14ac:dyDescent="0.35">
      <c r="B57" s="110"/>
    </row>
    <row r="58" spans="2:2" ht="14.5" x14ac:dyDescent="0.35">
      <c r="B58" s="110"/>
    </row>
    <row r="59" spans="2:2" ht="14.5" x14ac:dyDescent="0.35">
      <c r="B59" s="110"/>
    </row>
    <row r="60" spans="2:2" ht="14.5" x14ac:dyDescent="0.35">
      <c r="B60" s="110"/>
    </row>
    <row r="61" spans="2:2" ht="14.5" x14ac:dyDescent="0.35">
      <c r="B61" s="110"/>
    </row>
    <row r="62" spans="2:2" ht="14.5" x14ac:dyDescent="0.35">
      <c r="B62" s="110"/>
    </row>
    <row r="63" spans="2:2" ht="14.5" x14ac:dyDescent="0.35">
      <c r="B63" s="110"/>
    </row>
    <row r="64" spans="2:2" ht="14.5" x14ac:dyDescent="0.35">
      <c r="B64" s="110"/>
    </row>
    <row r="65" spans="2:2" ht="14.5" x14ac:dyDescent="0.35">
      <c r="B65" s="110"/>
    </row>
    <row r="66" spans="2:2" ht="14.5" x14ac:dyDescent="0.35">
      <c r="B66" s="110"/>
    </row>
    <row r="67" spans="2:2" ht="14.5" x14ac:dyDescent="0.35">
      <c r="B67" s="110"/>
    </row>
    <row r="68" spans="2:2" ht="14.5" x14ac:dyDescent="0.35">
      <c r="B68" s="110"/>
    </row>
    <row r="69" spans="2:2" ht="14.5" x14ac:dyDescent="0.35">
      <c r="B69" s="110"/>
    </row>
    <row r="70" spans="2:2" ht="14.5" x14ac:dyDescent="0.35">
      <c r="B70" s="110"/>
    </row>
    <row r="71" spans="2:2" ht="14.5" x14ac:dyDescent="0.35">
      <c r="B71" s="110"/>
    </row>
    <row r="72" spans="2:2" ht="14.5" x14ac:dyDescent="0.35">
      <c r="B72" s="110"/>
    </row>
    <row r="73" spans="2:2" ht="14.5" x14ac:dyDescent="0.35">
      <c r="B73" s="110"/>
    </row>
    <row r="74" spans="2:2" ht="14.5" x14ac:dyDescent="0.35">
      <c r="B74" s="110"/>
    </row>
    <row r="75" spans="2:2" ht="14.5" x14ac:dyDescent="0.35">
      <c r="B75" s="110"/>
    </row>
    <row r="76" spans="2:2" ht="14.5" x14ac:dyDescent="0.35">
      <c r="B76" s="110"/>
    </row>
    <row r="77" spans="2:2" ht="14.5" x14ac:dyDescent="0.35">
      <c r="B77" s="110"/>
    </row>
    <row r="78" spans="2:2" ht="14.5" x14ac:dyDescent="0.35">
      <c r="B78" s="110"/>
    </row>
    <row r="79" spans="2:2" ht="14.5" x14ac:dyDescent="0.35">
      <c r="B79" s="110"/>
    </row>
    <row r="80" spans="2:2" ht="14.5" x14ac:dyDescent="0.35">
      <c r="B80" s="110"/>
    </row>
    <row r="81" spans="2:2" ht="14.5" x14ac:dyDescent="0.35">
      <c r="B81" s="110"/>
    </row>
    <row r="82" spans="2:2" ht="14.5" x14ac:dyDescent="0.35">
      <c r="B82" s="110"/>
    </row>
    <row r="83" spans="2:2" ht="14.5" x14ac:dyDescent="0.35">
      <c r="B83" s="110"/>
    </row>
    <row r="84" spans="2:2" ht="14.5" x14ac:dyDescent="0.35">
      <c r="B84" s="110"/>
    </row>
    <row r="85" spans="2:2" ht="14.5" x14ac:dyDescent="0.35">
      <c r="B85" s="110"/>
    </row>
    <row r="86" spans="2:2" ht="14.5" x14ac:dyDescent="0.35">
      <c r="B86" s="110"/>
    </row>
    <row r="87" spans="2:2" ht="14.5" x14ac:dyDescent="0.35">
      <c r="B87" s="110"/>
    </row>
    <row r="88" spans="2:2" ht="14.5" x14ac:dyDescent="0.35">
      <c r="B88" s="110"/>
    </row>
    <row r="89" spans="2:2" ht="14.5" x14ac:dyDescent="0.35">
      <c r="B89" s="110"/>
    </row>
    <row r="90" spans="2:2" ht="14.5" x14ac:dyDescent="0.35">
      <c r="B90" s="110"/>
    </row>
    <row r="91" spans="2:2" ht="14.5" x14ac:dyDescent="0.35">
      <c r="B91" s="110"/>
    </row>
    <row r="92" spans="2:2" ht="14.5" x14ac:dyDescent="0.35">
      <c r="B92" s="110"/>
    </row>
    <row r="93" spans="2:2" ht="14.5" x14ac:dyDescent="0.35">
      <c r="B93" s="110"/>
    </row>
    <row r="94" spans="2:2" ht="14.5" x14ac:dyDescent="0.35">
      <c r="B94" s="110"/>
    </row>
    <row r="95" spans="2:2" ht="14.5" x14ac:dyDescent="0.35">
      <c r="B95" s="110"/>
    </row>
    <row r="96" spans="2:2" ht="14.5" x14ac:dyDescent="0.35">
      <c r="B96" s="110"/>
    </row>
    <row r="97" spans="2:2" ht="14.5" x14ac:dyDescent="0.35">
      <c r="B97" s="110"/>
    </row>
    <row r="98" spans="2:2" ht="14.5" x14ac:dyDescent="0.35">
      <c r="B98" s="110"/>
    </row>
    <row r="99" spans="2:2" ht="14.5" x14ac:dyDescent="0.35">
      <c r="B99" s="110"/>
    </row>
    <row r="100" spans="2:2" ht="14.5" x14ac:dyDescent="0.35">
      <c r="B100" s="110"/>
    </row>
    <row r="101" spans="2:2" ht="14.5" x14ac:dyDescent="0.35">
      <c r="B101" s="110"/>
    </row>
    <row r="102" spans="2:2" ht="14.5" x14ac:dyDescent="0.35">
      <c r="B102" s="110"/>
    </row>
    <row r="103" spans="2:2" ht="14.5" x14ac:dyDescent="0.35">
      <c r="B103" s="110"/>
    </row>
    <row r="104" spans="2:2" ht="14.5" x14ac:dyDescent="0.35">
      <c r="B104" s="110"/>
    </row>
    <row r="105" spans="2:2" ht="14.5" x14ac:dyDescent="0.35">
      <c r="B105" s="110"/>
    </row>
    <row r="106" spans="2:2" ht="14.5" x14ac:dyDescent="0.35">
      <c r="B106" s="110"/>
    </row>
    <row r="107" spans="2:2" ht="14.5" x14ac:dyDescent="0.35">
      <c r="B107" s="110"/>
    </row>
    <row r="108" spans="2:2" ht="14.5" x14ac:dyDescent="0.35">
      <c r="B108" s="110"/>
    </row>
    <row r="109" spans="2:2" ht="14.5" x14ac:dyDescent="0.35">
      <c r="B109" s="110"/>
    </row>
    <row r="110" spans="2:2" ht="14.5" x14ac:dyDescent="0.35">
      <c r="B110" s="110"/>
    </row>
    <row r="111" spans="2:2" ht="14.5" x14ac:dyDescent="0.35">
      <c r="B111" s="110"/>
    </row>
    <row r="112" spans="2:2" ht="14.5" x14ac:dyDescent="0.35">
      <c r="B112" s="110"/>
    </row>
    <row r="113" spans="2:2" ht="14.5" x14ac:dyDescent="0.35">
      <c r="B113" s="110"/>
    </row>
    <row r="114" spans="2:2" ht="14.5" x14ac:dyDescent="0.35">
      <c r="B114" s="110"/>
    </row>
    <row r="115" spans="2:2" ht="14.5" x14ac:dyDescent="0.35">
      <c r="B115" s="110"/>
    </row>
    <row r="116" spans="2:2" ht="14.5" x14ac:dyDescent="0.35">
      <c r="B116" s="110"/>
    </row>
    <row r="117" spans="2:2" ht="14.5" x14ac:dyDescent="0.35">
      <c r="B117" s="110"/>
    </row>
    <row r="118" spans="2:2" ht="14.5" x14ac:dyDescent="0.35">
      <c r="B118" s="110"/>
    </row>
    <row r="119" spans="2:2" ht="14.5" x14ac:dyDescent="0.35">
      <c r="B119" s="110"/>
    </row>
    <row r="120" spans="2:2" ht="14.5" x14ac:dyDescent="0.35">
      <c r="B120" s="110"/>
    </row>
    <row r="121" spans="2:2" ht="14.5" x14ac:dyDescent="0.35">
      <c r="B121" s="110"/>
    </row>
    <row r="122" spans="2:2" ht="14.5" x14ac:dyDescent="0.35">
      <c r="B122" s="110"/>
    </row>
    <row r="123" spans="2:2" ht="14.5" x14ac:dyDescent="0.35">
      <c r="B123" s="110"/>
    </row>
    <row r="124" spans="2:2" ht="14.5" x14ac:dyDescent="0.35">
      <c r="B124" s="110"/>
    </row>
    <row r="125" spans="2:2" ht="14.5" x14ac:dyDescent="0.35">
      <c r="B125" s="110"/>
    </row>
    <row r="126" spans="2:2" ht="14.5" x14ac:dyDescent="0.35">
      <c r="B126" s="110"/>
    </row>
    <row r="127" spans="2:2" ht="14.5" x14ac:dyDescent="0.35">
      <c r="B127" s="110"/>
    </row>
    <row r="128" spans="2:2" ht="14.5" x14ac:dyDescent="0.35">
      <c r="B128" s="110"/>
    </row>
    <row r="129" spans="2:2" ht="14.5" x14ac:dyDescent="0.35">
      <c r="B129" s="110"/>
    </row>
    <row r="130" spans="2:2" ht="14.5" x14ac:dyDescent="0.35">
      <c r="B130" s="110"/>
    </row>
    <row r="131" spans="2:2" ht="14.5" x14ac:dyDescent="0.35">
      <c r="B131" s="110"/>
    </row>
    <row r="132" spans="2:2" ht="14.5" x14ac:dyDescent="0.35">
      <c r="B132" s="110"/>
    </row>
    <row r="133" spans="2:2" ht="14.5" x14ac:dyDescent="0.35">
      <c r="B133" s="110"/>
    </row>
    <row r="134" spans="2:2" ht="14.5" x14ac:dyDescent="0.35">
      <c r="B134" s="110"/>
    </row>
    <row r="135" spans="2:2" ht="14.5" x14ac:dyDescent="0.35">
      <c r="B135" s="110"/>
    </row>
    <row r="136" spans="2:2" ht="14.5" x14ac:dyDescent="0.35">
      <c r="B136" s="110"/>
    </row>
    <row r="137" spans="2:2" ht="14.5" x14ac:dyDescent="0.35">
      <c r="B137" s="110"/>
    </row>
    <row r="138" spans="2:2" ht="14.5" x14ac:dyDescent="0.35">
      <c r="B138" s="110"/>
    </row>
    <row r="139" spans="2:2" ht="14.5" x14ac:dyDescent="0.35">
      <c r="B139" s="110"/>
    </row>
    <row r="140" spans="2:2" ht="14.5" x14ac:dyDescent="0.35">
      <c r="B140" s="110"/>
    </row>
    <row r="141" spans="2:2" ht="14.5" x14ac:dyDescent="0.35">
      <c r="B141" s="110"/>
    </row>
    <row r="142" spans="2:2" ht="14.5" x14ac:dyDescent="0.35">
      <c r="B142" s="110"/>
    </row>
    <row r="143" spans="2:2" ht="14.5" x14ac:dyDescent="0.35">
      <c r="B143" s="110"/>
    </row>
    <row r="144" spans="2:2" ht="14.5" x14ac:dyDescent="0.35">
      <c r="B144" s="110"/>
    </row>
    <row r="145" spans="2:2" ht="14.5" x14ac:dyDescent="0.35">
      <c r="B145" s="110"/>
    </row>
    <row r="146" spans="2:2" ht="14.5" x14ac:dyDescent="0.35">
      <c r="B146" s="110"/>
    </row>
    <row r="147" spans="2:2" ht="14.5" x14ac:dyDescent="0.35">
      <c r="B147" s="110"/>
    </row>
    <row r="148" spans="2:2" ht="14.5" x14ac:dyDescent="0.35">
      <c r="B148" s="110"/>
    </row>
    <row r="149" spans="2:2" ht="14.5" x14ac:dyDescent="0.35">
      <c r="B149" s="110"/>
    </row>
    <row r="150" spans="2:2" ht="14.5" x14ac:dyDescent="0.35">
      <c r="B150" s="110"/>
    </row>
    <row r="151" spans="2:2" ht="14.5" x14ac:dyDescent="0.35">
      <c r="B151" s="110"/>
    </row>
    <row r="152" spans="2:2" ht="14.5" x14ac:dyDescent="0.35">
      <c r="B152" s="110"/>
    </row>
    <row r="153" spans="2:2" ht="14.5" x14ac:dyDescent="0.35">
      <c r="B153" s="110"/>
    </row>
    <row r="154" spans="2:2" ht="14.5" x14ac:dyDescent="0.35">
      <c r="B154" s="110"/>
    </row>
    <row r="155" spans="2:2" ht="14.5" x14ac:dyDescent="0.35">
      <c r="B155" s="110"/>
    </row>
    <row r="156" spans="2:2" ht="14.5" x14ac:dyDescent="0.35">
      <c r="B156" s="110"/>
    </row>
    <row r="157" spans="2:2" ht="14.5" x14ac:dyDescent="0.35">
      <c r="B157" s="110"/>
    </row>
    <row r="158" spans="2:2" ht="14.5" x14ac:dyDescent="0.35">
      <c r="B158" s="110"/>
    </row>
    <row r="159" spans="2:2" ht="14.5" x14ac:dyDescent="0.35">
      <c r="B159" s="110"/>
    </row>
    <row r="160" spans="2:2" ht="14.5" x14ac:dyDescent="0.35">
      <c r="B160" s="110"/>
    </row>
    <row r="161" spans="2:2" ht="14.5" x14ac:dyDescent="0.35">
      <c r="B161" s="110"/>
    </row>
    <row r="162" spans="2:2" ht="14.5" x14ac:dyDescent="0.35">
      <c r="B162" s="110"/>
    </row>
    <row r="163" spans="2:2" ht="14.5" x14ac:dyDescent="0.35">
      <c r="B163" s="110"/>
    </row>
    <row r="164" spans="2:2" ht="14.5" x14ac:dyDescent="0.35">
      <c r="B164" s="110"/>
    </row>
    <row r="165" spans="2:2" ht="14.5" x14ac:dyDescent="0.35">
      <c r="B165" s="110"/>
    </row>
    <row r="166" spans="2:2" ht="14.5" x14ac:dyDescent="0.35">
      <c r="B166" s="110"/>
    </row>
    <row r="167" spans="2:2" ht="14.5" x14ac:dyDescent="0.35">
      <c r="B167" s="110"/>
    </row>
    <row r="168" spans="2:2" ht="14.5" x14ac:dyDescent="0.35">
      <c r="B168" s="110"/>
    </row>
    <row r="169" spans="2:2" ht="14.5" x14ac:dyDescent="0.35">
      <c r="B169" s="110"/>
    </row>
    <row r="170" spans="2:2" ht="14.5" x14ac:dyDescent="0.35">
      <c r="B170" s="110"/>
    </row>
    <row r="171" spans="2:2" ht="14.5" x14ac:dyDescent="0.35">
      <c r="B171" s="110"/>
    </row>
    <row r="172" spans="2:2" ht="14.5" x14ac:dyDescent="0.35">
      <c r="B172" s="110"/>
    </row>
    <row r="173" spans="2:2" ht="14.5" x14ac:dyDescent="0.35">
      <c r="B173" s="110"/>
    </row>
    <row r="174" spans="2:2" ht="14.5" x14ac:dyDescent="0.35">
      <c r="B174" s="110"/>
    </row>
    <row r="175" spans="2:2" ht="14.5" x14ac:dyDescent="0.35">
      <c r="B175" s="110"/>
    </row>
    <row r="176" spans="2:2" ht="14.5" x14ac:dyDescent="0.35">
      <c r="B176" s="110"/>
    </row>
    <row r="177" spans="2:2" ht="14.5" x14ac:dyDescent="0.35">
      <c r="B177" s="110"/>
    </row>
    <row r="178" spans="2:2" ht="14.5" x14ac:dyDescent="0.35">
      <c r="B178" s="110"/>
    </row>
    <row r="179" spans="2:2" ht="14.5" x14ac:dyDescent="0.35">
      <c r="B179" s="110"/>
    </row>
    <row r="180" spans="2:2" ht="14.5" x14ac:dyDescent="0.35">
      <c r="B180" s="110"/>
    </row>
    <row r="181" spans="2:2" ht="14.5" x14ac:dyDescent="0.35">
      <c r="B181" s="110"/>
    </row>
    <row r="182" spans="2:2" ht="14.5" x14ac:dyDescent="0.35">
      <c r="B182" s="110"/>
    </row>
    <row r="183" spans="2:2" ht="14.5" x14ac:dyDescent="0.35">
      <c r="B183" s="110"/>
    </row>
    <row r="184" spans="2:2" ht="14.5" x14ac:dyDescent="0.35">
      <c r="B184" s="110"/>
    </row>
    <row r="185" spans="2:2" ht="14.5" x14ac:dyDescent="0.35">
      <c r="B185" s="110"/>
    </row>
    <row r="186" spans="2:2" ht="14.5" x14ac:dyDescent="0.35">
      <c r="B186" s="110"/>
    </row>
    <row r="187" spans="2:2" ht="14.5" x14ac:dyDescent="0.35">
      <c r="B187" s="110"/>
    </row>
    <row r="188" spans="2:2" ht="14.5" x14ac:dyDescent="0.35">
      <c r="B188" s="110"/>
    </row>
    <row r="189" spans="2:2" ht="14.5" x14ac:dyDescent="0.35">
      <c r="B189" s="110"/>
    </row>
    <row r="190" spans="2:2" ht="14.5" x14ac:dyDescent="0.35">
      <c r="B190" s="110"/>
    </row>
    <row r="191" spans="2:2" ht="14.5" x14ac:dyDescent="0.35">
      <c r="B191" s="110"/>
    </row>
    <row r="192" spans="2:2" ht="14.5" x14ac:dyDescent="0.35">
      <c r="B192" s="110"/>
    </row>
    <row r="193" spans="2:2" ht="14.5" x14ac:dyDescent="0.35">
      <c r="B193" s="110"/>
    </row>
    <row r="194" spans="2:2" ht="14.5" x14ac:dyDescent="0.35">
      <c r="B194" s="110"/>
    </row>
    <row r="195" spans="2:2" ht="14.5" x14ac:dyDescent="0.35">
      <c r="B195" s="110"/>
    </row>
    <row r="196" spans="2:2" ht="14.5" x14ac:dyDescent="0.35">
      <c r="B196" s="110"/>
    </row>
    <row r="197" spans="2:2" ht="14.5" x14ac:dyDescent="0.35">
      <c r="B197" s="110"/>
    </row>
    <row r="198" spans="2:2" ht="14.5" x14ac:dyDescent="0.35">
      <c r="B198" s="110"/>
    </row>
    <row r="199" spans="2:2" ht="14.5" x14ac:dyDescent="0.35">
      <c r="B199" s="110"/>
    </row>
    <row r="200" spans="2:2" ht="14.5" x14ac:dyDescent="0.35">
      <c r="B200" s="110"/>
    </row>
    <row r="201" spans="2:2" ht="14.5" x14ac:dyDescent="0.35">
      <c r="B201" s="110"/>
    </row>
    <row r="202" spans="2:2" ht="14.5" x14ac:dyDescent="0.35">
      <c r="B202" s="110"/>
    </row>
    <row r="203" spans="2:2" ht="14.5" x14ac:dyDescent="0.35">
      <c r="B203" s="110"/>
    </row>
    <row r="204" spans="2:2" ht="14.5" x14ac:dyDescent="0.35">
      <c r="B204" s="110"/>
    </row>
    <row r="205" spans="2:2" ht="14.5" x14ac:dyDescent="0.35">
      <c r="B205" s="110"/>
    </row>
    <row r="206" spans="2:2" ht="14.5" x14ac:dyDescent="0.35">
      <c r="B206" s="110"/>
    </row>
    <row r="207" spans="2:2" ht="14.5" x14ac:dyDescent="0.35">
      <c r="B207" s="110"/>
    </row>
    <row r="208" spans="2:2" ht="14.5" x14ac:dyDescent="0.35">
      <c r="B208" s="110"/>
    </row>
    <row r="209" spans="2:2" ht="14.5" x14ac:dyDescent="0.35">
      <c r="B209" s="110"/>
    </row>
    <row r="210" spans="2:2" ht="14.5" x14ac:dyDescent="0.35">
      <c r="B210" s="110"/>
    </row>
    <row r="211" spans="2:2" ht="14.5" x14ac:dyDescent="0.35">
      <c r="B211" s="110"/>
    </row>
    <row r="212" spans="2:2" ht="14.5" x14ac:dyDescent="0.35">
      <c r="B212" s="110"/>
    </row>
    <row r="213" spans="2:2" ht="14.5" x14ac:dyDescent="0.35">
      <c r="B213" s="110"/>
    </row>
    <row r="214" spans="2:2" ht="14.5" x14ac:dyDescent="0.35">
      <c r="B214" s="110"/>
    </row>
    <row r="215" spans="2:2" ht="14.5" x14ac:dyDescent="0.35">
      <c r="B215" s="110"/>
    </row>
    <row r="216" spans="2:2" ht="14.5" x14ac:dyDescent="0.35">
      <c r="B216" s="110"/>
    </row>
    <row r="217" spans="2:2" ht="14.5" x14ac:dyDescent="0.35">
      <c r="B217" s="110"/>
    </row>
    <row r="218" spans="2:2" ht="14.5" x14ac:dyDescent="0.35">
      <c r="B218" s="110"/>
    </row>
    <row r="219" spans="2:2" ht="14.5" x14ac:dyDescent="0.35">
      <c r="B219" s="110"/>
    </row>
    <row r="220" spans="2:2" ht="14.5" x14ac:dyDescent="0.35">
      <c r="B220" s="110"/>
    </row>
    <row r="221" spans="2:2" ht="14.5" x14ac:dyDescent="0.35">
      <c r="B221" s="110"/>
    </row>
    <row r="222" spans="2:2" ht="14.5" x14ac:dyDescent="0.35">
      <c r="B222" s="110"/>
    </row>
    <row r="223" spans="2:2" ht="14.5" x14ac:dyDescent="0.35">
      <c r="B223" s="110"/>
    </row>
    <row r="224" spans="2:2" ht="14.5" x14ac:dyDescent="0.35">
      <c r="B224" s="110"/>
    </row>
    <row r="225" spans="2:2" ht="14.5" x14ac:dyDescent="0.35">
      <c r="B225" s="110"/>
    </row>
    <row r="226" spans="2:2" ht="14.5" x14ac:dyDescent="0.35">
      <c r="B226" s="110"/>
    </row>
    <row r="227" spans="2:2" ht="14.5" x14ac:dyDescent="0.35">
      <c r="B227" s="110"/>
    </row>
    <row r="228" spans="2:2" ht="14.5" x14ac:dyDescent="0.35">
      <c r="B228" s="110"/>
    </row>
    <row r="229" spans="2:2" ht="14.5" x14ac:dyDescent="0.35">
      <c r="B229" s="110"/>
    </row>
    <row r="230" spans="2:2" ht="14.5" x14ac:dyDescent="0.35">
      <c r="B230" s="110"/>
    </row>
    <row r="231" spans="2:2" ht="14.5" x14ac:dyDescent="0.35">
      <c r="B231" s="110"/>
    </row>
    <row r="232" spans="2:2" ht="14.5" x14ac:dyDescent="0.35">
      <c r="B232" s="110"/>
    </row>
    <row r="233" spans="2:2" ht="14.5" x14ac:dyDescent="0.35">
      <c r="B233" s="110"/>
    </row>
    <row r="234" spans="2:2" ht="14.5" x14ac:dyDescent="0.35">
      <c r="B234" s="110"/>
    </row>
    <row r="235" spans="2:2" ht="14.5" x14ac:dyDescent="0.35">
      <c r="B235" s="110"/>
    </row>
    <row r="236" spans="2:2" ht="14.5" x14ac:dyDescent="0.35">
      <c r="B236" s="110"/>
    </row>
    <row r="237" spans="2:2" ht="14.5" x14ac:dyDescent="0.35">
      <c r="B237" s="110"/>
    </row>
    <row r="238" spans="2:2" ht="14.5" x14ac:dyDescent="0.35">
      <c r="B238" s="110"/>
    </row>
    <row r="239" spans="2:2" ht="14.5" x14ac:dyDescent="0.35">
      <c r="B239" s="110"/>
    </row>
    <row r="240" spans="2:2" ht="14.5" x14ac:dyDescent="0.35">
      <c r="B240" s="110"/>
    </row>
    <row r="241" spans="2:2" ht="14.5" x14ac:dyDescent="0.35">
      <c r="B241" s="110"/>
    </row>
    <row r="242" spans="2:2" ht="14.5" x14ac:dyDescent="0.35">
      <c r="B242" s="110"/>
    </row>
    <row r="243" spans="2:2" ht="14.5" x14ac:dyDescent="0.35">
      <c r="B243" s="110"/>
    </row>
    <row r="244" spans="2:2" ht="14.5" x14ac:dyDescent="0.35">
      <c r="B244" s="110"/>
    </row>
    <row r="245" spans="2:2" ht="14.5" x14ac:dyDescent="0.35">
      <c r="B245" s="110"/>
    </row>
    <row r="246" spans="2:2" ht="14.5" x14ac:dyDescent="0.35">
      <c r="B246" s="110"/>
    </row>
    <row r="247" spans="2:2" ht="14.5" x14ac:dyDescent="0.35">
      <c r="B247" s="110"/>
    </row>
    <row r="248" spans="2:2" ht="14.5" x14ac:dyDescent="0.35">
      <c r="B248" s="110"/>
    </row>
    <row r="249" spans="2:2" ht="14.5" x14ac:dyDescent="0.35">
      <c r="B249" s="110"/>
    </row>
    <row r="250" spans="2:2" ht="14.5" x14ac:dyDescent="0.35">
      <c r="B250" s="110"/>
    </row>
    <row r="251" spans="2:2" ht="14.5" x14ac:dyDescent="0.35">
      <c r="B251" s="110"/>
    </row>
    <row r="252" spans="2:2" ht="14.5" x14ac:dyDescent="0.35">
      <c r="B252" s="110"/>
    </row>
    <row r="253" spans="2:2" ht="14.5" x14ac:dyDescent="0.35">
      <c r="B253" s="110"/>
    </row>
    <row r="254" spans="2:2" ht="14.5" x14ac:dyDescent="0.35">
      <c r="B254" s="110"/>
    </row>
    <row r="255" spans="2:2" ht="14.5" x14ac:dyDescent="0.35">
      <c r="B255" s="110"/>
    </row>
    <row r="256" spans="2:2" ht="14.5" x14ac:dyDescent="0.35">
      <c r="B256" s="110"/>
    </row>
    <row r="257" spans="2:2" ht="14.5" x14ac:dyDescent="0.35">
      <c r="B257" s="110"/>
    </row>
    <row r="258" spans="2:2" ht="14.5" x14ac:dyDescent="0.35">
      <c r="B258" s="110"/>
    </row>
    <row r="259" spans="2:2" ht="14.5" x14ac:dyDescent="0.35">
      <c r="B259" s="110"/>
    </row>
    <row r="260" spans="2:2" ht="14.5" x14ac:dyDescent="0.35">
      <c r="B260" s="110"/>
    </row>
    <row r="261" spans="2:2" ht="14.5" x14ac:dyDescent="0.35">
      <c r="B261" s="110"/>
    </row>
    <row r="262" spans="2:2" ht="14.5" x14ac:dyDescent="0.35">
      <c r="B262" s="110"/>
    </row>
    <row r="263" spans="2:2" ht="14.5" x14ac:dyDescent="0.35">
      <c r="B263" s="110"/>
    </row>
    <row r="264" spans="2:2" ht="14.5" x14ac:dyDescent="0.35">
      <c r="B264" s="110"/>
    </row>
    <row r="265" spans="2:2" ht="14.5" x14ac:dyDescent="0.35">
      <c r="B265" s="110"/>
    </row>
    <row r="266" spans="2:2" ht="14.5" x14ac:dyDescent="0.35">
      <c r="B266" s="110"/>
    </row>
    <row r="267" spans="2:2" ht="14.5" x14ac:dyDescent="0.35">
      <c r="B267" s="110"/>
    </row>
    <row r="268" spans="2:2" ht="14.5" x14ac:dyDescent="0.35">
      <c r="B268" s="110"/>
    </row>
    <row r="269" spans="2:2" ht="14.5" x14ac:dyDescent="0.35">
      <c r="B269" s="110"/>
    </row>
    <row r="270" spans="2:2" ht="14.5" x14ac:dyDescent="0.35">
      <c r="B270" s="110"/>
    </row>
    <row r="271" spans="2:2" ht="14.5" x14ac:dyDescent="0.35">
      <c r="B271" s="110"/>
    </row>
    <row r="272" spans="2:2" ht="14.5" x14ac:dyDescent="0.35">
      <c r="B272" s="110"/>
    </row>
    <row r="273" spans="2:2" ht="14.5" x14ac:dyDescent="0.35">
      <c r="B273" s="110"/>
    </row>
    <row r="274" spans="2:2" ht="14.5" x14ac:dyDescent="0.35">
      <c r="B274" s="110"/>
    </row>
    <row r="275" spans="2:2" ht="14.5" x14ac:dyDescent="0.35">
      <c r="B275" s="110"/>
    </row>
    <row r="276" spans="2:2" ht="14.5" x14ac:dyDescent="0.35">
      <c r="B276" s="110"/>
    </row>
    <row r="277" spans="2:2" ht="14.5" x14ac:dyDescent="0.35">
      <c r="B277" s="110"/>
    </row>
    <row r="278" spans="2:2" ht="14.5" x14ac:dyDescent="0.35">
      <c r="B278" s="110"/>
    </row>
    <row r="279" spans="2:2" ht="14.5" x14ac:dyDescent="0.35">
      <c r="B279" s="110"/>
    </row>
    <row r="280" spans="2:2" ht="14.5" x14ac:dyDescent="0.35">
      <c r="B280" s="110"/>
    </row>
    <row r="281" spans="2:2" ht="14.5" x14ac:dyDescent="0.35">
      <c r="B281" s="110"/>
    </row>
    <row r="282" spans="2:2" ht="14.5" x14ac:dyDescent="0.35">
      <c r="B282" s="110"/>
    </row>
    <row r="283" spans="2:2" ht="14.5" x14ac:dyDescent="0.35">
      <c r="B283" s="110"/>
    </row>
    <row r="284" spans="2:2" ht="14.5" x14ac:dyDescent="0.35">
      <c r="B284" s="110"/>
    </row>
    <row r="285" spans="2:2" ht="14.5" x14ac:dyDescent="0.35">
      <c r="B285" s="110"/>
    </row>
    <row r="286" spans="2:2" ht="14.5" x14ac:dyDescent="0.35">
      <c r="B286" s="110"/>
    </row>
    <row r="287" spans="2:2" ht="14.5" x14ac:dyDescent="0.35">
      <c r="B287" s="110"/>
    </row>
    <row r="288" spans="2:2" ht="14.5" x14ac:dyDescent="0.35">
      <c r="B288" s="110"/>
    </row>
    <row r="289" spans="2:2" ht="14.5" x14ac:dyDescent="0.35">
      <c r="B289" s="110"/>
    </row>
    <row r="290" spans="2:2" ht="14.5" x14ac:dyDescent="0.35">
      <c r="B290" s="110"/>
    </row>
    <row r="291" spans="2:2" ht="14.5" x14ac:dyDescent="0.35">
      <c r="B291" s="110"/>
    </row>
    <row r="292" spans="2:2" ht="14.5" x14ac:dyDescent="0.35">
      <c r="B292" s="110"/>
    </row>
    <row r="293" spans="2:2" ht="14.5" x14ac:dyDescent="0.35">
      <c r="B293" s="110"/>
    </row>
    <row r="294" spans="2:2" ht="14.5" x14ac:dyDescent="0.35">
      <c r="B294" s="110"/>
    </row>
    <row r="295" spans="2:2" ht="14.5" x14ac:dyDescent="0.35">
      <c r="B295" s="110"/>
    </row>
    <row r="296" spans="2:2" ht="14.5" x14ac:dyDescent="0.35">
      <c r="B296" s="110"/>
    </row>
    <row r="297" spans="2:2" ht="14.5" x14ac:dyDescent="0.35">
      <c r="B297" s="110"/>
    </row>
    <row r="298" spans="2:2" ht="14.5" x14ac:dyDescent="0.35">
      <c r="B298" s="110"/>
    </row>
    <row r="299" spans="2:2" ht="14.5" x14ac:dyDescent="0.35">
      <c r="B299" s="110"/>
    </row>
    <row r="300" spans="2:2" ht="14.5" x14ac:dyDescent="0.35">
      <c r="B300" s="110"/>
    </row>
    <row r="301" spans="2:2" ht="14.5" x14ac:dyDescent="0.35">
      <c r="B301" s="110"/>
    </row>
    <row r="302" spans="2:2" ht="14.5" x14ac:dyDescent="0.35">
      <c r="B302" s="110"/>
    </row>
    <row r="303" spans="2:2" ht="14.5" x14ac:dyDescent="0.35">
      <c r="B303" s="110"/>
    </row>
    <row r="304" spans="2:2" ht="14.5" x14ac:dyDescent="0.35">
      <c r="B304" s="110"/>
    </row>
    <row r="305" spans="2:2" ht="14.5" x14ac:dyDescent="0.35">
      <c r="B305" s="110"/>
    </row>
    <row r="306" spans="2:2" ht="14.5" x14ac:dyDescent="0.35">
      <c r="B306" s="110"/>
    </row>
    <row r="307" spans="2:2" ht="14.5" x14ac:dyDescent="0.35">
      <c r="B307" s="110"/>
    </row>
    <row r="308" spans="2:2" ht="14.5" x14ac:dyDescent="0.35">
      <c r="B308" s="110"/>
    </row>
    <row r="309" spans="2:2" ht="14.5" x14ac:dyDescent="0.35">
      <c r="B309" s="110"/>
    </row>
    <row r="310" spans="2:2" ht="14.5" x14ac:dyDescent="0.35">
      <c r="B310" s="110"/>
    </row>
    <row r="311" spans="2:2" ht="14.5" x14ac:dyDescent="0.35">
      <c r="B311" s="110"/>
    </row>
    <row r="312" spans="2:2" ht="14.5" x14ac:dyDescent="0.35">
      <c r="B312" s="110"/>
    </row>
    <row r="313" spans="2:2" ht="14.5" x14ac:dyDescent="0.35">
      <c r="B313" s="110"/>
    </row>
    <row r="314" spans="2:2" ht="14.5" x14ac:dyDescent="0.35">
      <c r="B314" s="110"/>
    </row>
    <row r="315" spans="2:2" ht="14.5" x14ac:dyDescent="0.35">
      <c r="B315" s="110"/>
    </row>
    <row r="316" spans="2:2" ht="14.5" x14ac:dyDescent="0.35">
      <c r="B316" s="110"/>
    </row>
    <row r="317" spans="2:2" ht="14.5" x14ac:dyDescent="0.35">
      <c r="B317" s="110"/>
    </row>
    <row r="318" spans="2:2" ht="14.5" x14ac:dyDescent="0.35">
      <c r="B318" s="110"/>
    </row>
    <row r="319" spans="2:2" ht="14.5" x14ac:dyDescent="0.35">
      <c r="B319" s="110"/>
    </row>
    <row r="320" spans="2:2" ht="14.5" x14ac:dyDescent="0.35">
      <c r="B320" s="110"/>
    </row>
    <row r="321" spans="2:2" ht="14.5" x14ac:dyDescent="0.35">
      <c r="B321" s="110"/>
    </row>
    <row r="322" spans="2:2" ht="14.5" x14ac:dyDescent="0.35">
      <c r="B322" s="110"/>
    </row>
    <row r="323" spans="2:2" ht="14.5" x14ac:dyDescent="0.35">
      <c r="B323" s="110"/>
    </row>
    <row r="324" spans="2:2" ht="14.5" x14ac:dyDescent="0.35">
      <c r="B324" s="110"/>
    </row>
    <row r="325" spans="2:2" ht="14.5" x14ac:dyDescent="0.35">
      <c r="B325" s="110"/>
    </row>
    <row r="326" spans="2:2" ht="14.5" x14ac:dyDescent="0.35">
      <c r="B326" s="110"/>
    </row>
    <row r="327" spans="2:2" ht="14.5" x14ac:dyDescent="0.35">
      <c r="B327" s="110"/>
    </row>
    <row r="328" spans="2:2" ht="14.5" x14ac:dyDescent="0.35">
      <c r="B328" s="110"/>
    </row>
    <row r="329" spans="2:2" ht="14.5" x14ac:dyDescent="0.35">
      <c r="B329" s="110"/>
    </row>
    <row r="330" spans="2:2" ht="14.5" x14ac:dyDescent="0.35">
      <c r="B330" s="110"/>
    </row>
    <row r="331" spans="2:2" ht="14.5" x14ac:dyDescent="0.35">
      <c r="B331" s="110"/>
    </row>
    <row r="332" spans="2:2" ht="14.5" x14ac:dyDescent="0.35">
      <c r="B332" s="110"/>
    </row>
    <row r="333" spans="2:2" ht="14.5" x14ac:dyDescent="0.35">
      <c r="B333" s="110"/>
    </row>
    <row r="334" spans="2:2" ht="14.5" x14ac:dyDescent="0.35">
      <c r="B334" s="110"/>
    </row>
    <row r="335" spans="2:2" ht="14.5" x14ac:dyDescent="0.35">
      <c r="B335" s="110"/>
    </row>
    <row r="336" spans="2:2" ht="14.5" x14ac:dyDescent="0.35">
      <c r="B336" s="110"/>
    </row>
    <row r="337" spans="2:2" ht="14.5" x14ac:dyDescent="0.35">
      <c r="B337" s="110"/>
    </row>
    <row r="338" spans="2:2" ht="14.5" x14ac:dyDescent="0.35">
      <c r="B338" s="110"/>
    </row>
    <row r="339" spans="2:2" ht="14.5" x14ac:dyDescent="0.35">
      <c r="B339" s="110"/>
    </row>
    <row r="340" spans="2:2" ht="14.5" x14ac:dyDescent="0.35">
      <c r="B340" s="110"/>
    </row>
    <row r="341" spans="2:2" ht="14.5" x14ac:dyDescent="0.35">
      <c r="B341" s="110"/>
    </row>
    <row r="342" spans="2:2" ht="14.5" x14ac:dyDescent="0.35">
      <c r="B342" s="110"/>
    </row>
    <row r="343" spans="2:2" ht="14.5" x14ac:dyDescent="0.35">
      <c r="B343" s="110"/>
    </row>
    <row r="344" spans="2:2" ht="14.5" x14ac:dyDescent="0.35">
      <c r="B344" s="110"/>
    </row>
    <row r="345" spans="2:2" ht="14.5" x14ac:dyDescent="0.35">
      <c r="B345" s="110"/>
    </row>
    <row r="346" spans="2:2" ht="14.5" x14ac:dyDescent="0.35">
      <c r="B346" s="110"/>
    </row>
    <row r="347" spans="2:2" ht="14.5" x14ac:dyDescent="0.35">
      <c r="B347" s="110"/>
    </row>
    <row r="348" spans="2:2" ht="14.5" x14ac:dyDescent="0.35">
      <c r="B348" s="110"/>
    </row>
    <row r="349" spans="2:2" ht="14.5" x14ac:dyDescent="0.35">
      <c r="B349" s="110"/>
    </row>
    <row r="350" spans="2:2" ht="14.5" x14ac:dyDescent="0.35">
      <c r="B350" s="110"/>
    </row>
    <row r="351" spans="2:2" ht="14.5" x14ac:dyDescent="0.35">
      <c r="B351" s="110"/>
    </row>
    <row r="352" spans="2:2" ht="14.5" x14ac:dyDescent="0.35">
      <c r="B352" s="110"/>
    </row>
    <row r="353" spans="2:2" ht="14.5" x14ac:dyDescent="0.35">
      <c r="B353" s="110"/>
    </row>
    <row r="354" spans="2:2" ht="14.5" x14ac:dyDescent="0.35">
      <c r="B354" s="110"/>
    </row>
    <row r="355" spans="2:2" ht="14.5" x14ac:dyDescent="0.35">
      <c r="B355" s="110"/>
    </row>
    <row r="356" spans="2:2" ht="14.5" x14ac:dyDescent="0.35">
      <c r="B356" s="110"/>
    </row>
    <row r="357" spans="2:2" ht="14.5" x14ac:dyDescent="0.35">
      <c r="B357" s="110"/>
    </row>
    <row r="358" spans="2:2" ht="14.5" x14ac:dyDescent="0.35">
      <c r="B358" s="110"/>
    </row>
    <row r="359" spans="2:2" ht="14.5" x14ac:dyDescent="0.35">
      <c r="B359" s="110"/>
    </row>
    <row r="360" spans="2:2" ht="14.5" x14ac:dyDescent="0.35">
      <c r="B360" s="110"/>
    </row>
    <row r="361" spans="2:2" ht="14.5" x14ac:dyDescent="0.35">
      <c r="B361" s="110"/>
    </row>
    <row r="362" spans="2:2" ht="14.5" x14ac:dyDescent="0.35">
      <c r="B362" s="110"/>
    </row>
    <row r="363" spans="2:2" ht="14.5" x14ac:dyDescent="0.35">
      <c r="B363" s="110"/>
    </row>
    <row r="364" spans="2:2" ht="14.5" x14ac:dyDescent="0.35">
      <c r="B364" s="110"/>
    </row>
    <row r="365" spans="2:2" ht="14.5" x14ac:dyDescent="0.35">
      <c r="B365" s="110"/>
    </row>
    <row r="366" spans="2:2" ht="14.5" x14ac:dyDescent="0.35">
      <c r="B366" s="110"/>
    </row>
    <row r="367" spans="2:2" ht="14.5" x14ac:dyDescent="0.35">
      <c r="B367" s="110"/>
    </row>
    <row r="368" spans="2:2" ht="14.5" x14ac:dyDescent="0.35">
      <c r="B368" s="110"/>
    </row>
    <row r="369" spans="2:2" ht="14.5" x14ac:dyDescent="0.35">
      <c r="B369" s="110"/>
    </row>
    <row r="370" spans="2:2" ht="14.5" x14ac:dyDescent="0.35">
      <c r="B370" s="110"/>
    </row>
    <row r="371" spans="2:2" ht="14.5" x14ac:dyDescent="0.35">
      <c r="B371" s="110"/>
    </row>
    <row r="372" spans="2:2" ht="14.5" x14ac:dyDescent="0.35">
      <c r="B372" s="110"/>
    </row>
    <row r="373" spans="2:2" ht="14.5" x14ac:dyDescent="0.35">
      <c r="B373" s="110"/>
    </row>
    <row r="374" spans="2:2" ht="14.5" x14ac:dyDescent="0.35">
      <c r="B374" s="110"/>
    </row>
    <row r="375" spans="2:2" ht="14.5" x14ac:dyDescent="0.35">
      <c r="B375" s="110"/>
    </row>
    <row r="376" spans="2:2" ht="14.5" x14ac:dyDescent="0.35">
      <c r="B376" s="110"/>
    </row>
    <row r="377" spans="2:2" ht="14.5" x14ac:dyDescent="0.35">
      <c r="B377" s="110"/>
    </row>
    <row r="378" spans="2:2" ht="14.5" x14ac:dyDescent="0.35">
      <c r="B378" s="110"/>
    </row>
    <row r="379" spans="2:2" ht="14.5" x14ac:dyDescent="0.35">
      <c r="B379" s="110"/>
    </row>
    <row r="380" spans="2:2" ht="14.5" x14ac:dyDescent="0.35">
      <c r="B380" s="110"/>
    </row>
    <row r="381" spans="2:2" ht="14.5" x14ac:dyDescent="0.35">
      <c r="B381" s="110"/>
    </row>
    <row r="382" spans="2:2" ht="14.5" x14ac:dyDescent="0.35">
      <c r="B382" s="110"/>
    </row>
    <row r="383" spans="2:2" ht="14.5" x14ac:dyDescent="0.35">
      <c r="B383" s="110"/>
    </row>
    <row r="384" spans="2:2" ht="14.5" x14ac:dyDescent="0.35">
      <c r="B384" s="110"/>
    </row>
    <row r="385" spans="2:2" ht="14.5" x14ac:dyDescent="0.35">
      <c r="B385" s="110"/>
    </row>
    <row r="386" spans="2:2" ht="14.5" x14ac:dyDescent="0.35">
      <c r="B386" s="110"/>
    </row>
    <row r="387" spans="2:2" ht="14.5" x14ac:dyDescent="0.35">
      <c r="B387" s="110"/>
    </row>
    <row r="388" spans="2:2" ht="14.5" x14ac:dyDescent="0.35">
      <c r="B388" s="110"/>
    </row>
    <row r="389" spans="2:2" ht="14.5" x14ac:dyDescent="0.35">
      <c r="B389" s="110"/>
    </row>
    <row r="390" spans="2:2" ht="14.5" x14ac:dyDescent="0.35">
      <c r="B390" s="110"/>
    </row>
    <row r="391" spans="2:2" ht="14.5" x14ac:dyDescent="0.35">
      <c r="B391" s="110"/>
    </row>
    <row r="392" spans="2:2" ht="14.5" x14ac:dyDescent="0.35">
      <c r="B392" s="110"/>
    </row>
    <row r="393" spans="2:2" ht="14.5" x14ac:dyDescent="0.35">
      <c r="B393" s="110"/>
    </row>
    <row r="394" spans="2:2" ht="14.5" x14ac:dyDescent="0.35">
      <c r="B394" s="110"/>
    </row>
    <row r="395" spans="2:2" ht="14.5" x14ac:dyDescent="0.35">
      <c r="B395" s="110"/>
    </row>
    <row r="396" spans="2:2" ht="14.5" x14ac:dyDescent="0.35">
      <c r="B396" s="110"/>
    </row>
    <row r="397" spans="2:2" ht="14.5" x14ac:dyDescent="0.35">
      <c r="B397" s="110"/>
    </row>
    <row r="398" spans="2:2" ht="14.5" x14ac:dyDescent="0.35">
      <c r="B398" s="110"/>
    </row>
    <row r="399" spans="2:2" ht="14.5" x14ac:dyDescent="0.35">
      <c r="B399" s="110"/>
    </row>
    <row r="400" spans="2:2" ht="14.5" x14ac:dyDescent="0.35">
      <c r="B400" s="110"/>
    </row>
    <row r="401" spans="2:2" ht="14.5" x14ac:dyDescent="0.35">
      <c r="B401" s="110"/>
    </row>
    <row r="402" spans="2:2" ht="14.5" x14ac:dyDescent="0.35">
      <c r="B402" s="110"/>
    </row>
    <row r="403" spans="2:2" ht="14.5" x14ac:dyDescent="0.35">
      <c r="B403" s="110"/>
    </row>
    <row r="404" spans="2:2" ht="14.5" x14ac:dyDescent="0.35">
      <c r="B404" s="110"/>
    </row>
    <row r="405" spans="2:2" ht="14.5" x14ac:dyDescent="0.35">
      <c r="B405" s="110"/>
    </row>
    <row r="406" spans="2:2" ht="14.5" x14ac:dyDescent="0.35">
      <c r="B406" s="110"/>
    </row>
    <row r="407" spans="2:2" ht="14.5" x14ac:dyDescent="0.35">
      <c r="B407" s="110"/>
    </row>
    <row r="408" spans="2:2" ht="14.5" x14ac:dyDescent="0.35">
      <c r="B408" s="110"/>
    </row>
    <row r="409" spans="2:2" ht="14.5" x14ac:dyDescent="0.35">
      <c r="B409" s="110"/>
    </row>
    <row r="410" spans="2:2" ht="14.5" x14ac:dyDescent="0.35">
      <c r="B410" s="110"/>
    </row>
    <row r="411" spans="2:2" ht="14.5" x14ac:dyDescent="0.35">
      <c r="B411" s="110"/>
    </row>
    <row r="412" spans="2:2" ht="14.5" x14ac:dyDescent="0.35">
      <c r="B412" s="110"/>
    </row>
    <row r="413" spans="2:2" ht="14.5" x14ac:dyDescent="0.35">
      <c r="B413" s="110"/>
    </row>
    <row r="414" spans="2:2" ht="14.5" x14ac:dyDescent="0.35">
      <c r="B414" s="110"/>
    </row>
    <row r="415" spans="2:2" ht="14.5" x14ac:dyDescent="0.35">
      <c r="B415" s="110"/>
    </row>
    <row r="416" spans="2:2" ht="14.5" x14ac:dyDescent="0.35">
      <c r="B416" s="110"/>
    </row>
    <row r="417" spans="2:2" ht="14.5" x14ac:dyDescent="0.35">
      <c r="B417" s="110"/>
    </row>
    <row r="418" spans="2:2" ht="14.5" x14ac:dyDescent="0.35">
      <c r="B418" s="110"/>
    </row>
    <row r="419" spans="2:2" ht="14.5" x14ac:dyDescent="0.35">
      <c r="B419" s="110"/>
    </row>
    <row r="420" spans="2:2" ht="14.5" x14ac:dyDescent="0.35">
      <c r="B420" s="110"/>
    </row>
    <row r="421" spans="2:2" ht="14.5" x14ac:dyDescent="0.35">
      <c r="B421" s="110"/>
    </row>
    <row r="422" spans="2:2" ht="14.5" x14ac:dyDescent="0.35">
      <c r="B422" s="110"/>
    </row>
    <row r="423" spans="2:2" ht="14.5" x14ac:dyDescent="0.35">
      <c r="B423" s="110"/>
    </row>
    <row r="424" spans="2:2" ht="14.5" x14ac:dyDescent="0.35">
      <c r="B424" s="110"/>
    </row>
    <row r="425" spans="2:2" ht="14.5" x14ac:dyDescent="0.35">
      <c r="B425" s="110"/>
    </row>
    <row r="426" spans="2:2" ht="14.5" x14ac:dyDescent="0.35">
      <c r="B426" s="110"/>
    </row>
    <row r="427" spans="2:2" ht="14.5" x14ac:dyDescent="0.35">
      <c r="B427" s="110"/>
    </row>
    <row r="428" spans="2:2" ht="14.5" x14ac:dyDescent="0.35">
      <c r="B428" s="110"/>
    </row>
    <row r="429" spans="2:2" ht="14.5" x14ac:dyDescent="0.35">
      <c r="B429" s="110"/>
    </row>
    <row r="430" spans="2:2" ht="14.5" x14ac:dyDescent="0.35">
      <c r="B430" s="110"/>
    </row>
    <row r="431" spans="2:2" ht="14.5" x14ac:dyDescent="0.35">
      <c r="B431" s="110"/>
    </row>
    <row r="432" spans="2:2" ht="14.5" x14ac:dyDescent="0.35">
      <c r="B432" s="110"/>
    </row>
    <row r="433" spans="2:2" ht="14.5" x14ac:dyDescent="0.35">
      <c r="B433" s="110"/>
    </row>
    <row r="434" spans="2:2" ht="14.5" x14ac:dyDescent="0.35">
      <c r="B434" s="110"/>
    </row>
    <row r="435" spans="2:2" ht="14.5" x14ac:dyDescent="0.35">
      <c r="B435" s="110"/>
    </row>
    <row r="436" spans="2:2" ht="14.5" x14ac:dyDescent="0.35">
      <c r="B436" s="110"/>
    </row>
    <row r="437" spans="2:2" ht="14.5" x14ac:dyDescent="0.35">
      <c r="B437" s="110"/>
    </row>
    <row r="438" spans="2:2" ht="14.5" x14ac:dyDescent="0.35">
      <c r="B438" s="110"/>
    </row>
    <row r="439" spans="2:2" ht="14.5" x14ac:dyDescent="0.35">
      <c r="B439" s="110"/>
    </row>
    <row r="440" spans="2:2" ht="14.5" x14ac:dyDescent="0.35">
      <c r="B440" s="110"/>
    </row>
    <row r="441" spans="2:2" ht="14.5" x14ac:dyDescent="0.35">
      <c r="B441" s="110"/>
    </row>
    <row r="442" spans="2:2" ht="14.5" x14ac:dyDescent="0.35">
      <c r="B442" s="110"/>
    </row>
    <row r="443" spans="2:2" ht="14.5" x14ac:dyDescent="0.35">
      <c r="B443" s="110"/>
    </row>
    <row r="444" spans="2:2" ht="14.5" x14ac:dyDescent="0.35">
      <c r="B444" s="110"/>
    </row>
    <row r="445" spans="2:2" ht="14.5" x14ac:dyDescent="0.35">
      <c r="B445" s="110"/>
    </row>
    <row r="446" spans="2:2" ht="14.5" x14ac:dyDescent="0.35">
      <c r="B446" s="110"/>
    </row>
    <row r="447" spans="2:2" ht="14.5" x14ac:dyDescent="0.35">
      <c r="B447" s="110"/>
    </row>
    <row r="448" spans="2:2" ht="14.5" x14ac:dyDescent="0.35">
      <c r="B448" s="110"/>
    </row>
    <row r="449" spans="2:2" ht="14.5" x14ac:dyDescent="0.35">
      <c r="B449" s="110"/>
    </row>
    <row r="450" spans="2:2" ht="14.5" x14ac:dyDescent="0.35">
      <c r="B450" s="110"/>
    </row>
    <row r="451" spans="2:2" ht="14.5" x14ac:dyDescent="0.35">
      <c r="B451" s="110"/>
    </row>
    <row r="452" spans="2:2" ht="14.5" x14ac:dyDescent="0.35">
      <c r="B452" s="110"/>
    </row>
    <row r="453" spans="2:2" ht="14.5" x14ac:dyDescent="0.35">
      <c r="B453" s="110"/>
    </row>
    <row r="454" spans="2:2" ht="14.5" x14ac:dyDescent="0.35">
      <c r="B454" s="110"/>
    </row>
    <row r="455" spans="2:2" ht="14.5" x14ac:dyDescent="0.35">
      <c r="B455" s="110"/>
    </row>
    <row r="456" spans="2:2" ht="14.5" x14ac:dyDescent="0.35">
      <c r="B456" s="110"/>
    </row>
    <row r="457" spans="2:2" ht="14.5" x14ac:dyDescent="0.35">
      <c r="B457" s="110"/>
    </row>
    <row r="458" spans="2:2" ht="14.5" x14ac:dyDescent="0.35">
      <c r="B458" s="110"/>
    </row>
    <row r="459" spans="2:2" ht="14.5" x14ac:dyDescent="0.35">
      <c r="B459" s="110"/>
    </row>
    <row r="460" spans="2:2" ht="14.5" x14ac:dyDescent="0.35">
      <c r="B460" s="110"/>
    </row>
    <row r="461" spans="2:2" ht="14.5" x14ac:dyDescent="0.35">
      <c r="B461" s="110"/>
    </row>
    <row r="462" spans="2:2" ht="14.5" x14ac:dyDescent="0.35">
      <c r="B462" s="110"/>
    </row>
    <row r="463" spans="2:2" ht="14.5" x14ac:dyDescent="0.35">
      <c r="B463" s="110"/>
    </row>
    <row r="464" spans="2:2" ht="14.5" x14ac:dyDescent="0.35">
      <c r="B464" s="110"/>
    </row>
    <row r="465" spans="2:2" ht="14.5" x14ac:dyDescent="0.35">
      <c r="B465" s="110"/>
    </row>
    <row r="466" spans="2:2" ht="14.5" x14ac:dyDescent="0.35">
      <c r="B466" s="110"/>
    </row>
    <row r="467" spans="2:2" ht="14.5" x14ac:dyDescent="0.35">
      <c r="B467" s="110"/>
    </row>
    <row r="468" spans="2:2" ht="14.5" x14ac:dyDescent="0.35">
      <c r="B468" s="110"/>
    </row>
    <row r="469" spans="2:2" ht="14.5" x14ac:dyDescent="0.35">
      <c r="B469" s="110"/>
    </row>
    <row r="470" spans="2:2" ht="14.5" x14ac:dyDescent="0.35">
      <c r="B470" s="110"/>
    </row>
    <row r="471" spans="2:2" ht="14.5" x14ac:dyDescent="0.35">
      <c r="B471" s="110"/>
    </row>
    <row r="472" spans="2:2" ht="14.5" x14ac:dyDescent="0.35">
      <c r="B472" s="110"/>
    </row>
    <row r="473" spans="2:2" ht="14.5" x14ac:dyDescent="0.35">
      <c r="B473" s="110"/>
    </row>
    <row r="474" spans="2:2" ht="14.5" x14ac:dyDescent="0.35">
      <c r="B474" s="110"/>
    </row>
    <row r="475" spans="2:2" ht="14.5" x14ac:dyDescent="0.35">
      <c r="B475" s="110"/>
    </row>
    <row r="476" spans="2:2" ht="14.5" x14ac:dyDescent="0.35">
      <c r="B476" s="110"/>
    </row>
    <row r="477" spans="2:2" ht="14.5" x14ac:dyDescent="0.35">
      <c r="B477" s="110"/>
    </row>
    <row r="478" spans="2:2" ht="14.5" x14ac:dyDescent="0.35">
      <c r="B478" s="110"/>
    </row>
    <row r="479" spans="2:2" ht="14.5" x14ac:dyDescent="0.35">
      <c r="B479" s="110"/>
    </row>
    <row r="480" spans="2:2" ht="14.5" x14ac:dyDescent="0.35">
      <c r="B480" s="110"/>
    </row>
    <row r="481" spans="2:2" ht="14.5" x14ac:dyDescent="0.35">
      <c r="B481" s="110"/>
    </row>
    <row r="482" spans="2:2" ht="14.5" x14ac:dyDescent="0.35">
      <c r="B482" s="110"/>
    </row>
    <row r="483" spans="2:2" ht="14.5" x14ac:dyDescent="0.35">
      <c r="B483" s="110"/>
    </row>
    <row r="484" spans="2:2" ht="14.5" x14ac:dyDescent="0.35">
      <c r="B484" s="110"/>
    </row>
    <row r="485" spans="2:2" ht="14.5" x14ac:dyDescent="0.35">
      <c r="B485" s="110"/>
    </row>
    <row r="486" spans="2:2" ht="14.5" x14ac:dyDescent="0.35">
      <c r="B486" s="110"/>
    </row>
    <row r="487" spans="2:2" ht="14.5" x14ac:dyDescent="0.35">
      <c r="B487" s="110"/>
    </row>
    <row r="488" spans="2:2" ht="14.5" x14ac:dyDescent="0.35">
      <c r="B488" s="110"/>
    </row>
    <row r="489" spans="2:2" ht="14.5" x14ac:dyDescent="0.35">
      <c r="B489" s="110"/>
    </row>
    <row r="490" spans="2:2" ht="14.5" x14ac:dyDescent="0.35">
      <c r="B490" s="110"/>
    </row>
    <row r="491" spans="2:2" ht="14.5" x14ac:dyDescent="0.35">
      <c r="B491" s="110"/>
    </row>
    <row r="492" spans="2:2" ht="14.5" x14ac:dyDescent="0.35">
      <c r="B492" s="110"/>
    </row>
    <row r="493" spans="2:2" ht="14.5" x14ac:dyDescent="0.35">
      <c r="B493" s="110"/>
    </row>
    <row r="494" spans="2:2" ht="14.5" x14ac:dyDescent="0.35">
      <c r="B494" s="110"/>
    </row>
    <row r="495" spans="2:2" ht="14.5" x14ac:dyDescent="0.35">
      <c r="B495" s="110"/>
    </row>
    <row r="496" spans="2:2" ht="14.5" x14ac:dyDescent="0.35">
      <c r="B496" s="110"/>
    </row>
    <row r="497" spans="2:2" ht="14.5" x14ac:dyDescent="0.35">
      <c r="B497" s="110"/>
    </row>
    <row r="498" spans="2:2" ht="14.5" x14ac:dyDescent="0.35">
      <c r="B498" s="110"/>
    </row>
    <row r="499" spans="2:2" ht="14.5" x14ac:dyDescent="0.35">
      <c r="B499" s="110"/>
    </row>
    <row r="500" spans="2:2" ht="14.5" x14ac:dyDescent="0.35">
      <c r="B500" s="110"/>
    </row>
    <row r="501" spans="2:2" ht="14.5" x14ac:dyDescent="0.35">
      <c r="B501" s="110"/>
    </row>
    <row r="502" spans="2:2" ht="14.5" x14ac:dyDescent="0.35">
      <c r="B502" s="110"/>
    </row>
    <row r="503" spans="2:2" ht="14.5" x14ac:dyDescent="0.35">
      <c r="B503" s="110"/>
    </row>
    <row r="504" spans="2:2" ht="14.5" x14ac:dyDescent="0.35">
      <c r="B504" s="110"/>
    </row>
    <row r="505" spans="2:2" ht="14.5" x14ac:dyDescent="0.35">
      <c r="B505" s="110"/>
    </row>
    <row r="506" spans="2:2" ht="14.5" x14ac:dyDescent="0.35">
      <c r="B506" s="110"/>
    </row>
    <row r="507" spans="2:2" ht="14.5" x14ac:dyDescent="0.35">
      <c r="B507" s="110"/>
    </row>
    <row r="508" spans="2:2" ht="14.5" x14ac:dyDescent="0.35">
      <c r="B508" s="110"/>
    </row>
    <row r="509" spans="2:2" ht="14.5" x14ac:dyDescent="0.35">
      <c r="B509" s="110"/>
    </row>
    <row r="510" spans="2:2" ht="14.5" x14ac:dyDescent="0.35">
      <c r="B510" s="110"/>
    </row>
    <row r="511" spans="2:2" ht="14.5" x14ac:dyDescent="0.35">
      <c r="B511" s="110"/>
    </row>
    <row r="512" spans="2:2" ht="14.5" x14ac:dyDescent="0.35">
      <c r="B512" s="110"/>
    </row>
    <row r="513" spans="2:2" ht="14.5" x14ac:dyDescent="0.35">
      <c r="B513" s="110"/>
    </row>
    <row r="514" spans="2:2" ht="14.5" x14ac:dyDescent="0.35">
      <c r="B514" s="110"/>
    </row>
    <row r="515" spans="2:2" ht="14.5" x14ac:dyDescent="0.35">
      <c r="B515" s="110"/>
    </row>
    <row r="516" spans="2:2" ht="14.5" x14ac:dyDescent="0.35">
      <c r="B516" s="110"/>
    </row>
    <row r="517" spans="2:2" ht="14.5" x14ac:dyDescent="0.35">
      <c r="B517" s="110"/>
    </row>
    <row r="518" spans="2:2" ht="14.5" x14ac:dyDescent="0.35">
      <c r="B518" s="110"/>
    </row>
    <row r="519" spans="2:2" ht="14.5" x14ac:dyDescent="0.35">
      <c r="B519" s="110"/>
    </row>
    <row r="520" spans="2:2" ht="14.5" x14ac:dyDescent="0.35">
      <c r="B520" s="110"/>
    </row>
    <row r="521" spans="2:2" ht="14.5" x14ac:dyDescent="0.35">
      <c r="B521" s="110"/>
    </row>
    <row r="522" spans="2:2" ht="14.5" x14ac:dyDescent="0.35">
      <c r="B522" s="110"/>
    </row>
    <row r="523" spans="2:2" ht="14.5" x14ac:dyDescent="0.35">
      <c r="B523" s="110"/>
    </row>
    <row r="524" spans="2:2" ht="14.5" x14ac:dyDescent="0.35">
      <c r="B524" s="110"/>
    </row>
    <row r="525" spans="2:2" ht="14.5" x14ac:dyDescent="0.35">
      <c r="B525" s="110"/>
    </row>
    <row r="526" spans="2:2" ht="14.5" x14ac:dyDescent="0.35">
      <c r="B526" s="110"/>
    </row>
    <row r="527" spans="2:2" ht="14.5" x14ac:dyDescent="0.35">
      <c r="B527" s="110"/>
    </row>
    <row r="528" spans="2:2" ht="14.5" x14ac:dyDescent="0.35">
      <c r="B528" s="110"/>
    </row>
    <row r="529" spans="2:2" ht="14.5" x14ac:dyDescent="0.35">
      <c r="B529" s="110"/>
    </row>
    <row r="530" spans="2:2" ht="14.5" x14ac:dyDescent="0.35">
      <c r="B530" s="110"/>
    </row>
    <row r="531" spans="2:2" ht="14.5" x14ac:dyDescent="0.35">
      <c r="B531" s="110"/>
    </row>
    <row r="532" spans="2:2" ht="14.5" x14ac:dyDescent="0.35">
      <c r="B532" s="110"/>
    </row>
    <row r="533" spans="2:2" ht="14.5" x14ac:dyDescent="0.35">
      <c r="B533" s="110"/>
    </row>
    <row r="534" spans="2:2" ht="14.5" x14ac:dyDescent="0.35">
      <c r="B534" s="110"/>
    </row>
    <row r="535" spans="2:2" ht="14.5" x14ac:dyDescent="0.35">
      <c r="B535" s="110"/>
    </row>
    <row r="536" spans="2:2" ht="14.5" x14ac:dyDescent="0.35">
      <c r="B536" s="110"/>
    </row>
    <row r="537" spans="2:2" ht="14.5" x14ac:dyDescent="0.35">
      <c r="B537" s="110"/>
    </row>
    <row r="538" spans="2:2" ht="14.5" x14ac:dyDescent="0.35">
      <c r="B538" s="110"/>
    </row>
    <row r="539" spans="2:2" ht="14.5" x14ac:dyDescent="0.35">
      <c r="B539" s="110"/>
    </row>
    <row r="540" spans="2:2" ht="14.5" x14ac:dyDescent="0.35">
      <c r="B540" s="110"/>
    </row>
    <row r="541" spans="2:2" ht="14.5" x14ac:dyDescent="0.35">
      <c r="B541" s="110"/>
    </row>
    <row r="542" spans="2:2" ht="14.5" x14ac:dyDescent="0.35">
      <c r="B542" s="110"/>
    </row>
    <row r="543" spans="2:2" ht="14.5" x14ac:dyDescent="0.35">
      <c r="B543" s="110"/>
    </row>
    <row r="544" spans="2:2" ht="14.5" x14ac:dyDescent="0.35">
      <c r="B544" s="110"/>
    </row>
    <row r="545" spans="2:2" ht="14.5" x14ac:dyDescent="0.35">
      <c r="B545" s="110"/>
    </row>
    <row r="546" spans="2:2" ht="14.5" x14ac:dyDescent="0.35">
      <c r="B546" s="110"/>
    </row>
    <row r="547" spans="2:2" ht="14.5" x14ac:dyDescent="0.35">
      <c r="B547" s="110"/>
    </row>
    <row r="548" spans="2:2" ht="14.5" x14ac:dyDescent="0.35">
      <c r="B548" s="110"/>
    </row>
    <row r="549" spans="2:2" ht="14.5" x14ac:dyDescent="0.35">
      <c r="B549" s="110"/>
    </row>
    <row r="550" spans="2:2" ht="14.5" x14ac:dyDescent="0.35">
      <c r="B550" s="110"/>
    </row>
    <row r="551" spans="2:2" ht="14.5" x14ac:dyDescent="0.35">
      <c r="B551" s="110"/>
    </row>
    <row r="552" spans="2:2" ht="14.5" x14ac:dyDescent="0.35">
      <c r="B552" s="110"/>
    </row>
    <row r="553" spans="2:2" ht="14.5" x14ac:dyDescent="0.35">
      <c r="B553" s="110"/>
    </row>
    <row r="554" spans="2:2" ht="14.5" x14ac:dyDescent="0.35">
      <c r="B554" s="110"/>
    </row>
    <row r="555" spans="2:2" ht="14.5" x14ac:dyDescent="0.35">
      <c r="B555" s="110"/>
    </row>
    <row r="556" spans="2:2" ht="14.5" x14ac:dyDescent="0.35">
      <c r="B556" s="110"/>
    </row>
    <row r="557" spans="2:2" ht="14.5" x14ac:dyDescent="0.35">
      <c r="B557" s="110"/>
    </row>
    <row r="558" spans="2:2" ht="14.5" x14ac:dyDescent="0.35">
      <c r="B558" s="110"/>
    </row>
    <row r="559" spans="2:2" ht="14.5" x14ac:dyDescent="0.35">
      <c r="B559" s="110"/>
    </row>
    <row r="560" spans="2:2" ht="14.5" x14ac:dyDescent="0.35">
      <c r="B560" s="110"/>
    </row>
    <row r="561" spans="2:2" ht="14.5" x14ac:dyDescent="0.35">
      <c r="B561" s="110"/>
    </row>
    <row r="562" spans="2:2" ht="14.5" x14ac:dyDescent="0.35">
      <c r="B562" s="110"/>
    </row>
    <row r="563" spans="2:2" ht="14.5" x14ac:dyDescent="0.35">
      <c r="B563" s="110"/>
    </row>
    <row r="564" spans="2:2" ht="14.5" x14ac:dyDescent="0.35">
      <c r="B564" s="110"/>
    </row>
    <row r="565" spans="2:2" ht="14.5" x14ac:dyDescent="0.35">
      <c r="B565" s="110"/>
    </row>
    <row r="566" spans="2:2" ht="14.5" x14ac:dyDescent="0.35">
      <c r="B566" s="110"/>
    </row>
    <row r="567" spans="2:2" ht="14.5" x14ac:dyDescent="0.35">
      <c r="B567" s="110"/>
    </row>
    <row r="568" spans="2:2" ht="14.5" x14ac:dyDescent="0.35">
      <c r="B568" s="110"/>
    </row>
    <row r="569" spans="2:2" ht="14.5" x14ac:dyDescent="0.35">
      <c r="B569" s="110"/>
    </row>
    <row r="570" spans="2:2" ht="14.5" x14ac:dyDescent="0.35">
      <c r="B570" s="110"/>
    </row>
    <row r="571" spans="2:2" ht="14.5" x14ac:dyDescent="0.35">
      <c r="B571" s="110"/>
    </row>
    <row r="572" spans="2:2" ht="14.5" x14ac:dyDescent="0.35">
      <c r="B572" s="110"/>
    </row>
    <row r="573" spans="2:2" ht="14.5" x14ac:dyDescent="0.35">
      <c r="B573" s="110"/>
    </row>
    <row r="574" spans="2:2" ht="14.5" x14ac:dyDescent="0.35">
      <c r="B574" s="110"/>
    </row>
    <row r="575" spans="2:2" ht="14.5" x14ac:dyDescent="0.35">
      <c r="B575" s="110"/>
    </row>
    <row r="576" spans="2:2" ht="14.5" x14ac:dyDescent="0.35">
      <c r="B576" s="110"/>
    </row>
    <row r="577" spans="2:2" ht="14.5" x14ac:dyDescent="0.35">
      <c r="B577" s="110"/>
    </row>
    <row r="578" spans="2:2" ht="14.5" x14ac:dyDescent="0.35">
      <c r="B578" s="110"/>
    </row>
    <row r="579" spans="2:2" ht="14.5" x14ac:dyDescent="0.35">
      <c r="B579" s="110"/>
    </row>
    <row r="580" spans="2:2" ht="14.5" x14ac:dyDescent="0.35">
      <c r="B580" s="110"/>
    </row>
    <row r="581" spans="2:2" ht="14.5" x14ac:dyDescent="0.35">
      <c r="B581" s="110"/>
    </row>
    <row r="582" spans="2:2" ht="14.5" x14ac:dyDescent="0.35">
      <c r="B582" s="110"/>
    </row>
    <row r="583" spans="2:2" ht="14.5" x14ac:dyDescent="0.35">
      <c r="B583" s="110"/>
    </row>
    <row r="584" spans="2:2" ht="14.5" x14ac:dyDescent="0.35">
      <c r="B584" s="110"/>
    </row>
    <row r="585" spans="2:2" ht="14.5" x14ac:dyDescent="0.35">
      <c r="B585" s="110"/>
    </row>
    <row r="586" spans="2:2" ht="14.5" x14ac:dyDescent="0.35">
      <c r="B586" s="110"/>
    </row>
    <row r="587" spans="2:2" ht="14.5" x14ac:dyDescent="0.35">
      <c r="B587" s="110"/>
    </row>
    <row r="588" spans="2:2" ht="14.5" x14ac:dyDescent="0.35">
      <c r="B588" s="110"/>
    </row>
    <row r="589" spans="2:2" ht="14.5" x14ac:dyDescent="0.35">
      <c r="B589" s="110"/>
    </row>
    <row r="590" spans="2:2" ht="14.5" x14ac:dyDescent="0.35">
      <c r="B590" s="110"/>
    </row>
    <row r="591" spans="2:2" ht="14.5" x14ac:dyDescent="0.35">
      <c r="B591" s="110"/>
    </row>
    <row r="592" spans="2:2" ht="14.5" x14ac:dyDescent="0.35">
      <c r="B592" s="110"/>
    </row>
    <row r="593" spans="2:2" ht="14.5" x14ac:dyDescent="0.35">
      <c r="B593" s="110"/>
    </row>
    <row r="594" spans="2:2" ht="14.5" x14ac:dyDescent="0.35">
      <c r="B594" s="110"/>
    </row>
    <row r="595" spans="2:2" ht="14.5" x14ac:dyDescent="0.35">
      <c r="B595" s="110"/>
    </row>
    <row r="596" spans="2:2" ht="14.5" x14ac:dyDescent="0.35">
      <c r="B596" s="110"/>
    </row>
    <row r="597" spans="2:2" ht="14.5" x14ac:dyDescent="0.35">
      <c r="B597" s="110"/>
    </row>
    <row r="598" spans="2:2" ht="14.5" x14ac:dyDescent="0.35">
      <c r="B598" s="110"/>
    </row>
    <row r="599" spans="2:2" ht="14.5" x14ac:dyDescent="0.35">
      <c r="B599" s="110"/>
    </row>
    <row r="600" spans="2:2" ht="14.5" x14ac:dyDescent="0.35">
      <c r="B600" s="110"/>
    </row>
    <row r="601" spans="2:2" ht="14.5" x14ac:dyDescent="0.35">
      <c r="B601" s="110"/>
    </row>
    <row r="602" spans="2:2" ht="14.5" x14ac:dyDescent="0.35">
      <c r="B602" s="110"/>
    </row>
    <row r="603" spans="2:2" ht="14.5" x14ac:dyDescent="0.35">
      <c r="B603" s="110"/>
    </row>
    <row r="604" spans="2:2" ht="14.5" x14ac:dyDescent="0.35">
      <c r="B604" s="110"/>
    </row>
    <row r="605" spans="2:2" ht="14.5" x14ac:dyDescent="0.35">
      <c r="B605" s="110"/>
    </row>
    <row r="606" spans="2:2" ht="14.5" x14ac:dyDescent="0.35">
      <c r="B606" s="110"/>
    </row>
    <row r="607" spans="2:2" ht="14.5" x14ac:dyDescent="0.35">
      <c r="B607" s="110"/>
    </row>
    <row r="608" spans="2:2" ht="14.5" x14ac:dyDescent="0.35">
      <c r="B608" s="110"/>
    </row>
    <row r="609" spans="2:2" ht="14.5" x14ac:dyDescent="0.35">
      <c r="B609" s="110"/>
    </row>
    <row r="610" spans="2:2" ht="14.5" x14ac:dyDescent="0.35">
      <c r="B610" s="110"/>
    </row>
    <row r="611" spans="2:2" ht="14.5" x14ac:dyDescent="0.35">
      <c r="B611" s="110"/>
    </row>
    <row r="612" spans="2:2" ht="14.5" x14ac:dyDescent="0.35">
      <c r="B612" s="110"/>
    </row>
    <row r="613" spans="2:2" ht="14.5" x14ac:dyDescent="0.35">
      <c r="B613" s="110"/>
    </row>
    <row r="614" spans="2:2" ht="14.5" x14ac:dyDescent="0.35">
      <c r="B614" s="110"/>
    </row>
    <row r="615" spans="2:2" ht="14.5" x14ac:dyDescent="0.35">
      <c r="B615" s="110"/>
    </row>
    <row r="616" spans="2:2" ht="14.5" x14ac:dyDescent="0.35">
      <c r="B616" s="110"/>
    </row>
    <row r="617" spans="2:2" ht="14.5" x14ac:dyDescent="0.35">
      <c r="B617" s="110"/>
    </row>
    <row r="618" spans="2:2" ht="14.5" x14ac:dyDescent="0.35">
      <c r="B618" s="110"/>
    </row>
    <row r="619" spans="2:2" ht="14.5" x14ac:dyDescent="0.35">
      <c r="B619" s="110"/>
    </row>
    <row r="620" spans="2:2" ht="14.5" x14ac:dyDescent="0.35">
      <c r="B620" s="110"/>
    </row>
    <row r="621" spans="2:2" ht="14.5" x14ac:dyDescent="0.35">
      <c r="B621" s="110"/>
    </row>
    <row r="622" spans="2:2" ht="14.5" x14ac:dyDescent="0.35">
      <c r="B622" s="110"/>
    </row>
    <row r="623" spans="2:2" ht="14.5" x14ac:dyDescent="0.35">
      <c r="B623" s="110"/>
    </row>
    <row r="624" spans="2:2" ht="14.5" x14ac:dyDescent="0.35">
      <c r="B624" s="110"/>
    </row>
    <row r="625" spans="2:2" ht="14.5" x14ac:dyDescent="0.35">
      <c r="B625" s="110"/>
    </row>
    <row r="626" spans="2:2" ht="14.5" x14ac:dyDescent="0.35">
      <c r="B626" s="110"/>
    </row>
    <row r="627" spans="2:2" ht="14.5" x14ac:dyDescent="0.35">
      <c r="B627" s="110"/>
    </row>
    <row r="628" spans="2:2" ht="14.5" x14ac:dyDescent="0.35">
      <c r="B628" s="110"/>
    </row>
    <row r="629" spans="2:2" ht="14.5" x14ac:dyDescent="0.35">
      <c r="B629" s="110"/>
    </row>
    <row r="630" spans="2:2" ht="14.5" x14ac:dyDescent="0.35">
      <c r="B630" s="110"/>
    </row>
    <row r="631" spans="2:2" ht="14.5" x14ac:dyDescent="0.35">
      <c r="B631" s="110"/>
    </row>
    <row r="632" spans="2:2" ht="14.5" x14ac:dyDescent="0.35">
      <c r="B632" s="110"/>
    </row>
    <row r="633" spans="2:2" ht="14.5" x14ac:dyDescent="0.35">
      <c r="B633" s="110"/>
    </row>
    <row r="634" spans="2:2" ht="14.5" x14ac:dyDescent="0.35">
      <c r="B634" s="110"/>
    </row>
    <row r="635" spans="2:2" ht="14.5" x14ac:dyDescent="0.35">
      <c r="B635" s="110"/>
    </row>
    <row r="636" spans="2:2" ht="14.5" x14ac:dyDescent="0.35">
      <c r="B636" s="110"/>
    </row>
    <row r="637" spans="2:2" ht="14.5" x14ac:dyDescent="0.35">
      <c r="B637" s="110"/>
    </row>
    <row r="638" spans="2:2" ht="14.5" x14ac:dyDescent="0.35">
      <c r="B638" s="110"/>
    </row>
    <row r="639" spans="2:2" ht="14.5" x14ac:dyDescent="0.35">
      <c r="B639" s="110"/>
    </row>
    <row r="640" spans="2:2" ht="14.5" x14ac:dyDescent="0.35">
      <c r="B640" s="110"/>
    </row>
    <row r="641" spans="2:2" ht="14.5" x14ac:dyDescent="0.35">
      <c r="B641" s="110"/>
    </row>
    <row r="642" spans="2:2" ht="14.5" x14ac:dyDescent="0.35">
      <c r="B642" s="110"/>
    </row>
    <row r="643" spans="2:2" ht="14.5" x14ac:dyDescent="0.35">
      <c r="B643" s="110"/>
    </row>
    <row r="644" spans="2:2" ht="14.5" x14ac:dyDescent="0.35">
      <c r="B644" s="110"/>
    </row>
    <row r="645" spans="2:2" ht="14.5" x14ac:dyDescent="0.35">
      <c r="B645" s="110"/>
    </row>
    <row r="646" spans="2:2" ht="14.5" x14ac:dyDescent="0.35">
      <c r="B646" s="110"/>
    </row>
    <row r="647" spans="2:2" ht="14.5" x14ac:dyDescent="0.35">
      <c r="B647" s="110"/>
    </row>
    <row r="648" spans="2:2" ht="14.5" x14ac:dyDescent="0.35">
      <c r="B648" s="110"/>
    </row>
    <row r="649" spans="2:2" ht="14.5" x14ac:dyDescent="0.35">
      <c r="B649" s="110"/>
    </row>
    <row r="650" spans="2:2" ht="14.5" x14ac:dyDescent="0.35">
      <c r="B650" s="110"/>
    </row>
    <row r="651" spans="2:2" ht="14.5" x14ac:dyDescent="0.35">
      <c r="B651" s="110"/>
    </row>
    <row r="652" spans="2:2" ht="14.5" x14ac:dyDescent="0.35">
      <c r="B652" s="110"/>
    </row>
    <row r="653" spans="2:2" ht="14.5" x14ac:dyDescent="0.35">
      <c r="B653" s="110"/>
    </row>
    <row r="654" spans="2:2" ht="14.5" x14ac:dyDescent="0.35">
      <c r="B654" s="110"/>
    </row>
    <row r="655" spans="2:2" ht="14.5" x14ac:dyDescent="0.35">
      <c r="B655" s="110"/>
    </row>
    <row r="656" spans="2:2" ht="14.5" x14ac:dyDescent="0.35">
      <c r="B656" s="110"/>
    </row>
    <row r="657" spans="2:2" ht="14.5" x14ac:dyDescent="0.35">
      <c r="B657" s="110"/>
    </row>
    <row r="658" spans="2:2" ht="14.5" x14ac:dyDescent="0.35">
      <c r="B658" s="110"/>
    </row>
    <row r="659" spans="2:2" ht="14.5" x14ac:dyDescent="0.35">
      <c r="B659" s="110"/>
    </row>
    <row r="660" spans="2:2" ht="14.5" x14ac:dyDescent="0.35">
      <c r="B660" s="110"/>
    </row>
    <row r="661" spans="2:2" ht="14.5" x14ac:dyDescent="0.35">
      <c r="B661" s="110"/>
    </row>
    <row r="662" spans="2:2" ht="14.5" x14ac:dyDescent="0.35">
      <c r="B662" s="110"/>
    </row>
    <row r="663" spans="2:2" ht="14.5" x14ac:dyDescent="0.35">
      <c r="B663" s="110"/>
    </row>
    <row r="664" spans="2:2" ht="14.5" x14ac:dyDescent="0.35">
      <c r="B664" s="110"/>
    </row>
    <row r="665" spans="2:2" ht="14.5" x14ac:dyDescent="0.35">
      <c r="B665" s="110"/>
    </row>
    <row r="666" spans="2:2" ht="14.5" x14ac:dyDescent="0.35">
      <c r="B666" s="110"/>
    </row>
    <row r="667" spans="2:2" ht="14.5" x14ac:dyDescent="0.35">
      <c r="B667" s="110"/>
    </row>
    <row r="668" spans="2:2" ht="14.5" x14ac:dyDescent="0.35">
      <c r="B668" s="110"/>
    </row>
    <row r="669" spans="2:2" ht="14.5" x14ac:dyDescent="0.35">
      <c r="B669" s="110"/>
    </row>
    <row r="670" spans="2:2" ht="14.5" x14ac:dyDescent="0.35">
      <c r="B670" s="110"/>
    </row>
    <row r="671" spans="2:2" ht="14.5" x14ac:dyDescent="0.35">
      <c r="B671" s="110"/>
    </row>
    <row r="672" spans="2:2" ht="14.5" x14ac:dyDescent="0.35">
      <c r="B672" s="110"/>
    </row>
    <row r="673" spans="2:2" ht="14.5" x14ac:dyDescent="0.35">
      <c r="B673" s="110"/>
    </row>
    <row r="674" spans="2:2" ht="14.5" x14ac:dyDescent="0.35">
      <c r="B674" s="110"/>
    </row>
    <row r="675" spans="2:2" ht="14.5" x14ac:dyDescent="0.35">
      <c r="B675" s="110"/>
    </row>
    <row r="676" spans="2:2" ht="14.5" x14ac:dyDescent="0.35">
      <c r="B676" s="110"/>
    </row>
    <row r="677" spans="2:2" ht="14.5" x14ac:dyDescent="0.35">
      <c r="B677" s="110"/>
    </row>
    <row r="678" spans="2:2" ht="14.5" x14ac:dyDescent="0.35">
      <c r="B678" s="110"/>
    </row>
    <row r="679" spans="2:2" ht="14.5" x14ac:dyDescent="0.35">
      <c r="B679" s="110"/>
    </row>
    <row r="680" spans="2:2" ht="14.5" x14ac:dyDescent="0.35">
      <c r="B680" s="110"/>
    </row>
    <row r="681" spans="2:2" ht="14.5" x14ac:dyDescent="0.35">
      <c r="B681" s="110"/>
    </row>
    <row r="682" spans="2:2" ht="14.5" x14ac:dyDescent="0.35">
      <c r="B682" s="110"/>
    </row>
    <row r="683" spans="2:2" ht="14.5" x14ac:dyDescent="0.35">
      <c r="B683" s="110"/>
    </row>
    <row r="684" spans="2:2" ht="14.5" x14ac:dyDescent="0.35">
      <c r="B684" s="110"/>
    </row>
    <row r="685" spans="2:2" ht="14.5" x14ac:dyDescent="0.35">
      <c r="B685" s="110"/>
    </row>
    <row r="686" spans="2:2" ht="14.5" x14ac:dyDescent="0.35">
      <c r="B686" s="110"/>
    </row>
    <row r="687" spans="2:2" ht="14.5" x14ac:dyDescent="0.35">
      <c r="B687" s="110"/>
    </row>
    <row r="688" spans="2:2" ht="14.5" x14ac:dyDescent="0.35">
      <c r="B688" s="110"/>
    </row>
    <row r="689" spans="2:2" ht="14.5" x14ac:dyDescent="0.35">
      <c r="B689" s="110"/>
    </row>
    <row r="690" spans="2:2" ht="14.5" x14ac:dyDescent="0.35">
      <c r="B690" s="110"/>
    </row>
    <row r="691" spans="2:2" ht="14.5" x14ac:dyDescent="0.35">
      <c r="B691" s="110"/>
    </row>
    <row r="692" spans="2:2" ht="14.5" x14ac:dyDescent="0.35">
      <c r="B692" s="110"/>
    </row>
    <row r="693" spans="2:2" ht="14.5" x14ac:dyDescent="0.35">
      <c r="B693" s="110"/>
    </row>
    <row r="694" spans="2:2" ht="14.5" x14ac:dyDescent="0.35">
      <c r="B694" s="110"/>
    </row>
    <row r="695" spans="2:2" ht="14.5" x14ac:dyDescent="0.35">
      <c r="B695" s="110"/>
    </row>
    <row r="696" spans="2:2" ht="14.5" x14ac:dyDescent="0.35">
      <c r="B696" s="110"/>
    </row>
    <row r="697" spans="2:2" ht="14.5" x14ac:dyDescent="0.35">
      <c r="B697" s="110"/>
    </row>
    <row r="698" spans="2:2" ht="14.5" x14ac:dyDescent="0.35">
      <c r="B698" s="110"/>
    </row>
    <row r="699" spans="2:2" ht="14.5" x14ac:dyDescent="0.35">
      <c r="B699" s="110"/>
    </row>
    <row r="700" spans="2:2" ht="14.5" x14ac:dyDescent="0.35">
      <c r="B700" s="110"/>
    </row>
    <row r="701" spans="2:2" ht="14.5" x14ac:dyDescent="0.35">
      <c r="B701" s="110"/>
    </row>
    <row r="702" spans="2:2" ht="14.5" x14ac:dyDescent="0.35">
      <c r="B702" s="110"/>
    </row>
    <row r="703" spans="2:2" ht="14.5" x14ac:dyDescent="0.35">
      <c r="B703" s="110"/>
    </row>
    <row r="704" spans="2:2" ht="14.5" x14ac:dyDescent="0.35">
      <c r="B704" s="110"/>
    </row>
    <row r="705" spans="2:2" ht="14.5" x14ac:dyDescent="0.35">
      <c r="B705" s="110"/>
    </row>
    <row r="706" spans="2:2" ht="14.5" x14ac:dyDescent="0.35">
      <c r="B706" s="110"/>
    </row>
    <row r="707" spans="2:2" ht="14.5" x14ac:dyDescent="0.35">
      <c r="B707" s="110"/>
    </row>
    <row r="708" spans="2:2" ht="14.5" x14ac:dyDescent="0.35">
      <c r="B708" s="110"/>
    </row>
    <row r="709" spans="2:2" ht="14.5" x14ac:dyDescent="0.35">
      <c r="B709" s="110"/>
    </row>
    <row r="710" spans="2:2" ht="14.5" x14ac:dyDescent="0.35">
      <c r="B710" s="110"/>
    </row>
    <row r="711" spans="2:2" ht="14.5" x14ac:dyDescent="0.35">
      <c r="B711" s="110"/>
    </row>
    <row r="712" spans="2:2" ht="14.5" x14ac:dyDescent="0.35">
      <c r="B712" s="110"/>
    </row>
    <row r="713" spans="2:2" ht="14.5" x14ac:dyDescent="0.35">
      <c r="B713" s="110"/>
    </row>
    <row r="714" spans="2:2" ht="14.5" x14ac:dyDescent="0.35">
      <c r="B714" s="110"/>
    </row>
    <row r="715" spans="2:2" ht="14.5" x14ac:dyDescent="0.35">
      <c r="B715" s="110"/>
    </row>
    <row r="716" spans="2:2" ht="14.5" x14ac:dyDescent="0.35">
      <c r="B716" s="110"/>
    </row>
    <row r="717" spans="2:2" ht="14.5" x14ac:dyDescent="0.35">
      <c r="B717" s="110"/>
    </row>
    <row r="718" spans="2:2" ht="14.5" x14ac:dyDescent="0.35">
      <c r="B718" s="110"/>
    </row>
    <row r="719" spans="2:2" ht="14.5" x14ac:dyDescent="0.35">
      <c r="B719" s="110"/>
    </row>
    <row r="720" spans="2:2" ht="14.5" x14ac:dyDescent="0.35">
      <c r="B720" s="110"/>
    </row>
    <row r="721" spans="2:2" ht="14.5" x14ac:dyDescent="0.35">
      <c r="B721" s="110"/>
    </row>
    <row r="722" spans="2:2" ht="14.5" x14ac:dyDescent="0.35">
      <c r="B722" s="110"/>
    </row>
    <row r="723" spans="2:2" ht="14.5" x14ac:dyDescent="0.35">
      <c r="B723" s="110"/>
    </row>
    <row r="724" spans="2:2" ht="14.5" x14ac:dyDescent="0.35">
      <c r="B724" s="110"/>
    </row>
    <row r="725" spans="2:2" ht="14.5" x14ac:dyDescent="0.35">
      <c r="B725" s="110"/>
    </row>
    <row r="726" spans="2:2" ht="14.5" x14ac:dyDescent="0.35">
      <c r="B726" s="110"/>
    </row>
    <row r="727" spans="2:2" ht="14.5" x14ac:dyDescent="0.35">
      <c r="B727" s="110"/>
    </row>
    <row r="728" spans="2:2" ht="14.5" x14ac:dyDescent="0.35">
      <c r="B728" s="110"/>
    </row>
    <row r="729" spans="2:2" ht="14.5" x14ac:dyDescent="0.35">
      <c r="B729" s="110"/>
    </row>
    <row r="730" spans="2:2" ht="14.5" x14ac:dyDescent="0.35">
      <c r="B730" s="110"/>
    </row>
    <row r="731" spans="2:2" ht="14.5" x14ac:dyDescent="0.35">
      <c r="B731" s="110"/>
    </row>
    <row r="732" spans="2:2" ht="14.5" x14ac:dyDescent="0.35">
      <c r="B732" s="110"/>
    </row>
    <row r="733" spans="2:2" ht="14.5" x14ac:dyDescent="0.35">
      <c r="B733" s="110"/>
    </row>
    <row r="734" spans="2:2" ht="14.5" x14ac:dyDescent="0.35">
      <c r="B734" s="110"/>
    </row>
    <row r="735" spans="2:2" ht="14.5" x14ac:dyDescent="0.35">
      <c r="B735" s="110"/>
    </row>
    <row r="736" spans="2:2" ht="14.5" x14ac:dyDescent="0.35">
      <c r="B736" s="110"/>
    </row>
    <row r="737" spans="2:2" ht="14.5" x14ac:dyDescent="0.35">
      <c r="B737" s="110"/>
    </row>
    <row r="738" spans="2:2" ht="14.5" x14ac:dyDescent="0.35">
      <c r="B738" s="110"/>
    </row>
    <row r="739" spans="2:2" ht="14.5" x14ac:dyDescent="0.35">
      <c r="B739" s="110"/>
    </row>
    <row r="740" spans="2:2" ht="14.5" x14ac:dyDescent="0.35">
      <c r="B740" s="110"/>
    </row>
    <row r="741" spans="2:2" ht="14.5" x14ac:dyDescent="0.35">
      <c r="B741" s="110"/>
    </row>
    <row r="742" spans="2:2" ht="14.5" x14ac:dyDescent="0.35">
      <c r="B742" s="110"/>
    </row>
    <row r="743" spans="2:2" ht="14.5" x14ac:dyDescent="0.35">
      <c r="B743" s="110"/>
    </row>
    <row r="744" spans="2:2" ht="14.5" x14ac:dyDescent="0.35">
      <c r="B744" s="110"/>
    </row>
    <row r="745" spans="2:2" ht="14.5" x14ac:dyDescent="0.35">
      <c r="B745" s="110"/>
    </row>
    <row r="746" spans="2:2" ht="14.5" x14ac:dyDescent="0.35">
      <c r="B746" s="110"/>
    </row>
    <row r="747" spans="2:2" ht="14.5" x14ac:dyDescent="0.35">
      <c r="B747" s="110"/>
    </row>
    <row r="748" spans="2:2" ht="14.5" x14ac:dyDescent="0.35">
      <c r="B748" s="110"/>
    </row>
    <row r="749" spans="2:2" ht="14.5" x14ac:dyDescent="0.35">
      <c r="B749" s="110"/>
    </row>
    <row r="750" spans="2:2" ht="14.5" x14ac:dyDescent="0.35">
      <c r="B750" s="110"/>
    </row>
    <row r="751" spans="2:2" ht="14.5" x14ac:dyDescent="0.35">
      <c r="B751" s="110"/>
    </row>
    <row r="752" spans="2:2" ht="14.5" x14ac:dyDescent="0.35">
      <c r="B752" s="110"/>
    </row>
    <row r="753" spans="2:2" ht="14.5" x14ac:dyDescent="0.35">
      <c r="B753" s="110"/>
    </row>
    <row r="754" spans="2:2" ht="14.5" x14ac:dyDescent="0.35">
      <c r="B754" s="110"/>
    </row>
    <row r="755" spans="2:2" ht="14.5" x14ac:dyDescent="0.35">
      <c r="B755" s="110"/>
    </row>
    <row r="756" spans="2:2" ht="14.5" x14ac:dyDescent="0.35">
      <c r="B756" s="110"/>
    </row>
    <row r="757" spans="2:2" ht="14.5" x14ac:dyDescent="0.35">
      <c r="B757" s="110"/>
    </row>
    <row r="758" spans="2:2" ht="14.5" x14ac:dyDescent="0.35">
      <c r="B758" s="110"/>
    </row>
    <row r="759" spans="2:2" ht="14.5" x14ac:dyDescent="0.35">
      <c r="B759" s="110"/>
    </row>
    <row r="760" spans="2:2" ht="14.5" x14ac:dyDescent="0.35">
      <c r="B760" s="110"/>
    </row>
    <row r="761" spans="2:2" ht="14.5" x14ac:dyDescent="0.35">
      <c r="B761" s="110"/>
    </row>
    <row r="762" spans="2:2" ht="14.5" x14ac:dyDescent="0.35">
      <c r="B762" s="110"/>
    </row>
    <row r="763" spans="2:2" ht="14.5" x14ac:dyDescent="0.35">
      <c r="B763" s="110"/>
    </row>
    <row r="764" spans="2:2" ht="14.5" x14ac:dyDescent="0.35">
      <c r="B764" s="110"/>
    </row>
    <row r="765" spans="2:2" ht="14.5" x14ac:dyDescent="0.35">
      <c r="B765" s="110"/>
    </row>
    <row r="766" spans="2:2" ht="14.5" x14ac:dyDescent="0.35">
      <c r="B766" s="110"/>
    </row>
    <row r="767" spans="2:2" ht="14.5" x14ac:dyDescent="0.35">
      <c r="B767" s="110"/>
    </row>
    <row r="768" spans="2:2" ht="14.5" x14ac:dyDescent="0.35">
      <c r="B768" s="110"/>
    </row>
    <row r="769" spans="2:2" ht="14.5" x14ac:dyDescent="0.35">
      <c r="B769" s="110"/>
    </row>
    <row r="770" spans="2:2" ht="14.5" x14ac:dyDescent="0.35">
      <c r="B770" s="110"/>
    </row>
    <row r="771" spans="2:2" ht="14.5" x14ac:dyDescent="0.35">
      <c r="B771" s="110"/>
    </row>
    <row r="772" spans="2:2" ht="14.5" x14ac:dyDescent="0.35">
      <c r="B772" s="110"/>
    </row>
    <row r="773" spans="2:2" ht="14.5" x14ac:dyDescent="0.35">
      <c r="B773" s="110"/>
    </row>
    <row r="774" spans="2:2" ht="14.5" x14ac:dyDescent="0.35">
      <c r="B774" s="110"/>
    </row>
    <row r="775" spans="2:2" ht="14.5" x14ac:dyDescent="0.35">
      <c r="B775" s="110"/>
    </row>
    <row r="776" spans="2:2" ht="14.5" x14ac:dyDescent="0.35">
      <c r="B776" s="110"/>
    </row>
    <row r="777" spans="2:2" ht="14.5" x14ac:dyDescent="0.35">
      <c r="B777" s="110"/>
    </row>
    <row r="778" spans="2:2" ht="14.5" x14ac:dyDescent="0.35">
      <c r="B778" s="110"/>
    </row>
    <row r="779" spans="2:2" ht="14.5" x14ac:dyDescent="0.35">
      <c r="B779" s="110"/>
    </row>
    <row r="780" spans="2:2" ht="14.5" x14ac:dyDescent="0.35">
      <c r="B780" s="110"/>
    </row>
    <row r="781" spans="2:2" ht="14.5" x14ac:dyDescent="0.35">
      <c r="B781" s="110"/>
    </row>
    <row r="782" spans="2:2" ht="14.5" x14ac:dyDescent="0.35">
      <c r="B782" s="110"/>
    </row>
    <row r="783" spans="2:2" ht="14.5" x14ac:dyDescent="0.35">
      <c r="B783" s="110"/>
    </row>
    <row r="784" spans="2:2" ht="14.5" x14ac:dyDescent="0.35">
      <c r="B784" s="110"/>
    </row>
    <row r="785" spans="2:2" ht="14.5" x14ac:dyDescent="0.35">
      <c r="B785" s="110"/>
    </row>
    <row r="786" spans="2:2" ht="14.5" x14ac:dyDescent="0.35">
      <c r="B786" s="110"/>
    </row>
    <row r="787" spans="2:2" ht="14.5" x14ac:dyDescent="0.35">
      <c r="B787" s="110"/>
    </row>
    <row r="788" spans="2:2" ht="14.5" x14ac:dyDescent="0.35">
      <c r="B788" s="110"/>
    </row>
    <row r="789" spans="2:2" ht="14.5" x14ac:dyDescent="0.35">
      <c r="B789" s="110"/>
    </row>
    <row r="790" spans="2:2" ht="14.5" x14ac:dyDescent="0.35">
      <c r="B790" s="110"/>
    </row>
    <row r="791" spans="2:2" ht="14.5" x14ac:dyDescent="0.35">
      <c r="B791" s="110"/>
    </row>
    <row r="792" spans="2:2" ht="14.5" x14ac:dyDescent="0.35">
      <c r="B792" s="110"/>
    </row>
    <row r="793" spans="2:2" ht="14.5" x14ac:dyDescent="0.35">
      <c r="B793" s="110"/>
    </row>
    <row r="794" spans="2:2" ht="14.5" x14ac:dyDescent="0.35">
      <c r="B794" s="110"/>
    </row>
    <row r="795" spans="2:2" ht="14.5" x14ac:dyDescent="0.35">
      <c r="B795" s="110"/>
    </row>
    <row r="796" spans="2:2" ht="14.5" x14ac:dyDescent="0.35">
      <c r="B796" s="110"/>
    </row>
    <row r="797" spans="2:2" ht="14.5" x14ac:dyDescent="0.35">
      <c r="B797" s="110"/>
    </row>
    <row r="798" spans="2:2" ht="14.5" x14ac:dyDescent="0.35">
      <c r="B798" s="110"/>
    </row>
    <row r="799" spans="2:2" ht="14.5" x14ac:dyDescent="0.35">
      <c r="B799" s="110"/>
    </row>
    <row r="800" spans="2:2" ht="14.5" x14ac:dyDescent="0.35">
      <c r="B800" s="110"/>
    </row>
    <row r="801" spans="2:2" ht="14.5" x14ac:dyDescent="0.35">
      <c r="B801" s="110"/>
    </row>
    <row r="802" spans="2:2" ht="14.5" x14ac:dyDescent="0.35">
      <c r="B802" s="110"/>
    </row>
    <row r="803" spans="2:2" ht="14.5" x14ac:dyDescent="0.35">
      <c r="B803" s="110"/>
    </row>
    <row r="804" spans="2:2" ht="14.5" x14ac:dyDescent="0.35">
      <c r="B804" s="110"/>
    </row>
    <row r="805" spans="2:2" ht="14.5" x14ac:dyDescent="0.35">
      <c r="B805" s="110"/>
    </row>
    <row r="806" spans="2:2" ht="14.5" x14ac:dyDescent="0.35">
      <c r="B806" s="110"/>
    </row>
    <row r="807" spans="2:2" ht="14.5" x14ac:dyDescent="0.35">
      <c r="B807" s="110"/>
    </row>
    <row r="808" spans="2:2" ht="14.5" x14ac:dyDescent="0.35">
      <c r="B808" s="110"/>
    </row>
    <row r="809" spans="2:2" ht="14.5" x14ac:dyDescent="0.35">
      <c r="B809" s="110"/>
    </row>
    <row r="810" spans="2:2" ht="14.5" x14ac:dyDescent="0.35">
      <c r="B810" s="110"/>
    </row>
    <row r="811" spans="2:2" ht="14.5" x14ac:dyDescent="0.35">
      <c r="B811" s="110"/>
    </row>
    <row r="812" spans="2:2" ht="14.5" x14ac:dyDescent="0.35">
      <c r="B812" s="110"/>
    </row>
    <row r="813" spans="2:2" ht="14.5" x14ac:dyDescent="0.35">
      <c r="B813" s="110"/>
    </row>
    <row r="814" spans="2:2" ht="14.5" x14ac:dyDescent="0.35">
      <c r="B814" s="110"/>
    </row>
    <row r="815" spans="2:2" ht="14.5" x14ac:dyDescent="0.35">
      <c r="B815" s="110"/>
    </row>
    <row r="816" spans="2:2" ht="14.5" x14ac:dyDescent="0.35">
      <c r="B816" s="110"/>
    </row>
    <row r="817" spans="2:2" ht="14.5" x14ac:dyDescent="0.35">
      <c r="B817" s="110"/>
    </row>
    <row r="818" spans="2:2" ht="14.5" x14ac:dyDescent="0.35">
      <c r="B818" s="110"/>
    </row>
    <row r="819" spans="2:2" ht="14.5" x14ac:dyDescent="0.35">
      <c r="B819" s="110"/>
    </row>
    <row r="820" spans="2:2" ht="14.5" x14ac:dyDescent="0.35">
      <c r="B820" s="110"/>
    </row>
    <row r="821" spans="2:2" ht="14.5" x14ac:dyDescent="0.35">
      <c r="B821" s="110"/>
    </row>
    <row r="822" spans="2:2" ht="14.5" x14ac:dyDescent="0.35">
      <c r="B822" s="110"/>
    </row>
    <row r="823" spans="2:2" ht="14.5" x14ac:dyDescent="0.35">
      <c r="B823" s="110"/>
    </row>
    <row r="824" spans="2:2" ht="14.5" x14ac:dyDescent="0.35">
      <c r="B824" s="110"/>
    </row>
    <row r="825" spans="2:2" ht="14.5" x14ac:dyDescent="0.35">
      <c r="B825" s="110"/>
    </row>
    <row r="826" spans="2:2" ht="14.5" x14ac:dyDescent="0.35">
      <c r="B826" s="110"/>
    </row>
    <row r="827" spans="2:2" ht="14.5" x14ac:dyDescent="0.35">
      <c r="B827" s="110"/>
    </row>
    <row r="828" spans="2:2" ht="14.5" x14ac:dyDescent="0.35">
      <c r="B828" s="110"/>
    </row>
    <row r="829" spans="2:2" ht="14.5" x14ac:dyDescent="0.35">
      <c r="B829" s="110"/>
    </row>
    <row r="830" spans="2:2" ht="14.5" x14ac:dyDescent="0.35">
      <c r="B830" s="110"/>
    </row>
    <row r="831" spans="2:2" ht="14.5" x14ac:dyDescent="0.35">
      <c r="B831" s="110"/>
    </row>
    <row r="832" spans="2:2" ht="14.5" x14ac:dyDescent="0.35">
      <c r="B832" s="110"/>
    </row>
    <row r="833" spans="2:2" ht="14.5" x14ac:dyDescent="0.35">
      <c r="B833" s="110"/>
    </row>
    <row r="834" spans="2:2" ht="14.5" x14ac:dyDescent="0.35">
      <c r="B834" s="110"/>
    </row>
    <row r="835" spans="2:2" ht="14.5" x14ac:dyDescent="0.35">
      <c r="B835" s="110"/>
    </row>
    <row r="836" spans="2:2" ht="14.5" x14ac:dyDescent="0.35">
      <c r="B836" s="110"/>
    </row>
    <row r="837" spans="2:2" ht="14.5" x14ac:dyDescent="0.35">
      <c r="B837" s="110"/>
    </row>
    <row r="838" spans="2:2" ht="14.5" x14ac:dyDescent="0.35">
      <c r="B838" s="110"/>
    </row>
    <row r="839" spans="2:2" ht="14.5" x14ac:dyDescent="0.35">
      <c r="B839" s="110"/>
    </row>
    <row r="840" spans="2:2" ht="14.5" x14ac:dyDescent="0.35">
      <c r="B840" s="110"/>
    </row>
    <row r="841" spans="2:2" ht="14.5" x14ac:dyDescent="0.35">
      <c r="B841" s="110"/>
    </row>
    <row r="842" spans="2:2" ht="14.5" x14ac:dyDescent="0.35">
      <c r="B842" s="110"/>
    </row>
    <row r="843" spans="2:2" ht="14.5" x14ac:dyDescent="0.35">
      <c r="B843" s="110"/>
    </row>
    <row r="844" spans="2:2" ht="14.5" x14ac:dyDescent="0.35">
      <c r="B844" s="110"/>
    </row>
    <row r="845" spans="2:2" ht="14.5" x14ac:dyDescent="0.35">
      <c r="B845" s="110"/>
    </row>
    <row r="846" spans="2:2" ht="14.5" x14ac:dyDescent="0.35">
      <c r="B846" s="110"/>
    </row>
    <row r="847" spans="2:2" ht="14.5" x14ac:dyDescent="0.35">
      <c r="B847" s="110"/>
    </row>
    <row r="848" spans="2:2" ht="14.5" x14ac:dyDescent="0.35">
      <c r="B848" s="110"/>
    </row>
    <row r="849" spans="2:2" ht="14.5" x14ac:dyDescent="0.35">
      <c r="B849" s="110"/>
    </row>
    <row r="850" spans="2:2" ht="14.5" x14ac:dyDescent="0.35">
      <c r="B850" s="110"/>
    </row>
    <row r="851" spans="2:2" ht="14.5" x14ac:dyDescent="0.35">
      <c r="B851" s="110"/>
    </row>
    <row r="852" spans="2:2" ht="14.5" x14ac:dyDescent="0.35">
      <c r="B852" s="110"/>
    </row>
    <row r="853" spans="2:2" ht="14.5" x14ac:dyDescent="0.35">
      <c r="B853" s="110"/>
    </row>
    <row r="854" spans="2:2" ht="14.5" x14ac:dyDescent="0.35">
      <c r="B854" s="110"/>
    </row>
    <row r="855" spans="2:2" ht="14.5" x14ac:dyDescent="0.35">
      <c r="B855" s="110"/>
    </row>
    <row r="856" spans="2:2" ht="14.5" x14ac:dyDescent="0.35">
      <c r="B856" s="110"/>
    </row>
    <row r="857" spans="2:2" ht="14.5" x14ac:dyDescent="0.35">
      <c r="B857" s="110"/>
    </row>
    <row r="858" spans="2:2" ht="14.5" x14ac:dyDescent="0.35">
      <c r="B858" s="110"/>
    </row>
    <row r="859" spans="2:2" ht="14.5" x14ac:dyDescent="0.35">
      <c r="B859" s="110"/>
    </row>
    <row r="860" spans="2:2" ht="14.5" x14ac:dyDescent="0.35">
      <c r="B860" s="110"/>
    </row>
    <row r="861" spans="2:2" ht="14.5" x14ac:dyDescent="0.35">
      <c r="B861" s="110"/>
    </row>
    <row r="862" spans="2:2" ht="14.5" x14ac:dyDescent="0.35">
      <c r="B862" s="110"/>
    </row>
    <row r="863" spans="2:2" ht="14.5" x14ac:dyDescent="0.35">
      <c r="B863" s="110"/>
    </row>
    <row r="864" spans="2:2" ht="14.5" x14ac:dyDescent="0.35">
      <c r="B864" s="110"/>
    </row>
    <row r="865" spans="2:2" ht="14.5" x14ac:dyDescent="0.35">
      <c r="B865" s="110"/>
    </row>
    <row r="866" spans="2:2" ht="14.5" x14ac:dyDescent="0.35">
      <c r="B866" s="110"/>
    </row>
    <row r="867" spans="2:2" ht="14.5" x14ac:dyDescent="0.35">
      <c r="B867" s="110"/>
    </row>
    <row r="868" spans="2:2" ht="14.5" x14ac:dyDescent="0.35">
      <c r="B868" s="110"/>
    </row>
    <row r="869" spans="2:2" ht="14.5" x14ac:dyDescent="0.35">
      <c r="B869" s="110"/>
    </row>
    <row r="870" spans="2:2" ht="14.5" x14ac:dyDescent="0.35">
      <c r="B870" s="110"/>
    </row>
    <row r="871" spans="2:2" ht="14.5" x14ac:dyDescent="0.35">
      <c r="B871" s="110"/>
    </row>
    <row r="872" spans="2:2" ht="14.5" x14ac:dyDescent="0.35">
      <c r="B872" s="110"/>
    </row>
    <row r="873" spans="2:2" ht="14.5" x14ac:dyDescent="0.35">
      <c r="B873" s="110"/>
    </row>
    <row r="874" spans="2:2" ht="14.5" x14ac:dyDescent="0.35">
      <c r="B874" s="110"/>
    </row>
    <row r="875" spans="2:2" ht="14.5" x14ac:dyDescent="0.35">
      <c r="B875" s="110"/>
    </row>
    <row r="876" spans="2:2" ht="14.5" x14ac:dyDescent="0.35">
      <c r="B876" s="110"/>
    </row>
    <row r="877" spans="2:2" ht="14.5" x14ac:dyDescent="0.35">
      <c r="B877" s="110"/>
    </row>
    <row r="878" spans="2:2" ht="14.5" x14ac:dyDescent="0.35">
      <c r="B878" s="110"/>
    </row>
    <row r="879" spans="2:2" ht="14.5" x14ac:dyDescent="0.35">
      <c r="B879" s="110"/>
    </row>
    <row r="880" spans="2:2" ht="14.5" x14ac:dyDescent="0.35">
      <c r="B880" s="110"/>
    </row>
    <row r="881" spans="2:2" ht="14.5" x14ac:dyDescent="0.35">
      <c r="B881" s="110"/>
    </row>
    <row r="882" spans="2:2" ht="14.5" x14ac:dyDescent="0.35">
      <c r="B882" s="110"/>
    </row>
    <row r="883" spans="2:2" ht="14.5" x14ac:dyDescent="0.35">
      <c r="B883" s="110"/>
    </row>
    <row r="884" spans="2:2" ht="14.5" x14ac:dyDescent="0.35">
      <c r="B884" s="110"/>
    </row>
    <row r="885" spans="2:2" ht="14.5" x14ac:dyDescent="0.35">
      <c r="B885" s="110"/>
    </row>
    <row r="886" spans="2:2" ht="14.5" x14ac:dyDescent="0.35">
      <c r="B886" s="110"/>
    </row>
    <row r="887" spans="2:2" ht="14.5" x14ac:dyDescent="0.35">
      <c r="B887" s="110"/>
    </row>
    <row r="888" spans="2:2" ht="14.5" x14ac:dyDescent="0.35">
      <c r="B888" s="110"/>
    </row>
    <row r="889" spans="2:2" ht="14.5" x14ac:dyDescent="0.35">
      <c r="B889" s="110"/>
    </row>
    <row r="890" spans="2:2" ht="14.5" x14ac:dyDescent="0.35">
      <c r="B890" s="110"/>
    </row>
    <row r="891" spans="2:2" ht="14.5" x14ac:dyDescent="0.35">
      <c r="B891" s="110"/>
    </row>
    <row r="892" spans="2:2" ht="14.5" x14ac:dyDescent="0.35">
      <c r="B892" s="110"/>
    </row>
    <row r="893" spans="2:2" ht="14.5" x14ac:dyDescent="0.35">
      <c r="B893" s="110"/>
    </row>
    <row r="894" spans="2:2" ht="14.5" x14ac:dyDescent="0.35">
      <c r="B894" s="110"/>
    </row>
    <row r="895" spans="2:2" ht="14.5" x14ac:dyDescent="0.35">
      <c r="B895" s="110"/>
    </row>
    <row r="896" spans="2:2" ht="14.5" x14ac:dyDescent="0.35">
      <c r="B896" s="110"/>
    </row>
    <row r="897" spans="2:2" ht="14.5" x14ac:dyDescent="0.35">
      <c r="B897" s="110"/>
    </row>
    <row r="898" spans="2:2" ht="14.5" x14ac:dyDescent="0.35">
      <c r="B898" s="110"/>
    </row>
    <row r="899" spans="2:2" ht="14.5" x14ac:dyDescent="0.35">
      <c r="B899" s="110"/>
    </row>
    <row r="900" spans="2:2" ht="14.5" x14ac:dyDescent="0.35">
      <c r="B900" s="110"/>
    </row>
    <row r="901" spans="2:2" ht="14.5" x14ac:dyDescent="0.35">
      <c r="B901" s="110"/>
    </row>
    <row r="902" spans="2:2" ht="14.5" x14ac:dyDescent="0.35">
      <c r="B902" s="110"/>
    </row>
    <row r="903" spans="2:2" ht="14.5" x14ac:dyDescent="0.35">
      <c r="B903" s="110"/>
    </row>
    <row r="904" spans="2:2" ht="14.5" x14ac:dyDescent="0.35">
      <c r="B904" s="110"/>
    </row>
    <row r="905" spans="2:2" ht="14.5" x14ac:dyDescent="0.35">
      <c r="B905" s="110"/>
    </row>
    <row r="906" spans="2:2" ht="14.5" x14ac:dyDescent="0.35">
      <c r="B906" s="110"/>
    </row>
    <row r="907" spans="2:2" ht="14.5" x14ac:dyDescent="0.35">
      <c r="B907" s="110"/>
    </row>
    <row r="908" spans="2:2" ht="14.5" x14ac:dyDescent="0.35">
      <c r="B908" s="110"/>
    </row>
    <row r="909" spans="2:2" ht="14.5" x14ac:dyDescent="0.35">
      <c r="B909" s="110"/>
    </row>
    <row r="910" spans="2:2" ht="14.5" x14ac:dyDescent="0.35">
      <c r="B910" s="110"/>
    </row>
    <row r="911" spans="2:2" ht="14.5" x14ac:dyDescent="0.35">
      <c r="B911" s="110"/>
    </row>
    <row r="912" spans="2:2" ht="14.5" x14ac:dyDescent="0.35">
      <c r="B912" s="110"/>
    </row>
    <row r="913" spans="2:2" ht="14.5" x14ac:dyDescent="0.35">
      <c r="B913" s="110"/>
    </row>
    <row r="914" spans="2:2" ht="14.5" x14ac:dyDescent="0.35">
      <c r="B914" s="110"/>
    </row>
    <row r="915" spans="2:2" ht="14.5" x14ac:dyDescent="0.35">
      <c r="B915" s="110"/>
    </row>
    <row r="916" spans="2:2" ht="14.5" x14ac:dyDescent="0.35">
      <c r="B916" s="110"/>
    </row>
    <row r="917" spans="2:2" ht="14.5" x14ac:dyDescent="0.35">
      <c r="B917" s="110"/>
    </row>
    <row r="918" spans="2:2" ht="14.5" x14ac:dyDescent="0.35">
      <c r="B918" s="110"/>
    </row>
    <row r="919" spans="2:2" ht="14.5" x14ac:dyDescent="0.35">
      <c r="B919" s="110"/>
    </row>
    <row r="920" spans="2:2" ht="14.5" x14ac:dyDescent="0.35">
      <c r="B920" s="110"/>
    </row>
    <row r="921" spans="2:2" ht="14.5" x14ac:dyDescent="0.35">
      <c r="B921" s="110"/>
    </row>
    <row r="922" spans="2:2" ht="14.5" x14ac:dyDescent="0.35">
      <c r="B922" s="110"/>
    </row>
    <row r="923" spans="2:2" ht="14.5" x14ac:dyDescent="0.35">
      <c r="B923" s="110"/>
    </row>
    <row r="924" spans="2:2" ht="14.5" x14ac:dyDescent="0.35">
      <c r="B924" s="110"/>
    </row>
    <row r="925" spans="2:2" ht="14.5" x14ac:dyDescent="0.35">
      <c r="B925" s="110"/>
    </row>
    <row r="926" spans="2:2" ht="14.5" x14ac:dyDescent="0.35">
      <c r="B926" s="110"/>
    </row>
    <row r="927" spans="2:2" ht="14.5" x14ac:dyDescent="0.35">
      <c r="B927" s="110"/>
    </row>
    <row r="928" spans="2:2" ht="14.5" x14ac:dyDescent="0.35">
      <c r="B928" s="110"/>
    </row>
    <row r="929" spans="2:2" ht="14.5" x14ac:dyDescent="0.35">
      <c r="B929" s="110"/>
    </row>
    <row r="930" spans="2:2" ht="14.5" x14ac:dyDescent="0.35">
      <c r="B930" s="110"/>
    </row>
    <row r="931" spans="2:2" ht="14.5" x14ac:dyDescent="0.35">
      <c r="B931" s="110"/>
    </row>
    <row r="932" spans="2:2" ht="14.5" x14ac:dyDescent="0.35">
      <c r="B932" s="110"/>
    </row>
    <row r="933" spans="2:2" ht="14.5" x14ac:dyDescent="0.35">
      <c r="B933" s="110"/>
    </row>
    <row r="934" spans="2:2" ht="14.5" x14ac:dyDescent="0.35">
      <c r="B934" s="110"/>
    </row>
    <row r="935" spans="2:2" ht="14.5" x14ac:dyDescent="0.35">
      <c r="B935" s="110"/>
    </row>
    <row r="936" spans="2:2" ht="14.5" x14ac:dyDescent="0.35">
      <c r="B936" s="110"/>
    </row>
    <row r="937" spans="2:2" ht="14.5" x14ac:dyDescent="0.35">
      <c r="B937" s="110"/>
    </row>
    <row r="938" spans="2:2" ht="14.5" x14ac:dyDescent="0.35">
      <c r="B938" s="110"/>
    </row>
    <row r="939" spans="2:2" ht="14.5" x14ac:dyDescent="0.35">
      <c r="B939" s="110"/>
    </row>
    <row r="940" spans="2:2" ht="14.5" x14ac:dyDescent="0.35">
      <c r="B940" s="110"/>
    </row>
    <row r="941" spans="2:2" ht="14.5" x14ac:dyDescent="0.35">
      <c r="B941" s="110"/>
    </row>
    <row r="942" spans="2:2" ht="14.5" x14ac:dyDescent="0.35">
      <c r="B942" s="110"/>
    </row>
    <row r="943" spans="2:2" ht="14.5" x14ac:dyDescent="0.35">
      <c r="B943" s="110"/>
    </row>
    <row r="944" spans="2:2" ht="14.5" x14ac:dyDescent="0.35">
      <c r="B944" s="110"/>
    </row>
    <row r="945" spans="2:2" ht="14.5" x14ac:dyDescent="0.35">
      <c r="B945" s="110"/>
    </row>
    <row r="946" spans="2:2" ht="14.5" x14ac:dyDescent="0.35">
      <c r="B946" s="110"/>
    </row>
    <row r="947" spans="2:2" ht="14.5" x14ac:dyDescent="0.35">
      <c r="B947" s="110"/>
    </row>
    <row r="948" spans="2:2" ht="14.5" x14ac:dyDescent="0.35">
      <c r="B948" s="110"/>
    </row>
    <row r="949" spans="2:2" ht="14.5" x14ac:dyDescent="0.35">
      <c r="B949" s="110"/>
    </row>
    <row r="950" spans="2:2" ht="14.5" x14ac:dyDescent="0.35">
      <c r="B950" s="110"/>
    </row>
    <row r="951" spans="2:2" ht="14.5" x14ac:dyDescent="0.35">
      <c r="B951" s="110"/>
    </row>
    <row r="952" spans="2:2" ht="14.5" x14ac:dyDescent="0.35">
      <c r="B952" s="110"/>
    </row>
    <row r="953" spans="2:2" ht="14.5" x14ac:dyDescent="0.35">
      <c r="B953" s="110"/>
    </row>
    <row r="954" spans="2:2" ht="14.5" x14ac:dyDescent="0.35">
      <c r="B954" s="110"/>
    </row>
    <row r="955" spans="2:2" ht="14.5" x14ac:dyDescent="0.35">
      <c r="B955" s="110"/>
    </row>
    <row r="956" spans="2:2" ht="14.5" x14ac:dyDescent="0.35">
      <c r="B956" s="110"/>
    </row>
    <row r="957" spans="2:2" ht="14.5" x14ac:dyDescent="0.35">
      <c r="B957" s="110"/>
    </row>
    <row r="958" spans="2:2" ht="14.5" x14ac:dyDescent="0.35">
      <c r="B958" s="110"/>
    </row>
    <row r="959" spans="2:2" ht="14.5" x14ac:dyDescent="0.35">
      <c r="B959" s="110"/>
    </row>
    <row r="960" spans="2:2" ht="14.5" x14ac:dyDescent="0.35">
      <c r="B960" s="110"/>
    </row>
    <row r="961" spans="2:2" ht="14.5" x14ac:dyDescent="0.35">
      <c r="B961" s="110"/>
    </row>
    <row r="962" spans="2:2" ht="14.5" x14ac:dyDescent="0.35">
      <c r="B962" s="110"/>
    </row>
    <row r="963" spans="2:2" ht="14.5" x14ac:dyDescent="0.35">
      <c r="B963" s="110"/>
    </row>
    <row r="964" spans="2:2" ht="14.5" x14ac:dyDescent="0.35">
      <c r="B964" s="110"/>
    </row>
    <row r="965" spans="2:2" ht="14.5" x14ac:dyDescent="0.35">
      <c r="B965" s="110"/>
    </row>
    <row r="966" spans="2:2" ht="14.5" x14ac:dyDescent="0.35">
      <c r="B966" s="110"/>
    </row>
    <row r="967" spans="2:2" ht="14.5" x14ac:dyDescent="0.35">
      <c r="B967" s="110"/>
    </row>
    <row r="968" spans="2:2" ht="14.5" x14ac:dyDescent="0.35">
      <c r="B968" s="110"/>
    </row>
    <row r="969" spans="2:2" ht="14.5" x14ac:dyDescent="0.35">
      <c r="B969" s="110"/>
    </row>
    <row r="970" spans="2:2" ht="14.5" x14ac:dyDescent="0.35">
      <c r="B970" s="110"/>
    </row>
    <row r="971" spans="2:2" ht="14.5" x14ac:dyDescent="0.35">
      <c r="B971" s="110"/>
    </row>
    <row r="972" spans="2:2" ht="14.5" x14ac:dyDescent="0.35">
      <c r="B972" s="110"/>
    </row>
    <row r="973" spans="2:2" ht="14.5" x14ac:dyDescent="0.35">
      <c r="B973" s="110"/>
    </row>
    <row r="974" spans="2:2" ht="14.5" x14ac:dyDescent="0.35">
      <c r="B974" s="110"/>
    </row>
    <row r="975" spans="2:2" ht="14.5" x14ac:dyDescent="0.35">
      <c r="B975" s="110"/>
    </row>
    <row r="976" spans="2:2" ht="14.5" x14ac:dyDescent="0.35">
      <c r="B976" s="110"/>
    </row>
    <row r="977" spans="2:2" ht="14.5" x14ac:dyDescent="0.35">
      <c r="B977" s="110"/>
    </row>
    <row r="978" spans="2:2" ht="14.5" x14ac:dyDescent="0.35">
      <c r="B978" s="110"/>
    </row>
    <row r="979" spans="2:2" ht="14.5" x14ac:dyDescent="0.35">
      <c r="B979" s="110"/>
    </row>
    <row r="980" spans="2:2" ht="14.5" x14ac:dyDescent="0.35">
      <c r="B980" s="110"/>
    </row>
    <row r="981" spans="2:2" ht="14.5" x14ac:dyDescent="0.35">
      <c r="B981" s="110"/>
    </row>
    <row r="982" spans="2:2" ht="14.5" x14ac:dyDescent="0.35">
      <c r="B982" s="110"/>
    </row>
    <row r="983" spans="2:2" ht="14.5" x14ac:dyDescent="0.35">
      <c r="B983" s="110"/>
    </row>
    <row r="984" spans="2:2" ht="14.5" x14ac:dyDescent="0.35">
      <c r="B984" s="110"/>
    </row>
    <row r="985" spans="2:2" ht="14.5" x14ac:dyDescent="0.35">
      <c r="B985" s="110"/>
    </row>
    <row r="986" spans="2:2" ht="14.5" x14ac:dyDescent="0.35">
      <c r="B986" s="110"/>
    </row>
    <row r="987" spans="2:2" ht="14.5" x14ac:dyDescent="0.35">
      <c r="B987" s="110"/>
    </row>
    <row r="988" spans="2:2" ht="14.5" x14ac:dyDescent="0.35">
      <c r="B988" s="110"/>
    </row>
    <row r="989" spans="2:2" ht="14.5" x14ac:dyDescent="0.35">
      <c r="B989" s="110"/>
    </row>
    <row r="990" spans="2:2" ht="14.5" x14ac:dyDescent="0.35">
      <c r="B990" s="110"/>
    </row>
    <row r="991" spans="2:2" ht="14.5" x14ac:dyDescent="0.35">
      <c r="B991" s="110"/>
    </row>
    <row r="992" spans="2:2" ht="14.5" x14ac:dyDescent="0.35">
      <c r="B992" s="110"/>
    </row>
    <row r="993" spans="2:2" ht="14.5" x14ac:dyDescent="0.35">
      <c r="B993" s="110"/>
    </row>
    <row r="994" spans="2:2" ht="14.5" x14ac:dyDescent="0.35">
      <c r="B994" s="110"/>
    </row>
    <row r="995" spans="2:2" ht="14.5" x14ac:dyDescent="0.35">
      <c r="B995" s="110"/>
    </row>
    <row r="996" spans="2:2" ht="14.5" x14ac:dyDescent="0.35">
      <c r="B996" s="110"/>
    </row>
    <row r="997" spans="2:2" ht="14.5" x14ac:dyDescent="0.35">
      <c r="B997" s="110"/>
    </row>
    <row r="998" spans="2:2" ht="14.5" x14ac:dyDescent="0.35">
      <c r="B998" s="110"/>
    </row>
    <row r="999" spans="2:2" ht="14.5" x14ac:dyDescent="0.35">
      <c r="B999" s="110"/>
    </row>
    <row r="1000" spans="2:2" ht="14.5" x14ac:dyDescent="0.35">
      <c r="B1000" s="110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F999"/>
  <sheetViews>
    <sheetView tabSelected="1" workbookViewId="0">
      <selection activeCell="E11" sqref="E11"/>
    </sheetView>
  </sheetViews>
  <sheetFormatPr defaultColWidth="12.6328125" defaultRowHeight="15.75" customHeight="1" x14ac:dyDescent="0.25"/>
  <cols>
    <col min="3" max="3" width="36.26953125" customWidth="1"/>
    <col min="5" max="5" width="14" bestFit="1" customWidth="1"/>
    <col min="6" max="6" width="13.7265625" customWidth="1"/>
  </cols>
  <sheetData>
    <row r="1" spans="1:6" ht="15.75" customHeight="1" x14ac:dyDescent="0.25">
      <c r="A1" s="65" t="s">
        <v>1977</v>
      </c>
      <c r="B1" s="65" t="s">
        <v>1983</v>
      </c>
      <c r="C1" s="65" t="s">
        <v>3</v>
      </c>
      <c r="D1" s="65" t="s">
        <v>1</v>
      </c>
      <c r="E1" s="65" t="s">
        <v>5</v>
      </c>
      <c r="F1" s="65" t="s">
        <v>2055</v>
      </c>
    </row>
    <row r="2" spans="1:6" ht="15.75" customHeight="1" x14ac:dyDescent="0.25">
      <c r="A2" s="65">
        <v>1</v>
      </c>
      <c r="B2" s="65">
        <v>69950015</v>
      </c>
      <c r="C2" s="65" t="s">
        <v>1719</v>
      </c>
      <c r="D2" s="65" t="s">
        <v>1573</v>
      </c>
      <c r="E2" s="65">
        <v>356</v>
      </c>
      <c r="F2" s="94">
        <v>669280000</v>
      </c>
    </row>
    <row r="3" spans="1:6" ht="15.75" customHeight="1" x14ac:dyDescent="0.25">
      <c r="A3" s="65">
        <v>2</v>
      </c>
      <c r="B3" s="65">
        <v>30404461</v>
      </c>
      <c r="C3" s="65" t="s">
        <v>1767</v>
      </c>
      <c r="D3" s="65" t="s">
        <v>1573</v>
      </c>
      <c r="E3" s="65">
        <v>313</v>
      </c>
      <c r="F3" s="94">
        <v>588440000</v>
      </c>
    </row>
    <row r="4" spans="1:6" ht="15.75" customHeight="1" x14ac:dyDescent="0.25">
      <c r="A4" s="65">
        <v>3</v>
      </c>
      <c r="B4" s="65">
        <v>30404179</v>
      </c>
      <c r="C4" s="65" t="s">
        <v>1814</v>
      </c>
      <c r="D4" s="65" t="s">
        <v>1573</v>
      </c>
      <c r="E4" s="65">
        <v>295</v>
      </c>
      <c r="F4" s="94">
        <v>554600000</v>
      </c>
    </row>
    <row r="5" spans="1:6" ht="15.75" customHeight="1" x14ac:dyDescent="0.25">
      <c r="A5" s="65">
        <v>4</v>
      </c>
      <c r="B5" s="65">
        <v>69991845</v>
      </c>
      <c r="C5" s="65" t="s">
        <v>1729</v>
      </c>
      <c r="D5" s="65" t="s">
        <v>1573</v>
      </c>
      <c r="E5" s="65">
        <v>27</v>
      </c>
      <c r="F5" s="94">
        <v>50760000</v>
      </c>
    </row>
    <row r="6" spans="1:6" ht="15.75" customHeight="1" x14ac:dyDescent="0.25">
      <c r="A6" s="65">
        <v>5</v>
      </c>
      <c r="B6" s="65">
        <v>30404269</v>
      </c>
      <c r="C6" s="65" t="s">
        <v>1791</v>
      </c>
      <c r="D6" s="65" t="s">
        <v>1573</v>
      </c>
      <c r="E6" s="65">
        <v>155</v>
      </c>
      <c r="F6" s="94">
        <v>291400000</v>
      </c>
    </row>
    <row r="7" spans="1:6" ht="15.75" customHeight="1" x14ac:dyDescent="0.25">
      <c r="A7" s="65">
        <v>6</v>
      </c>
      <c r="B7" s="65">
        <v>30403013</v>
      </c>
      <c r="C7" s="65" t="s">
        <v>1819</v>
      </c>
      <c r="D7" s="65" t="s">
        <v>1573</v>
      </c>
      <c r="E7" s="65">
        <v>247</v>
      </c>
      <c r="F7" s="94">
        <v>464360000</v>
      </c>
    </row>
    <row r="8" spans="1:6" ht="15.75" customHeight="1" x14ac:dyDescent="0.25">
      <c r="A8" s="65">
        <v>7</v>
      </c>
      <c r="B8" s="65">
        <v>30404270</v>
      </c>
      <c r="C8" s="65" t="s">
        <v>1804</v>
      </c>
      <c r="D8" s="65" t="s">
        <v>1573</v>
      </c>
      <c r="E8" s="65">
        <v>245</v>
      </c>
      <c r="F8" s="94">
        <v>460600000</v>
      </c>
    </row>
    <row r="9" spans="1:6" ht="15.75" customHeight="1" x14ac:dyDescent="0.25">
      <c r="A9" s="65">
        <v>8</v>
      </c>
      <c r="B9" s="65">
        <v>30404266</v>
      </c>
      <c r="C9" s="65" t="s">
        <v>1786</v>
      </c>
      <c r="D9" s="65" t="s">
        <v>1573</v>
      </c>
      <c r="E9" s="65">
        <v>42</v>
      </c>
      <c r="F9" s="94">
        <v>78960000</v>
      </c>
    </row>
    <row r="10" spans="1:6" ht="15.75" customHeight="1" x14ac:dyDescent="0.25">
      <c r="A10" s="65">
        <v>9</v>
      </c>
      <c r="B10" s="65">
        <v>69948500</v>
      </c>
      <c r="C10" s="65" t="s">
        <v>1709</v>
      </c>
      <c r="D10" s="65" t="s">
        <v>1573</v>
      </c>
      <c r="E10" s="65">
        <v>264</v>
      </c>
      <c r="F10" s="94">
        <v>496320000</v>
      </c>
    </row>
    <row r="11" spans="1:6" ht="15.75" customHeight="1" x14ac:dyDescent="0.25">
      <c r="A11" s="65">
        <v>10</v>
      </c>
      <c r="B11" s="65">
        <v>69774826</v>
      </c>
      <c r="C11" s="65" t="s">
        <v>1798</v>
      </c>
      <c r="D11" s="65" t="s">
        <v>1573</v>
      </c>
      <c r="E11" s="65">
        <v>96</v>
      </c>
      <c r="F11" s="94">
        <v>180480000</v>
      </c>
    </row>
    <row r="12" spans="1:6" ht="15.75" customHeight="1" x14ac:dyDescent="0.25">
      <c r="A12" s="65">
        <v>11</v>
      </c>
      <c r="B12" s="65">
        <v>30401063</v>
      </c>
      <c r="C12" s="65" t="s">
        <v>1774</v>
      </c>
      <c r="D12" s="65" t="s">
        <v>1573</v>
      </c>
      <c r="E12" s="65">
        <v>338</v>
      </c>
      <c r="F12" s="94">
        <v>635440000</v>
      </c>
    </row>
    <row r="13" spans="1:6" ht="15.75" customHeight="1" x14ac:dyDescent="0.25">
      <c r="A13" s="65">
        <v>12</v>
      </c>
      <c r="B13" s="65">
        <v>30404265</v>
      </c>
      <c r="C13" s="65" t="s">
        <v>1781</v>
      </c>
      <c r="D13" s="65" t="s">
        <v>1573</v>
      </c>
      <c r="E13" s="65">
        <v>51</v>
      </c>
      <c r="F13" s="94">
        <v>95880000</v>
      </c>
    </row>
    <row r="14" spans="1:6" ht="15.75" customHeight="1" x14ac:dyDescent="0.25">
      <c r="A14" s="65">
        <v>13</v>
      </c>
      <c r="B14" s="65">
        <v>69984752</v>
      </c>
      <c r="C14" s="65" t="s">
        <v>1725</v>
      </c>
      <c r="D14" s="65" t="s">
        <v>1573</v>
      </c>
      <c r="E14" s="65">
        <v>216</v>
      </c>
      <c r="F14" s="94">
        <v>406080000</v>
      </c>
    </row>
    <row r="15" spans="1:6" ht="15.75" customHeight="1" x14ac:dyDescent="0.25">
      <c r="A15" s="65">
        <v>14</v>
      </c>
      <c r="B15" s="65">
        <v>30403011</v>
      </c>
      <c r="C15" s="65" t="s">
        <v>1809</v>
      </c>
      <c r="D15" s="65" t="s">
        <v>1573</v>
      </c>
      <c r="E15" s="65">
        <v>502</v>
      </c>
      <c r="F15" s="94">
        <v>943760000</v>
      </c>
    </row>
    <row r="16" spans="1:6" ht="15.75" customHeight="1" x14ac:dyDescent="0.25">
      <c r="A16" s="65">
        <v>15</v>
      </c>
      <c r="B16" s="65">
        <v>30404598</v>
      </c>
      <c r="C16" s="65" t="s">
        <v>1826</v>
      </c>
      <c r="D16" s="65" t="s">
        <v>1573</v>
      </c>
      <c r="E16" s="65">
        <v>52</v>
      </c>
      <c r="F16" s="94">
        <v>97760000</v>
      </c>
    </row>
    <row r="17" spans="1:6" ht="15.75" customHeight="1" x14ac:dyDescent="0.25">
      <c r="A17" s="65">
        <v>16</v>
      </c>
      <c r="B17" s="65">
        <v>30404178</v>
      </c>
      <c r="C17" s="65" t="s">
        <v>1757</v>
      </c>
      <c r="D17" s="65" t="s">
        <v>1573</v>
      </c>
      <c r="E17" s="65">
        <v>19</v>
      </c>
      <c r="F17" s="94">
        <v>35720000</v>
      </c>
    </row>
    <row r="18" spans="1:6" ht="15.75" customHeight="1" x14ac:dyDescent="0.25">
      <c r="A18" s="65">
        <v>17</v>
      </c>
      <c r="B18" s="65">
        <v>69948015</v>
      </c>
      <c r="C18" s="65" t="s">
        <v>1739</v>
      </c>
      <c r="D18" s="65" t="s">
        <v>1573</v>
      </c>
      <c r="E18" s="65">
        <v>60</v>
      </c>
      <c r="F18" s="94">
        <v>112800000</v>
      </c>
    </row>
    <row r="19" spans="1:6" ht="15.75" customHeight="1" x14ac:dyDescent="0.25">
      <c r="A19" s="65">
        <v>18</v>
      </c>
      <c r="B19" s="65">
        <v>70007239</v>
      </c>
      <c r="C19" s="65" t="s">
        <v>1714</v>
      </c>
      <c r="D19" s="65" t="s">
        <v>1573</v>
      </c>
      <c r="E19" s="65">
        <v>115</v>
      </c>
      <c r="F19" s="94">
        <v>216200000</v>
      </c>
    </row>
    <row r="20" spans="1:6" ht="15.75" customHeight="1" x14ac:dyDescent="0.25">
      <c r="A20" s="65">
        <v>19</v>
      </c>
      <c r="B20" s="65">
        <v>69978141</v>
      </c>
      <c r="C20" s="65" t="s">
        <v>1745</v>
      </c>
      <c r="D20" s="65" t="s">
        <v>1573</v>
      </c>
      <c r="E20" s="65">
        <v>71</v>
      </c>
      <c r="F20" s="94">
        <v>133480000</v>
      </c>
    </row>
    <row r="21" spans="1:6" ht="15.75" customHeight="1" x14ac:dyDescent="0.25">
      <c r="A21" s="65">
        <v>20</v>
      </c>
      <c r="B21" s="65">
        <v>30404264</v>
      </c>
      <c r="C21" s="65" t="s">
        <v>1751</v>
      </c>
      <c r="D21" s="65" t="s">
        <v>1573</v>
      </c>
      <c r="E21" s="65">
        <v>63</v>
      </c>
      <c r="F21" s="94">
        <v>118440000</v>
      </c>
    </row>
    <row r="22" spans="1:6" ht="15.75" customHeight="1" x14ac:dyDescent="0.25">
      <c r="A22" s="65">
        <v>21</v>
      </c>
      <c r="B22" s="65">
        <v>70028531</v>
      </c>
      <c r="C22" s="65" t="s">
        <v>1734</v>
      </c>
      <c r="D22" s="65" t="s">
        <v>1573</v>
      </c>
      <c r="E22" s="65">
        <v>82</v>
      </c>
      <c r="F22" s="94">
        <v>154160000</v>
      </c>
    </row>
    <row r="23" spans="1:6" ht="15.75" customHeight="1" x14ac:dyDescent="0.25">
      <c r="A23" s="65">
        <v>22</v>
      </c>
      <c r="B23" s="65">
        <v>30401062</v>
      </c>
      <c r="C23" s="65" t="s">
        <v>1762</v>
      </c>
      <c r="D23" s="65" t="s">
        <v>1573</v>
      </c>
      <c r="E23" s="65">
        <v>11</v>
      </c>
      <c r="F23" s="94">
        <v>20680000</v>
      </c>
    </row>
    <row r="24" spans="1:6" ht="15.75" customHeight="1" x14ac:dyDescent="0.25">
      <c r="A24" s="65">
        <v>23</v>
      </c>
      <c r="B24" s="65">
        <v>69766189</v>
      </c>
      <c r="C24" s="65" t="s">
        <v>550</v>
      </c>
      <c r="D24" s="65" t="s">
        <v>494</v>
      </c>
      <c r="E24" s="65">
        <v>330</v>
      </c>
      <c r="F24" s="94">
        <v>630300000</v>
      </c>
    </row>
    <row r="25" spans="1:6" ht="15.75" customHeight="1" x14ac:dyDescent="0.25">
      <c r="A25" s="65">
        <v>24</v>
      </c>
      <c r="B25" s="65">
        <v>30401828</v>
      </c>
      <c r="C25" s="65" t="s">
        <v>545</v>
      </c>
      <c r="D25" s="65" t="s">
        <v>494</v>
      </c>
      <c r="E25" s="65">
        <v>258</v>
      </c>
      <c r="F25" s="94">
        <v>492780000</v>
      </c>
    </row>
    <row r="26" spans="1:6" ht="15.75" customHeight="1" x14ac:dyDescent="0.25">
      <c r="A26" s="65">
        <v>25</v>
      </c>
      <c r="B26" s="65">
        <v>30401830</v>
      </c>
      <c r="C26" s="65" t="s">
        <v>535</v>
      </c>
      <c r="D26" s="65" t="s">
        <v>494</v>
      </c>
      <c r="E26" s="65">
        <v>262</v>
      </c>
      <c r="F26" s="94">
        <v>500420000</v>
      </c>
    </row>
    <row r="27" spans="1:6" ht="15.75" customHeight="1" x14ac:dyDescent="0.25">
      <c r="A27" s="65">
        <v>26</v>
      </c>
      <c r="B27" s="65">
        <v>30401808</v>
      </c>
      <c r="C27" s="65" t="s">
        <v>573</v>
      </c>
      <c r="D27" s="65" t="s">
        <v>494</v>
      </c>
      <c r="E27" s="65">
        <v>35</v>
      </c>
      <c r="F27" s="94">
        <v>66850000</v>
      </c>
    </row>
    <row r="28" spans="1:6" ht="15.75" customHeight="1" x14ac:dyDescent="0.25">
      <c r="A28" s="65">
        <v>27</v>
      </c>
      <c r="B28" s="65">
        <v>30401787</v>
      </c>
      <c r="C28" s="65" t="s">
        <v>562</v>
      </c>
      <c r="D28" s="65" t="s">
        <v>494</v>
      </c>
      <c r="E28" s="65">
        <v>373</v>
      </c>
      <c r="F28" s="94">
        <v>712430000</v>
      </c>
    </row>
    <row r="29" spans="1:6" ht="15.75" customHeight="1" x14ac:dyDescent="0.25">
      <c r="A29" s="65">
        <v>28</v>
      </c>
      <c r="B29" s="65">
        <v>30401809</v>
      </c>
      <c r="C29" s="65" t="s">
        <v>567</v>
      </c>
      <c r="D29" s="65" t="s">
        <v>494</v>
      </c>
      <c r="E29" s="65">
        <v>677</v>
      </c>
      <c r="F29" s="94">
        <v>1293070000</v>
      </c>
    </row>
    <row r="30" spans="1:6" ht="15.75" customHeight="1" x14ac:dyDescent="0.25">
      <c r="A30" s="65">
        <v>29</v>
      </c>
      <c r="B30" s="65">
        <v>30401780</v>
      </c>
      <c r="C30" s="65" t="s">
        <v>557</v>
      </c>
      <c r="D30" s="65" t="s">
        <v>494</v>
      </c>
      <c r="E30" s="65">
        <v>30</v>
      </c>
      <c r="F30" s="94">
        <v>57300000</v>
      </c>
    </row>
    <row r="31" spans="1:6" ht="15.75" customHeight="1" x14ac:dyDescent="0.25">
      <c r="A31" s="65">
        <v>30</v>
      </c>
      <c r="B31" s="65">
        <v>30401829</v>
      </c>
      <c r="C31" s="65" t="s">
        <v>539</v>
      </c>
      <c r="D31" s="65" t="s">
        <v>494</v>
      </c>
      <c r="E31" s="65">
        <v>179</v>
      </c>
      <c r="F31" s="94">
        <v>341890000</v>
      </c>
    </row>
    <row r="32" spans="1:6" ht="15.75" customHeight="1" x14ac:dyDescent="0.25">
      <c r="A32" s="65">
        <v>31</v>
      </c>
      <c r="B32" s="65">
        <v>69901305</v>
      </c>
      <c r="C32" s="65" t="s">
        <v>180</v>
      </c>
      <c r="D32" s="65" t="s">
        <v>95</v>
      </c>
      <c r="E32" s="65">
        <v>240</v>
      </c>
      <c r="F32" s="94">
        <v>439200000</v>
      </c>
    </row>
    <row r="33" spans="1:6" ht="15.75" customHeight="1" x14ac:dyDescent="0.25">
      <c r="A33" s="65">
        <v>32</v>
      </c>
      <c r="B33" s="65">
        <v>30401409</v>
      </c>
      <c r="C33" s="65" t="s">
        <v>214</v>
      </c>
      <c r="D33" s="65" t="s">
        <v>95</v>
      </c>
      <c r="E33" s="65">
        <v>110</v>
      </c>
      <c r="F33" s="94">
        <v>201300000</v>
      </c>
    </row>
    <row r="34" spans="1:6" ht="15.75" customHeight="1" x14ac:dyDescent="0.25">
      <c r="A34" s="65">
        <v>33</v>
      </c>
      <c r="B34" s="65">
        <v>30401501</v>
      </c>
      <c r="C34" s="65" t="s">
        <v>136</v>
      </c>
      <c r="D34" s="65" t="s">
        <v>95</v>
      </c>
      <c r="E34" s="65">
        <v>418</v>
      </c>
      <c r="F34" s="94">
        <v>764940000</v>
      </c>
    </row>
    <row r="35" spans="1:6" ht="12.5" x14ac:dyDescent="0.25">
      <c r="A35" s="65">
        <v>34</v>
      </c>
      <c r="B35" s="65">
        <v>70010866</v>
      </c>
      <c r="C35" s="65" t="s">
        <v>205</v>
      </c>
      <c r="D35" s="65" t="s">
        <v>95</v>
      </c>
      <c r="E35" s="65">
        <v>174</v>
      </c>
      <c r="F35" s="94">
        <v>318420000</v>
      </c>
    </row>
    <row r="36" spans="1:6" ht="12.5" x14ac:dyDescent="0.25">
      <c r="A36" s="65">
        <v>35</v>
      </c>
      <c r="B36" s="65">
        <v>30401500</v>
      </c>
      <c r="C36" s="65" t="s">
        <v>224</v>
      </c>
      <c r="D36" s="65" t="s">
        <v>95</v>
      </c>
      <c r="E36" s="65">
        <v>183</v>
      </c>
      <c r="F36" s="94">
        <v>334890000</v>
      </c>
    </row>
    <row r="37" spans="1:6" ht="12.5" x14ac:dyDescent="0.25">
      <c r="A37" s="65">
        <v>36</v>
      </c>
      <c r="B37" s="65">
        <v>30401496</v>
      </c>
      <c r="C37" s="65" t="s">
        <v>241</v>
      </c>
      <c r="D37" s="65" t="s">
        <v>95</v>
      </c>
      <c r="E37" s="65">
        <v>400</v>
      </c>
      <c r="F37" s="94">
        <v>732000000</v>
      </c>
    </row>
    <row r="38" spans="1:6" ht="12.5" x14ac:dyDescent="0.25">
      <c r="A38" s="65">
        <v>37</v>
      </c>
      <c r="B38" s="65">
        <v>69974739</v>
      </c>
      <c r="C38" s="65" t="s">
        <v>210</v>
      </c>
      <c r="D38" s="65" t="s">
        <v>95</v>
      </c>
      <c r="E38" s="65">
        <v>156</v>
      </c>
      <c r="F38" s="94">
        <v>285480000</v>
      </c>
    </row>
    <row r="39" spans="1:6" ht="12.5" x14ac:dyDescent="0.25">
      <c r="A39" s="65">
        <v>38</v>
      </c>
      <c r="B39" s="65">
        <v>69974737</v>
      </c>
      <c r="C39" s="65" t="s">
        <v>192</v>
      </c>
      <c r="D39" s="65" t="s">
        <v>95</v>
      </c>
      <c r="E39" s="65">
        <v>99</v>
      </c>
      <c r="F39" s="94">
        <v>181170000</v>
      </c>
    </row>
    <row r="40" spans="1:6" ht="12.5" x14ac:dyDescent="0.25">
      <c r="A40" s="65">
        <v>39</v>
      </c>
      <c r="B40" s="65">
        <v>30401498</v>
      </c>
      <c r="C40" s="65" t="s">
        <v>196</v>
      </c>
      <c r="D40" s="65" t="s">
        <v>95</v>
      </c>
      <c r="E40" s="65">
        <v>371</v>
      </c>
      <c r="F40" s="94">
        <v>678930000</v>
      </c>
    </row>
    <row r="41" spans="1:6" ht="12.5" x14ac:dyDescent="0.25">
      <c r="A41" s="65">
        <v>40</v>
      </c>
      <c r="B41" s="65">
        <v>69987671</v>
      </c>
      <c r="C41" s="65" t="s">
        <v>175</v>
      </c>
      <c r="D41" s="65" t="s">
        <v>95</v>
      </c>
      <c r="E41" s="65">
        <v>58</v>
      </c>
      <c r="F41" s="94">
        <v>106140000</v>
      </c>
    </row>
    <row r="42" spans="1:6" ht="12.5" x14ac:dyDescent="0.25">
      <c r="A42" s="65">
        <v>41</v>
      </c>
      <c r="B42" s="65">
        <v>30401497</v>
      </c>
      <c r="C42" s="65" t="s">
        <v>236</v>
      </c>
      <c r="D42" s="65" t="s">
        <v>95</v>
      </c>
      <c r="E42" s="65">
        <v>199</v>
      </c>
      <c r="F42" s="94">
        <v>364170000</v>
      </c>
    </row>
    <row r="43" spans="1:6" ht="12.5" x14ac:dyDescent="0.25">
      <c r="A43" s="65">
        <v>42</v>
      </c>
      <c r="B43" s="65">
        <v>70048473</v>
      </c>
      <c r="C43" s="65" t="s">
        <v>170</v>
      </c>
      <c r="D43" s="65" t="s">
        <v>95</v>
      </c>
      <c r="E43" s="65">
        <v>50</v>
      </c>
      <c r="F43" s="94">
        <v>91500000</v>
      </c>
    </row>
    <row r="44" spans="1:6" ht="12.5" x14ac:dyDescent="0.25">
      <c r="A44" s="65">
        <v>43</v>
      </c>
      <c r="B44" s="65">
        <v>70046800</v>
      </c>
      <c r="C44" s="65" t="s">
        <v>187</v>
      </c>
      <c r="D44" s="65" t="s">
        <v>95</v>
      </c>
      <c r="E44" s="65">
        <v>45</v>
      </c>
      <c r="F44" s="94">
        <v>82350000</v>
      </c>
    </row>
    <row r="45" spans="1:6" ht="12.5" x14ac:dyDescent="0.25">
      <c r="A45" s="65">
        <v>44</v>
      </c>
      <c r="B45" s="65">
        <v>30401499</v>
      </c>
      <c r="C45" s="65" t="s">
        <v>232</v>
      </c>
      <c r="D45" s="65" t="s">
        <v>95</v>
      </c>
      <c r="E45" s="65">
        <v>50</v>
      </c>
      <c r="F45" s="94">
        <v>91500000</v>
      </c>
    </row>
    <row r="46" spans="1:6" ht="12.5" x14ac:dyDescent="0.25">
      <c r="A46" s="65">
        <v>45</v>
      </c>
      <c r="B46" s="65">
        <v>30401493</v>
      </c>
      <c r="C46" s="65" t="s">
        <v>247</v>
      </c>
      <c r="D46" s="65" t="s">
        <v>95</v>
      </c>
      <c r="E46" s="65">
        <v>106</v>
      </c>
      <c r="F46" s="94">
        <v>193980000</v>
      </c>
    </row>
    <row r="47" spans="1:6" ht="12.5" x14ac:dyDescent="0.25">
      <c r="A47" s="65">
        <v>46</v>
      </c>
      <c r="B47" s="65">
        <v>70028641</v>
      </c>
      <c r="C47" s="65" t="s">
        <v>201</v>
      </c>
      <c r="D47" s="65" t="s">
        <v>95</v>
      </c>
      <c r="E47" s="65">
        <v>223</v>
      </c>
      <c r="F47" s="94">
        <v>408090000</v>
      </c>
    </row>
    <row r="48" spans="1:6" ht="12.5" x14ac:dyDescent="0.25">
      <c r="A48" s="65">
        <v>47</v>
      </c>
      <c r="B48" s="65">
        <v>30402919</v>
      </c>
      <c r="C48" s="65" t="s">
        <v>219</v>
      </c>
      <c r="D48" s="65" t="s">
        <v>95</v>
      </c>
      <c r="E48" s="65">
        <v>64</v>
      </c>
      <c r="F48" s="94">
        <v>117120000</v>
      </c>
    </row>
    <row r="49" spans="1:6" ht="12.5" x14ac:dyDescent="0.25">
      <c r="A49" s="65">
        <v>48</v>
      </c>
      <c r="B49" s="65">
        <v>30402081</v>
      </c>
      <c r="C49" s="65" t="s">
        <v>1539</v>
      </c>
      <c r="D49" s="65" t="s">
        <v>1485</v>
      </c>
      <c r="E49" s="65">
        <v>275</v>
      </c>
      <c r="F49" s="94">
        <v>511500000</v>
      </c>
    </row>
    <row r="50" spans="1:6" ht="12.5" x14ac:dyDescent="0.25">
      <c r="A50" s="65">
        <v>49</v>
      </c>
      <c r="B50" s="65">
        <v>70006956</v>
      </c>
      <c r="C50" s="65" t="s">
        <v>1534</v>
      </c>
      <c r="D50" s="65" t="s">
        <v>1485</v>
      </c>
      <c r="E50" s="65">
        <v>55</v>
      </c>
      <c r="F50" s="94">
        <v>102300000</v>
      </c>
    </row>
    <row r="51" spans="1:6" ht="12.5" x14ac:dyDescent="0.25">
      <c r="A51" s="65">
        <v>50</v>
      </c>
      <c r="B51" s="65">
        <v>70004669</v>
      </c>
      <c r="C51" s="65" t="s">
        <v>1530</v>
      </c>
      <c r="D51" s="65" t="s">
        <v>1485</v>
      </c>
      <c r="E51" s="65">
        <v>37</v>
      </c>
      <c r="F51" s="94">
        <v>68820000</v>
      </c>
    </row>
    <row r="52" spans="1:6" ht="12.5" x14ac:dyDescent="0.25">
      <c r="A52" s="65">
        <v>51</v>
      </c>
      <c r="B52" s="65">
        <v>69984683</v>
      </c>
      <c r="C52" s="65" t="s">
        <v>1427</v>
      </c>
      <c r="D52" s="65" t="s">
        <v>1320</v>
      </c>
      <c r="E52" s="65">
        <v>61</v>
      </c>
      <c r="F52" s="94">
        <v>111020000</v>
      </c>
    </row>
    <row r="53" spans="1:6" ht="12.5" x14ac:dyDescent="0.25">
      <c r="A53" s="65">
        <v>52</v>
      </c>
      <c r="B53" s="65">
        <v>30407371</v>
      </c>
      <c r="C53" s="65" t="s">
        <v>1434</v>
      </c>
      <c r="D53" s="65" t="s">
        <v>1320</v>
      </c>
      <c r="E53" s="65">
        <v>37</v>
      </c>
      <c r="F53" s="94">
        <v>67340000</v>
      </c>
    </row>
    <row r="54" spans="1:6" ht="12.5" x14ac:dyDescent="0.25">
      <c r="A54" s="65">
        <v>53</v>
      </c>
      <c r="B54" s="65">
        <v>30400178</v>
      </c>
      <c r="C54" s="65" t="s">
        <v>1441</v>
      </c>
      <c r="D54" s="65" t="s">
        <v>1320</v>
      </c>
      <c r="E54" s="65">
        <v>218</v>
      </c>
      <c r="F54" s="94">
        <v>396760000</v>
      </c>
    </row>
    <row r="55" spans="1:6" ht="12.5" x14ac:dyDescent="0.25">
      <c r="A55" s="65">
        <v>54</v>
      </c>
      <c r="B55" s="65">
        <v>69944364</v>
      </c>
      <c r="C55" s="65" t="s">
        <v>175</v>
      </c>
      <c r="D55" s="65" t="s">
        <v>1320</v>
      </c>
      <c r="E55" s="65">
        <v>79</v>
      </c>
      <c r="F55" s="94">
        <v>143780000</v>
      </c>
    </row>
    <row r="56" spans="1:6" ht="12.5" x14ac:dyDescent="0.25">
      <c r="A56" s="65">
        <v>55</v>
      </c>
      <c r="B56" s="65">
        <v>30400578</v>
      </c>
      <c r="C56" s="65" t="s">
        <v>1298</v>
      </c>
      <c r="D56" s="65" t="s">
        <v>1296</v>
      </c>
      <c r="E56" s="65">
        <v>17</v>
      </c>
      <c r="F56" s="94">
        <v>28560000</v>
      </c>
    </row>
    <row r="57" spans="1:6" ht="12.5" x14ac:dyDescent="0.25">
      <c r="A57" s="65">
        <v>56</v>
      </c>
      <c r="B57" s="65">
        <v>30402379</v>
      </c>
      <c r="C57" s="65" t="s">
        <v>1304</v>
      </c>
      <c r="D57" s="65" t="s">
        <v>1296</v>
      </c>
      <c r="E57" s="65">
        <v>16</v>
      </c>
      <c r="F57" s="94">
        <v>26880000</v>
      </c>
    </row>
    <row r="58" spans="1:6" ht="12.5" x14ac:dyDescent="0.25">
      <c r="A58" s="65">
        <v>57</v>
      </c>
      <c r="B58" s="65">
        <v>70027332</v>
      </c>
      <c r="C58" s="65" t="s">
        <v>1204</v>
      </c>
      <c r="D58" s="65" t="s">
        <v>1132</v>
      </c>
      <c r="E58" s="65">
        <v>120</v>
      </c>
      <c r="F58" s="94">
        <v>205200000</v>
      </c>
    </row>
    <row r="59" spans="1:6" ht="12.5" x14ac:dyDescent="0.25">
      <c r="A59" s="65">
        <v>58</v>
      </c>
      <c r="B59" s="65">
        <v>70040356</v>
      </c>
      <c r="C59" s="65" t="s">
        <v>1210</v>
      </c>
      <c r="D59" s="65" t="s">
        <v>1132</v>
      </c>
      <c r="E59" s="65">
        <v>411</v>
      </c>
      <c r="F59" s="94">
        <v>702810000</v>
      </c>
    </row>
    <row r="60" spans="1:6" ht="12.5" x14ac:dyDescent="0.25">
      <c r="A60" s="65">
        <v>59</v>
      </c>
      <c r="B60" s="65">
        <v>30404429</v>
      </c>
      <c r="C60" s="65" t="s">
        <v>1217</v>
      </c>
      <c r="D60" s="65" t="s">
        <v>1132</v>
      </c>
      <c r="E60" s="65">
        <v>153</v>
      </c>
      <c r="F60" s="94">
        <v>261630000</v>
      </c>
    </row>
    <row r="61" spans="1:6" ht="12.5" x14ac:dyDescent="0.25">
      <c r="A61" s="65">
        <v>60</v>
      </c>
      <c r="B61" s="65">
        <v>70042390</v>
      </c>
      <c r="C61" s="65" t="s">
        <v>1196</v>
      </c>
      <c r="D61" s="65" t="s">
        <v>1132</v>
      </c>
      <c r="E61" s="65">
        <v>112</v>
      </c>
      <c r="F61" s="94">
        <v>191520000</v>
      </c>
    </row>
    <row r="62" spans="1:6" ht="12.5" x14ac:dyDescent="0.25">
      <c r="A62" s="65">
        <v>61</v>
      </c>
      <c r="B62" s="65">
        <v>69860790</v>
      </c>
      <c r="C62" s="65" t="s">
        <v>929</v>
      </c>
      <c r="D62" s="65" t="s">
        <v>731</v>
      </c>
      <c r="E62" s="65">
        <v>57</v>
      </c>
      <c r="F62" s="94">
        <v>100320000</v>
      </c>
    </row>
    <row r="63" spans="1:6" ht="12.5" x14ac:dyDescent="0.25">
      <c r="A63" s="65">
        <v>62</v>
      </c>
      <c r="B63" s="65">
        <v>69769393</v>
      </c>
      <c r="C63" s="65" t="s">
        <v>934</v>
      </c>
      <c r="D63" s="65" t="s">
        <v>731</v>
      </c>
      <c r="E63" s="65">
        <v>97</v>
      </c>
      <c r="F63" s="94">
        <v>170720000</v>
      </c>
    </row>
    <row r="64" spans="1:6" ht="12.5" x14ac:dyDescent="0.25">
      <c r="A64" s="65">
        <v>63</v>
      </c>
      <c r="B64" s="65">
        <v>30400323</v>
      </c>
      <c r="C64" s="65" t="s">
        <v>946</v>
      </c>
      <c r="D64" s="65" t="s">
        <v>731</v>
      </c>
      <c r="E64" s="65">
        <v>59</v>
      </c>
      <c r="F64" s="94">
        <v>103840000</v>
      </c>
    </row>
    <row r="65" spans="1:6" ht="12.5" x14ac:dyDescent="0.25">
      <c r="A65" s="65">
        <v>64</v>
      </c>
      <c r="B65" s="65">
        <v>30405308</v>
      </c>
      <c r="C65" s="65" t="s">
        <v>920</v>
      </c>
      <c r="D65" s="65" t="s">
        <v>731</v>
      </c>
      <c r="E65" s="65">
        <v>98</v>
      </c>
      <c r="F65" s="94">
        <v>172480000</v>
      </c>
    </row>
    <row r="66" spans="1:6" ht="12.5" x14ac:dyDescent="0.25">
      <c r="A66" s="65">
        <v>65</v>
      </c>
      <c r="B66" s="65">
        <v>30405307</v>
      </c>
      <c r="C66" s="65" t="s">
        <v>924</v>
      </c>
      <c r="D66" s="65" t="s">
        <v>731</v>
      </c>
      <c r="E66" s="65">
        <v>229</v>
      </c>
      <c r="F66" s="94">
        <v>403040000</v>
      </c>
    </row>
    <row r="67" spans="1:6" ht="12.5" x14ac:dyDescent="0.25">
      <c r="A67" s="65">
        <v>66</v>
      </c>
      <c r="B67" s="65">
        <v>30405322</v>
      </c>
      <c r="C67" s="65" t="s">
        <v>973</v>
      </c>
      <c r="D67" s="65" t="s">
        <v>731</v>
      </c>
      <c r="E67" s="65">
        <v>61</v>
      </c>
      <c r="F67" s="94">
        <v>107360000</v>
      </c>
    </row>
    <row r="68" spans="1:6" ht="12.5" x14ac:dyDescent="0.25">
      <c r="A68" s="65">
        <v>67</v>
      </c>
      <c r="B68" s="65">
        <v>30405331</v>
      </c>
      <c r="C68" s="65" t="s">
        <v>963</v>
      </c>
      <c r="D68" s="65" t="s">
        <v>731</v>
      </c>
      <c r="E68" s="65">
        <v>134</v>
      </c>
      <c r="F68" s="94">
        <v>235840000</v>
      </c>
    </row>
    <row r="69" spans="1:6" ht="12.5" x14ac:dyDescent="0.25">
      <c r="A69" s="65">
        <v>68</v>
      </c>
      <c r="B69" s="65">
        <v>30405309</v>
      </c>
      <c r="C69" s="65" t="s">
        <v>899</v>
      </c>
      <c r="D69" s="65" t="s">
        <v>731</v>
      </c>
      <c r="E69" s="65">
        <v>76</v>
      </c>
      <c r="F69" s="94">
        <v>133760000</v>
      </c>
    </row>
    <row r="70" spans="1:6" ht="12.5" x14ac:dyDescent="0.25">
      <c r="A70" s="65">
        <v>69</v>
      </c>
      <c r="B70" s="65">
        <v>70047860</v>
      </c>
      <c r="C70" s="65" t="s">
        <v>917</v>
      </c>
      <c r="D70" s="65" t="s">
        <v>731</v>
      </c>
      <c r="E70" s="65">
        <v>63</v>
      </c>
      <c r="F70" s="94">
        <v>110880000</v>
      </c>
    </row>
    <row r="71" spans="1:6" ht="12.5" x14ac:dyDescent="0.25">
      <c r="A71" s="65">
        <v>70</v>
      </c>
      <c r="B71" s="65">
        <v>70010059</v>
      </c>
      <c r="C71" s="65" t="s">
        <v>941</v>
      </c>
      <c r="D71" s="65" t="s">
        <v>731</v>
      </c>
      <c r="E71" s="65">
        <v>49</v>
      </c>
      <c r="F71" s="94">
        <v>86240000</v>
      </c>
    </row>
    <row r="72" spans="1:6" ht="12.5" x14ac:dyDescent="0.25">
      <c r="A72" s="65">
        <v>71</v>
      </c>
      <c r="B72" s="65">
        <v>30405329</v>
      </c>
      <c r="C72" s="65" t="s">
        <v>979</v>
      </c>
      <c r="D72" s="65" t="s">
        <v>731</v>
      </c>
      <c r="E72" s="65">
        <v>6</v>
      </c>
      <c r="F72" s="94">
        <v>10560000</v>
      </c>
    </row>
    <row r="73" spans="1:6" ht="12.5" x14ac:dyDescent="0.25">
      <c r="A73" s="65">
        <v>72</v>
      </c>
      <c r="B73" s="65">
        <v>30405325</v>
      </c>
      <c r="C73" s="65" t="s">
        <v>988</v>
      </c>
      <c r="D73" s="65" t="s">
        <v>731</v>
      </c>
      <c r="E73" s="65">
        <v>113</v>
      </c>
      <c r="F73" s="94">
        <v>198880000</v>
      </c>
    </row>
    <row r="74" spans="1:6" ht="12.5" x14ac:dyDescent="0.25">
      <c r="A74" s="65">
        <v>73</v>
      </c>
      <c r="B74" s="65">
        <v>30405306</v>
      </c>
      <c r="C74" s="65" t="s">
        <v>952</v>
      </c>
      <c r="D74" s="65" t="s">
        <v>731</v>
      </c>
      <c r="E74" s="65">
        <v>60</v>
      </c>
      <c r="F74" s="94">
        <v>105600000</v>
      </c>
    </row>
    <row r="75" spans="1:6" ht="12.5" x14ac:dyDescent="0.25">
      <c r="A75" s="65">
        <v>74</v>
      </c>
      <c r="B75" s="65">
        <v>30405318</v>
      </c>
      <c r="C75" s="65" t="s">
        <v>910</v>
      </c>
      <c r="D75" s="65" t="s">
        <v>731</v>
      </c>
      <c r="E75" s="65">
        <v>104</v>
      </c>
      <c r="F75" s="94">
        <v>183040000</v>
      </c>
    </row>
    <row r="76" spans="1:6" ht="12.5" x14ac:dyDescent="0.25">
      <c r="A76" s="65">
        <v>75</v>
      </c>
      <c r="B76" s="65">
        <v>30405317</v>
      </c>
      <c r="C76" s="65" t="s">
        <v>984</v>
      </c>
      <c r="D76" s="65" t="s">
        <v>731</v>
      </c>
      <c r="E76" s="65">
        <v>71</v>
      </c>
      <c r="F76" s="94">
        <v>124960000</v>
      </c>
    </row>
    <row r="77" spans="1:6" ht="12.5" x14ac:dyDescent="0.25">
      <c r="A77" s="65">
        <v>76</v>
      </c>
      <c r="B77" s="65">
        <v>30405326</v>
      </c>
      <c r="C77" s="65" t="s">
        <v>905</v>
      </c>
      <c r="D77" s="65" t="s">
        <v>731</v>
      </c>
      <c r="E77" s="65">
        <v>62</v>
      </c>
      <c r="F77" s="94">
        <v>109120000</v>
      </c>
    </row>
    <row r="78" spans="1:6" ht="12.5" x14ac:dyDescent="0.25">
      <c r="A78" s="65">
        <v>77</v>
      </c>
      <c r="B78" s="65">
        <v>30405339</v>
      </c>
      <c r="C78" s="65" t="s">
        <v>968</v>
      </c>
      <c r="D78" s="65" t="s">
        <v>731</v>
      </c>
      <c r="E78" s="65">
        <v>89</v>
      </c>
      <c r="F78" s="94">
        <v>156640000</v>
      </c>
    </row>
    <row r="79" spans="1:6" ht="12.5" x14ac:dyDescent="0.25">
      <c r="A79" s="65">
        <v>78</v>
      </c>
      <c r="B79" s="65">
        <v>30405335</v>
      </c>
      <c r="C79" s="65" t="s">
        <v>957</v>
      </c>
      <c r="D79" s="65" t="s">
        <v>731</v>
      </c>
      <c r="E79" s="65">
        <v>65</v>
      </c>
      <c r="F79" s="94">
        <v>114400000</v>
      </c>
    </row>
    <row r="80" spans="1:6" ht="12.5" x14ac:dyDescent="0.25">
      <c r="A80" s="65">
        <v>79</v>
      </c>
      <c r="B80" s="65">
        <v>30400558</v>
      </c>
      <c r="C80" s="65" t="s">
        <v>684</v>
      </c>
      <c r="D80" s="65" t="s">
        <v>633</v>
      </c>
      <c r="E80" s="65">
        <v>12</v>
      </c>
      <c r="F80" s="94">
        <v>19320000</v>
      </c>
    </row>
    <row r="81" spans="1:6" ht="12.5" x14ac:dyDescent="0.25">
      <c r="A81" s="65">
        <v>80</v>
      </c>
      <c r="B81" s="65">
        <v>69786406</v>
      </c>
      <c r="C81" s="65" t="s">
        <v>672</v>
      </c>
      <c r="D81" s="65" t="s">
        <v>633</v>
      </c>
      <c r="E81" s="65">
        <v>17</v>
      </c>
      <c r="F81" s="94">
        <v>27370000</v>
      </c>
    </row>
    <row r="82" spans="1:6" ht="12.5" x14ac:dyDescent="0.25">
      <c r="A82" s="65">
        <v>81</v>
      </c>
      <c r="B82" s="65">
        <v>30400559</v>
      </c>
      <c r="C82" s="65" t="s">
        <v>679</v>
      </c>
      <c r="D82" s="65" t="s">
        <v>633</v>
      </c>
      <c r="E82" s="65">
        <v>31</v>
      </c>
      <c r="F82" s="94">
        <v>49910000</v>
      </c>
    </row>
    <row r="83" spans="1:6" ht="12.5" x14ac:dyDescent="0.25">
      <c r="A83" s="65">
        <v>82</v>
      </c>
      <c r="B83" s="65">
        <v>69947957</v>
      </c>
      <c r="C83" s="65" t="s">
        <v>666</v>
      </c>
      <c r="D83" s="65" t="s">
        <v>633</v>
      </c>
      <c r="E83" s="65">
        <v>60</v>
      </c>
      <c r="F83" s="94">
        <v>96600000</v>
      </c>
    </row>
    <row r="84" spans="1:6" ht="12.5" x14ac:dyDescent="0.25">
      <c r="A84" s="65">
        <v>83</v>
      </c>
      <c r="B84" s="65">
        <v>69875543</v>
      </c>
      <c r="C84" s="65" t="s">
        <v>660</v>
      </c>
      <c r="D84" s="65" t="s">
        <v>633</v>
      </c>
      <c r="E84" s="65">
        <v>9</v>
      </c>
      <c r="F84" s="94">
        <v>14490000</v>
      </c>
    </row>
    <row r="85" spans="1:6" ht="12.5" x14ac:dyDescent="0.25">
      <c r="A85" s="65">
        <v>84</v>
      </c>
      <c r="B85" s="65">
        <v>69902911</v>
      </c>
      <c r="C85" s="65" t="s">
        <v>435</v>
      </c>
      <c r="D85" s="65" t="s">
        <v>381</v>
      </c>
      <c r="E85" s="65">
        <v>83</v>
      </c>
      <c r="F85" s="94">
        <v>152720000</v>
      </c>
    </row>
    <row r="86" spans="1:6" ht="12.5" x14ac:dyDescent="0.25">
      <c r="A86" s="65">
        <v>85</v>
      </c>
      <c r="B86" s="65">
        <v>69930839</v>
      </c>
      <c r="C86" s="65" t="s">
        <v>429</v>
      </c>
      <c r="D86" s="65" t="s">
        <v>381</v>
      </c>
      <c r="E86" s="65">
        <v>90</v>
      </c>
      <c r="F86" s="94">
        <v>165600000</v>
      </c>
    </row>
    <row r="87" spans="1:6" ht="12.5" x14ac:dyDescent="0.25">
      <c r="A87" s="65">
        <v>86</v>
      </c>
      <c r="B87" s="65">
        <v>70043825</v>
      </c>
      <c r="C87" s="65" t="s">
        <v>421</v>
      </c>
      <c r="D87" s="65" t="s">
        <v>381</v>
      </c>
      <c r="E87" s="65">
        <v>30</v>
      </c>
      <c r="F87" s="94">
        <v>55200000</v>
      </c>
    </row>
    <row r="88" spans="1:6" ht="12.5" x14ac:dyDescent="0.25">
      <c r="A88" s="65">
        <v>87</v>
      </c>
      <c r="B88" s="65">
        <v>30404355</v>
      </c>
      <c r="C88" s="65" t="s">
        <v>448</v>
      </c>
      <c r="D88" s="65" t="s">
        <v>381</v>
      </c>
      <c r="E88" s="65">
        <v>395</v>
      </c>
      <c r="F88" s="94">
        <v>726800000</v>
      </c>
    </row>
    <row r="89" spans="1:6" ht="12.5" x14ac:dyDescent="0.25">
      <c r="A89" s="65">
        <v>88</v>
      </c>
      <c r="B89" s="65">
        <v>30404227</v>
      </c>
      <c r="C89" s="65" t="s">
        <v>441</v>
      </c>
      <c r="D89" s="65" t="s">
        <v>381</v>
      </c>
      <c r="E89" s="65">
        <v>341</v>
      </c>
      <c r="F89" s="94">
        <v>627440000</v>
      </c>
    </row>
    <row r="90" spans="1:6" ht="12.5" x14ac:dyDescent="0.25">
      <c r="A90" s="65">
        <v>1</v>
      </c>
      <c r="B90" s="65">
        <v>30401069</v>
      </c>
      <c r="C90" s="65" t="s">
        <v>1858</v>
      </c>
      <c r="D90" s="65" t="s">
        <v>1573</v>
      </c>
      <c r="E90" s="65">
        <v>12</v>
      </c>
      <c r="F90" s="94">
        <v>27240000</v>
      </c>
    </row>
    <row r="91" spans="1:6" ht="12.5" x14ac:dyDescent="0.25">
      <c r="A91" s="65">
        <v>2</v>
      </c>
      <c r="B91" s="65">
        <v>69830684</v>
      </c>
      <c r="C91" s="65" t="s">
        <v>1837</v>
      </c>
      <c r="D91" s="65" t="s">
        <v>1573</v>
      </c>
      <c r="E91" s="65">
        <v>9</v>
      </c>
      <c r="F91" s="94">
        <v>20430000</v>
      </c>
    </row>
    <row r="92" spans="1:6" ht="12.5" x14ac:dyDescent="0.25">
      <c r="A92" s="65">
        <v>3</v>
      </c>
      <c r="B92" s="65">
        <v>30405842</v>
      </c>
      <c r="C92" s="65" t="s">
        <v>1878</v>
      </c>
      <c r="D92" s="65" t="s">
        <v>1573</v>
      </c>
      <c r="E92" s="65">
        <v>46</v>
      </c>
      <c r="F92" s="94">
        <v>104420000</v>
      </c>
    </row>
    <row r="93" spans="1:6" ht="12.5" x14ac:dyDescent="0.25">
      <c r="A93" s="65">
        <v>4</v>
      </c>
      <c r="B93" s="65">
        <v>30401075</v>
      </c>
      <c r="C93" s="65" t="s">
        <v>1934</v>
      </c>
      <c r="D93" s="65" t="s">
        <v>1573</v>
      </c>
      <c r="E93" s="65">
        <v>22</v>
      </c>
      <c r="F93" s="94">
        <v>49940000</v>
      </c>
    </row>
    <row r="94" spans="1:6" ht="12.5" x14ac:dyDescent="0.25">
      <c r="A94" s="65">
        <v>5</v>
      </c>
      <c r="B94" s="65">
        <v>30404604</v>
      </c>
      <c r="C94" s="65" t="s">
        <v>1863</v>
      </c>
      <c r="D94" s="65" t="s">
        <v>1573</v>
      </c>
      <c r="E94" s="65">
        <v>26</v>
      </c>
      <c r="F94" s="94">
        <v>59020000</v>
      </c>
    </row>
    <row r="95" spans="1:6" ht="12.5" x14ac:dyDescent="0.25">
      <c r="A95" s="65">
        <v>6</v>
      </c>
      <c r="B95" s="65">
        <v>30404129</v>
      </c>
      <c r="C95" s="65" t="s">
        <v>1888</v>
      </c>
      <c r="D95" s="65" t="s">
        <v>1573</v>
      </c>
      <c r="E95" s="65">
        <v>66</v>
      </c>
      <c r="F95" s="94">
        <v>149820000</v>
      </c>
    </row>
    <row r="96" spans="1:6" ht="12.5" x14ac:dyDescent="0.25">
      <c r="A96" s="65">
        <v>7</v>
      </c>
      <c r="B96" s="65">
        <v>30404271</v>
      </c>
      <c r="C96" s="65" t="s">
        <v>1955</v>
      </c>
      <c r="D96" s="65" t="s">
        <v>1573</v>
      </c>
      <c r="E96" s="65">
        <v>271</v>
      </c>
      <c r="F96" s="94">
        <v>615170000</v>
      </c>
    </row>
    <row r="97" spans="1:6" ht="12.5" x14ac:dyDescent="0.25">
      <c r="A97" s="65">
        <v>8</v>
      </c>
      <c r="B97" s="65">
        <v>30401088</v>
      </c>
      <c r="C97" s="65" t="s">
        <v>1919</v>
      </c>
      <c r="D97" s="65" t="s">
        <v>1573</v>
      </c>
      <c r="E97" s="65">
        <v>369</v>
      </c>
      <c r="F97" s="94">
        <v>837630000</v>
      </c>
    </row>
    <row r="98" spans="1:6" ht="12.5" x14ac:dyDescent="0.25">
      <c r="A98" s="65">
        <v>9</v>
      </c>
      <c r="B98" s="65">
        <v>30404359</v>
      </c>
      <c r="C98" s="65" t="s">
        <v>1868</v>
      </c>
      <c r="D98" s="65" t="s">
        <v>1573</v>
      </c>
      <c r="E98" s="65">
        <v>149</v>
      </c>
      <c r="F98" s="94">
        <v>338230000</v>
      </c>
    </row>
    <row r="99" spans="1:6" ht="12.5" x14ac:dyDescent="0.25">
      <c r="A99" s="65">
        <v>10</v>
      </c>
      <c r="B99" s="65">
        <v>30404274</v>
      </c>
      <c r="C99" s="65" t="s">
        <v>1924</v>
      </c>
      <c r="D99" s="65" t="s">
        <v>1573</v>
      </c>
      <c r="E99" s="65">
        <v>106</v>
      </c>
      <c r="F99" s="94">
        <v>240620000</v>
      </c>
    </row>
    <row r="100" spans="1:6" ht="12.5" x14ac:dyDescent="0.25">
      <c r="A100" s="65">
        <v>11</v>
      </c>
      <c r="B100" s="65">
        <v>30401086</v>
      </c>
      <c r="C100" s="65" t="s">
        <v>1909</v>
      </c>
      <c r="D100" s="65" t="s">
        <v>1573</v>
      </c>
      <c r="E100" s="65">
        <v>148</v>
      </c>
      <c r="F100" s="94">
        <v>335960000</v>
      </c>
    </row>
    <row r="101" spans="1:6" ht="12.5" x14ac:dyDescent="0.25">
      <c r="A101" s="65">
        <v>12</v>
      </c>
      <c r="B101" s="65">
        <v>30401073</v>
      </c>
      <c r="C101" s="65" t="s">
        <v>1929</v>
      </c>
      <c r="D101" s="65" t="s">
        <v>1573</v>
      </c>
      <c r="E101" s="65">
        <v>19</v>
      </c>
      <c r="F101" s="94">
        <v>43130000</v>
      </c>
    </row>
    <row r="102" spans="1:6" ht="12.5" x14ac:dyDescent="0.25">
      <c r="A102" s="65">
        <v>13</v>
      </c>
      <c r="B102" s="65">
        <v>30405709</v>
      </c>
      <c r="C102" s="65" t="s">
        <v>1944</v>
      </c>
      <c r="D102" s="65" t="s">
        <v>1573</v>
      </c>
      <c r="E102" s="65">
        <v>36</v>
      </c>
      <c r="F102" s="94">
        <v>81720000</v>
      </c>
    </row>
    <row r="103" spans="1:6" ht="12.5" x14ac:dyDescent="0.25">
      <c r="A103" s="65">
        <v>14</v>
      </c>
      <c r="B103" s="65">
        <v>30401087</v>
      </c>
      <c r="C103" s="65" t="s">
        <v>1914</v>
      </c>
      <c r="D103" s="65" t="s">
        <v>1573</v>
      </c>
      <c r="E103" s="65">
        <v>100</v>
      </c>
      <c r="F103" s="94">
        <v>227000000</v>
      </c>
    </row>
    <row r="104" spans="1:6" ht="12.5" x14ac:dyDescent="0.25">
      <c r="A104" s="65">
        <v>15</v>
      </c>
      <c r="B104" s="65">
        <v>30406110</v>
      </c>
      <c r="C104" s="65" t="s">
        <v>1949</v>
      </c>
      <c r="D104" s="65" t="s">
        <v>1573</v>
      </c>
      <c r="E104" s="65">
        <v>58</v>
      </c>
      <c r="F104" s="94">
        <v>131660000</v>
      </c>
    </row>
    <row r="105" spans="1:6" ht="12.5" x14ac:dyDescent="0.25">
      <c r="A105" s="65">
        <v>16</v>
      </c>
      <c r="B105" s="65">
        <v>30401078</v>
      </c>
      <c r="C105" s="65" t="s">
        <v>1939</v>
      </c>
      <c r="D105" s="65" t="s">
        <v>1573</v>
      </c>
      <c r="E105" s="65">
        <v>11</v>
      </c>
      <c r="F105" s="94">
        <v>24970000</v>
      </c>
    </row>
    <row r="106" spans="1:6" ht="12.5" x14ac:dyDescent="0.25">
      <c r="A106" s="65">
        <v>17</v>
      </c>
      <c r="B106" s="65">
        <v>30405836</v>
      </c>
      <c r="C106" s="65" t="s">
        <v>1893</v>
      </c>
      <c r="D106" s="65" t="s">
        <v>1573</v>
      </c>
      <c r="E106" s="65">
        <v>442</v>
      </c>
      <c r="F106" s="94">
        <v>1003340000</v>
      </c>
    </row>
    <row r="107" spans="1:6" ht="12.5" x14ac:dyDescent="0.25">
      <c r="A107" s="65">
        <v>18</v>
      </c>
      <c r="B107" s="65">
        <v>30405722</v>
      </c>
      <c r="C107" s="65" t="s">
        <v>1960</v>
      </c>
      <c r="D107" s="65" t="s">
        <v>1573</v>
      </c>
      <c r="E107" s="65">
        <v>516</v>
      </c>
      <c r="F107" s="94">
        <v>1171320000</v>
      </c>
    </row>
    <row r="108" spans="1:6" ht="12.5" x14ac:dyDescent="0.25">
      <c r="A108" s="65">
        <v>19</v>
      </c>
      <c r="B108" s="65">
        <v>30401056</v>
      </c>
      <c r="C108" s="65" t="s">
        <v>1848</v>
      </c>
      <c r="D108" s="65" t="s">
        <v>1573</v>
      </c>
      <c r="E108" s="65">
        <v>66</v>
      </c>
      <c r="F108" s="94">
        <v>149820000</v>
      </c>
    </row>
    <row r="109" spans="1:6" ht="12.5" x14ac:dyDescent="0.25">
      <c r="A109" s="65">
        <v>20</v>
      </c>
      <c r="B109" s="65">
        <v>30407724</v>
      </c>
      <c r="C109" s="65" t="s">
        <v>1883</v>
      </c>
      <c r="D109" s="65" t="s">
        <v>1573</v>
      </c>
      <c r="E109" s="65">
        <v>97</v>
      </c>
      <c r="F109" s="94">
        <v>220190000</v>
      </c>
    </row>
    <row r="110" spans="1:6" ht="12.5" x14ac:dyDescent="0.25">
      <c r="A110" s="65">
        <v>21</v>
      </c>
      <c r="B110" s="65">
        <v>30401085</v>
      </c>
      <c r="C110" s="65" t="s">
        <v>1904</v>
      </c>
      <c r="D110" s="65" t="s">
        <v>1573</v>
      </c>
      <c r="E110" s="65">
        <v>90</v>
      </c>
      <c r="F110" s="94">
        <v>204300000</v>
      </c>
    </row>
    <row r="111" spans="1:6" ht="12.5" x14ac:dyDescent="0.25">
      <c r="A111" s="65">
        <v>22</v>
      </c>
      <c r="B111" s="65">
        <v>30407767</v>
      </c>
      <c r="C111" s="65" t="s">
        <v>1898</v>
      </c>
      <c r="D111" s="65" t="s">
        <v>1573</v>
      </c>
      <c r="E111" s="94">
        <v>1410</v>
      </c>
      <c r="F111" s="94">
        <v>3200700000</v>
      </c>
    </row>
    <row r="112" spans="1:6" ht="12.5" x14ac:dyDescent="0.25">
      <c r="A112" s="65">
        <v>23</v>
      </c>
      <c r="B112" s="65">
        <v>30406109</v>
      </c>
      <c r="C112" s="65" t="s">
        <v>1965</v>
      </c>
      <c r="D112" s="65" t="s">
        <v>1573</v>
      </c>
      <c r="E112" s="65">
        <v>38</v>
      </c>
      <c r="F112" s="94">
        <v>86260000</v>
      </c>
    </row>
    <row r="113" spans="1:6" ht="12.5" x14ac:dyDescent="0.25">
      <c r="A113" s="65">
        <v>24</v>
      </c>
      <c r="B113" s="65">
        <v>30403014</v>
      </c>
      <c r="C113" s="65" t="s">
        <v>1853</v>
      </c>
      <c r="D113" s="65" t="s">
        <v>1573</v>
      </c>
      <c r="E113" s="65">
        <v>151</v>
      </c>
      <c r="F113" s="94">
        <v>342770000</v>
      </c>
    </row>
    <row r="114" spans="1:6" ht="12.5" x14ac:dyDescent="0.25">
      <c r="A114" s="65">
        <v>25</v>
      </c>
      <c r="B114" s="65">
        <v>30406107</v>
      </c>
      <c r="C114" s="65" t="s">
        <v>1843</v>
      </c>
      <c r="D114" s="65" t="s">
        <v>1573</v>
      </c>
      <c r="E114" s="65">
        <v>53</v>
      </c>
      <c r="F114" s="94">
        <v>120310000</v>
      </c>
    </row>
    <row r="115" spans="1:6" ht="12.5" x14ac:dyDescent="0.25">
      <c r="A115" s="65">
        <v>26</v>
      </c>
      <c r="B115" s="65">
        <v>30401070</v>
      </c>
      <c r="C115" s="65" t="s">
        <v>1873</v>
      </c>
      <c r="D115" s="65" t="s">
        <v>1573</v>
      </c>
      <c r="E115" s="65">
        <v>604</v>
      </c>
      <c r="F115" s="94">
        <v>1371080000</v>
      </c>
    </row>
    <row r="116" spans="1:6" ht="12.5" x14ac:dyDescent="0.25">
      <c r="A116" s="65">
        <v>27</v>
      </c>
      <c r="B116" s="65">
        <v>30401090</v>
      </c>
      <c r="C116" s="65" t="s">
        <v>1971</v>
      </c>
      <c r="D116" s="65" t="s">
        <v>1573</v>
      </c>
      <c r="E116" s="65">
        <v>70</v>
      </c>
      <c r="F116" s="94">
        <v>158900000</v>
      </c>
    </row>
    <row r="117" spans="1:6" ht="12.5" x14ac:dyDescent="0.25">
      <c r="A117" s="65">
        <v>28</v>
      </c>
      <c r="B117" s="65">
        <v>30401778</v>
      </c>
      <c r="C117" s="65" t="s">
        <v>627</v>
      </c>
      <c r="D117" s="65" t="s">
        <v>494</v>
      </c>
      <c r="E117" s="65">
        <v>125</v>
      </c>
      <c r="F117" s="94">
        <v>288750000</v>
      </c>
    </row>
    <row r="118" spans="1:6" ht="12.5" x14ac:dyDescent="0.25">
      <c r="A118" s="65">
        <v>29</v>
      </c>
      <c r="B118" s="65">
        <v>30405691</v>
      </c>
      <c r="C118" s="65" t="s">
        <v>610</v>
      </c>
      <c r="D118" s="65" t="s">
        <v>494</v>
      </c>
      <c r="E118" s="65">
        <v>471</v>
      </c>
      <c r="F118" s="94">
        <v>1088010000</v>
      </c>
    </row>
    <row r="119" spans="1:6" ht="12.5" x14ac:dyDescent="0.25">
      <c r="A119" s="65">
        <v>30</v>
      </c>
      <c r="B119" s="65">
        <v>30407788</v>
      </c>
      <c r="C119" s="65" t="s">
        <v>579</v>
      </c>
      <c r="D119" s="65" t="s">
        <v>494</v>
      </c>
      <c r="E119" s="65">
        <v>96</v>
      </c>
      <c r="F119" s="94">
        <v>221760000</v>
      </c>
    </row>
    <row r="120" spans="1:6" ht="12.5" x14ac:dyDescent="0.25">
      <c r="A120" s="65">
        <v>31</v>
      </c>
      <c r="B120" s="65">
        <v>30401783</v>
      </c>
      <c r="C120" s="65" t="s">
        <v>603</v>
      </c>
      <c r="D120" s="65" t="s">
        <v>494</v>
      </c>
      <c r="E120" s="65">
        <v>55</v>
      </c>
      <c r="F120" s="94">
        <v>127050000</v>
      </c>
    </row>
    <row r="121" spans="1:6" ht="12.5" x14ac:dyDescent="0.25">
      <c r="A121" s="65">
        <v>32</v>
      </c>
      <c r="B121" s="65">
        <v>69755557</v>
      </c>
      <c r="C121" s="65" t="s">
        <v>592</v>
      </c>
      <c r="D121" s="65" t="s">
        <v>494</v>
      </c>
      <c r="E121" s="65">
        <v>113</v>
      </c>
      <c r="F121" s="94">
        <v>261030000</v>
      </c>
    </row>
    <row r="122" spans="1:6" ht="12.5" x14ac:dyDescent="0.25">
      <c r="A122" s="65">
        <v>33</v>
      </c>
      <c r="B122" s="65">
        <v>30401779</v>
      </c>
      <c r="C122" s="65" t="s">
        <v>621</v>
      </c>
      <c r="D122" s="65" t="s">
        <v>494</v>
      </c>
      <c r="E122" s="65">
        <v>144</v>
      </c>
      <c r="F122" s="94">
        <v>332640000</v>
      </c>
    </row>
    <row r="123" spans="1:6" ht="12.5" x14ac:dyDescent="0.25">
      <c r="A123" s="65">
        <v>34</v>
      </c>
      <c r="B123" s="65">
        <v>30409872</v>
      </c>
      <c r="C123" s="65" t="s">
        <v>585</v>
      </c>
      <c r="D123" s="65" t="s">
        <v>494</v>
      </c>
      <c r="E123" s="65">
        <v>37</v>
      </c>
      <c r="F123" s="94">
        <v>85470000</v>
      </c>
    </row>
    <row r="124" spans="1:6" ht="12.5" x14ac:dyDescent="0.25">
      <c r="A124" s="65">
        <v>35</v>
      </c>
      <c r="B124" s="65">
        <v>30401781</v>
      </c>
      <c r="C124" s="65" t="s">
        <v>615</v>
      </c>
      <c r="D124" s="65" t="s">
        <v>494</v>
      </c>
      <c r="E124" s="65">
        <v>462</v>
      </c>
      <c r="F124" s="94">
        <v>1067220000</v>
      </c>
    </row>
    <row r="125" spans="1:6" ht="12.5" x14ac:dyDescent="0.25">
      <c r="A125" s="65">
        <v>36</v>
      </c>
      <c r="B125" s="65">
        <v>30401784</v>
      </c>
      <c r="C125" s="65" t="s">
        <v>596</v>
      </c>
      <c r="D125" s="65" t="s">
        <v>494</v>
      </c>
      <c r="E125" s="65">
        <v>61</v>
      </c>
      <c r="F125" s="94">
        <v>140910000</v>
      </c>
    </row>
    <row r="126" spans="1:6" ht="12.5" x14ac:dyDescent="0.25">
      <c r="A126" s="65">
        <v>37</v>
      </c>
      <c r="B126" s="65">
        <v>30401512</v>
      </c>
      <c r="C126" s="65" t="s">
        <v>317</v>
      </c>
      <c r="D126" s="65" t="s">
        <v>95</v>
      </c>
      <c r="E126" s="94">
        <v>1526</v>
      </c>
      <c r="F126" s="94">
        <v>3387720000</v>
      </c>
    </row>
    <row r="127" spans="1:6" ht="12.5" x14ac:dyDescent="0.25">
      <c r="A127" s="65">
        <v>38</v>
      </c>
      <c r="B127" s="65">
        <v>70040456</v>
      </c>
      <c r="C127" s="65" t="s">
        <v>262</v>
      </c>
      <c r="D127" s="65" t="s">
        <v>95</v>
      </c>
      <c r="E127" s="65">
        <v>43</v>
      </c>
      <c r="F127" s="94">
        <v>95460000</v>
      </c>
    </row>
    <row r="128" spans="1:6" ht="12.5" x14ac:dyDescent="0.25">
      <c r="A128" s="65">
        <v>39</v>
      </c>
      <c r="B128" s="65">
        <v>30401486</v>
      </c>
      <c r="C128" s="65" t="s">
        <v>347</v>
      </c>
      <c r="D128" s="65" t="s">
        <v>95</v>
      </c>
      <c r="E128" s="65">
        <v>533</v>
      </c>
      <c r="F128" s="94">
        <v>1183260000</v>
      </c>
    </row>
    <row r="129" spans="1:6" ht="12.5" x14ac:dyDescent="0.25">
      <c r="A129" s="65">
        <v>40</v>
      </c>
      <c r="B129" s="65">
        <v>69960805</v>
      </c>
      <c r="C129" s="65" t="s">
        <v>279</v>
      </c>
      <c r="D129" s="65" t="s">
        <v>95</v>
      </c>
      <c r="E129" s="65">
        <v>329</v>
      </c>
      <c r="F129" s="94">
        <v>730380000</v>
      </c>
    </row>
    <row r="130" spans="1:6" ht="12.5" x14ac:dyDescent="0.25">
      <c r="A130" s="65">
        <v>41</v>
      </c>
      <c r="B130" s="65">
        <v>69894554</v>
      </c>
      <c r="C130" s="65" t="s">
        <v>257</v>
      </c>
      <c r="D130" s="65" t="s">
        <v>95</v>
      </c>
      <c r="E130" s="65">
        <v>289</v>
      </c>
      <c r="F130" s="94">
        <v>641580000</v>
      </c>
    </row>
    <row r="131" spans="1:6" ht="12.5" x14ac:dyDescent="0.25">
      <c r="A131" s="65">
        <v>42</v>
      </c>
      <c r="B131" s="65">
        <v>30401463</v>
      </c>
      <c r="C131" s="65" t="s">
        <v>362</v>
      </c>
      <c r="D131" s="65" t="s">
        <v>95</v>
      </c>
      <c r="E131" s="65">
        <v>52</v>
      </c>
      <c r="F131" s="94">
        <v>115440000</v>
      </c>
    </row>
    <row r="132" spans="1:6" ht="12.5" x14ac:dyDescent="0.25">
      <c r="A132" s="65">
        <v>43</v>
      </c>
      <c r="B132" s="65">
        <v>69869763</v>
      </c>
      <c r="C132" s="65" t="s">
        <v>253</v>
      </c>
      <c r="D132" s="65" t="s">
        <v>95</v>
      </c>
      <c r="E132" s="65">
        <v>8</v>
      </c>
      <c r="F132" s="94">
        <v>17760000</v>
      </c>
    </row>
    <row r="133" spans="1:6" ht="12.5" x14ac:dyDescent="0.25">
      <c r="A133" s="65">
        <v>44</v>
      </c>
      <c r="B133" s="65">
        <v>30406263</v>
      </c>
      <c r="C133" s="65" t="s">
        <v>337</v>
      </c>
      <c r="D133" s="65" t="s">
        <v>95</v>
      </c>
      <c r="E133" s="65">
        <v>81</v>
      </c>
      <c r="F133" s="94">
        <v>179820000</v>
      </c>
    </row>
    <row r="134" spans="1:6" ht="12.5" x14ac:dyDescent="0.25">
      <c r="A134" s="65">
        <v>45</v>
      </c>
      <c r="B134" s="65">
        <v>30401511</v>
      </c>
      <c r="C134" s="65" t="s">
        <v>327</v>
      </c>
      <c r="D134" s="65" t="s">
        <v>95</v>
      </c>
      <c r="E134" s="65">
        <v>132</v>
      </c>
      <c r="F134" s="94">
        <v>293040000</v>
      </c>
    </row>
    <row r="135" spans="1:6" ht="12.5" x14ac:dyDescent="0.25">
      <c r="A135" s="65">
        <v>46</v>
      </c>
      <c r="B135" s="65">
        <v>30401515</v>
      </c>
      <c r="C135" s="65" t="s">
        <v>300</v>
      </c>
      <c r="D135" s="65" t="s">
        <v>95</v>
      </c>
      <c r="E135" s="65">
        <v>244</v>
      </c>
      <c r="F135" s="94">
        <v>541680000</v>
      </c>
    </row>
    <row r="136" spans="1:6" ht="12.5" x14ac:dyDescent="0.25">
      <c r="A136" s="65">
        <v>47</v>
      </c>
      <c r="B136" s="65">
        <v>30401464</v>
      </c>
      <c r="C136" s="65" t="s">
        <v>357</v>
      </c>
      <c r="D136" s="65" t="s">
        <v>95</v>
      </c>
      <c r="E136" s="65">
        <v>329</v>
      </c>
      <c r="F136" s="94">
        <v>730380000</v>
      </c>
    </row>
    <row r="137" spans="1:6" ht="12.5" x14ac:dyDescent="0.25">
      <c r="A137" s="65">
        <v>48</v>
      </c>
      <c r="B137" s="65">
        <v>30402922</v>
      </c>
      <c r="C137" s="65" t="s">
        <v>332</v>
      </c>
      <c r="D137" s="65" t="s">
        <v>95</v>
      </c>
      <c r="E137" s="65">
        <v>45</v>
      </c>
      <c r="F137" s="94">
        <v>99900000</v>
      </c>
    </row>
    <row r="138" spans="1:6" ht="12.5" x14ac:dyDescent="0.25">
      <c r="A138" s="65">
        <v>49</v>
      </c>
      <c r="B138" s="65">
        <v>30401460</v>
      </c>
      <c r="C138" s="65" t="s">
        <v>372</v>
      </c>
      <c r="D138" s="65" t="s">
        <v>95</v>
      </c>
      <c r="E138" s="65">
        <v>41</v>
      </c>
      <c r="F138" s="94">
        <v>91020000</v>
      </c>
    </row>
    <row r="139" spans="1:6" ht="12.5" x14ac:dyDescent="0.25">
      <c r="A139" s="65">
        <v>50</v>
      </c>
      <c r="B139" s="65">
        <v>69939919</v>
      </c>
      <c r="C139" s="65" t="s">
        <v>274</v>
      </c>
      <c r="D139" s="65" t="s">
        <v>95</v>
      </c>
      <c r="E139" s="65">
        <v>6</v>
      </c>
      <c r="F139" s="94">
        <v>13320000</v>
      </c>
    </row>
    <row r="140" spans="1:6" ht="12.5" x14ac:dyDescent="0.25">
      <c r="A140" s="65">
        <v>51</v>
      </c>
      <c r="B140" s="65">
        <v>69786293</v>
      </c>
      <c r="C140" s="65" t="s">
        <v>322</v>
      </c>
      <c r="D140" s="65" t="s">
        <v>95</v>
      </c>
      <c r="E140" s="65">
        <v>446</v>
      </c>
      <c r="F140" s="94">
        <v>990120000</v>
      </c>
    </row>
    <row r="141" spans="1:6" ht="12.5" x14ac:dyDescent="0.25">
      <c r="A141" s="65">
        <v>52</v>
      </c>
      <c r="B141" s="65">
        <v>69982415</v>
      </c>
      <c r="C141" s="65" t="s">
        <v>269</v>
      </c>
      <c r="D141" s="65" t="s">
        <v>95</v>
      </c>
      <c r="E141" s="65">
        <v>288</v>
      </c>
      <c r="F141" s="94">
        <v>639360000</v>
      </c>
    </row>
    <row r="142" spans="1:6" ht="12.5" x14ac:dyDescent="0.25">
      <c r="A142" s="65">
        <v>53</v>
      </c>
      <c r="B142" s="65">
        <v>30402923</v>
      </c>
      <c r="C142" s="65" t="s">
        <v>377</v>
      </c>
      <c r="D142" s="65" t="s">
        <v>95</v>
      </c>
      <c r="E142" s="65">
        <v>64</v>
      </c>
      <c r="F142" s="94">
        <v>142080000</v>
      </c>
    </row>
    <row r="143" spans="1:6" ht="12.5" x14ac:dyDescent="0.25">
      <c r="A143" s="65">
        <v>54</v>
      </c>
      <c r="B143" s="65">
        <v>30401505</v>
      </c>
      <c r="C143" s="65" t="s">
        <v>342</v>
      </c>
      <c r="D143" s="65" t="s">
        <v>95</v>
      </c>
      <c r="E143" s="65">
        <v>983</v>
      </c>
      <c r="F143" s="94">
        <v>2182260000</v>
      </c>
    </row>
    <row r="144" spans="1:6" ht="12.5" x14ac:dyDescent="0.25">
      <c r="A144" s="65">
        <v>55</v>
      </c>
      <c r="B144" s="65">
        <v>30401462</v>
      </c>
      <c r="C144" s="65" t="s">
        <v>367</v>
      </c>
      <c r="D144" s="65" t="s">
        <v>95</v>
      </c>
      <c r="E144" s="65">
        <v>782</v>
      </c>
      <c r="F144" s="94">
        <v>1736040000</v>
      </c>
    </row>
    <row r="145" spans="1:6" ht="12.5" x14ac:dyDescent="0.25">
      <c r="A145" s="65">
        <v>56</v>
      </c>
      <c r="B145" s="65">
        <v>30402921</v>
      </c>
      <c r="C145" s="65" t="s">
        <v>312</v>
      </c>
      <c r="D145" s="65" t="s">
        <v>95</v>
      </c>
      <c r="E145" s="65">
        <v>75</v>
      </c>
      <c r="F145" s="94">
        <v>166500000</v>
      </c>
    </row>
    <row r="146" spans="1:6" ht="12.5" x14ac:dyDescent="0.25">
      <c r="A146" s="65">
        <v>57</v>
      </c>
      <c r="B146" s="65">
        <v>30407679</v>
      </c>
      <c r="C146" s="65" t="s">
        <v>285</v>
      </c>
      <c r="D146" s="65" t="s">
        <v>95</v>
      </c>
      <c r="E146" s="65">
        <v>96</v>
      </c>
      <c r="F146" s="94">
        <v>213120000</v>
      </c>
    </row>
    <row r="147" spans="1:6" ht="12.5" x14ac:dyDescent="0.25">
      <c r="A147" s="65">
        <v>58</v>
      </c>
      <c r="B147" s="65">
        <v>30407677</v>
      </c>
      <c r="C147" s="65" t="s">
        <v>290</v>
      </c>
      <c r="D147" s="65" t="s">
        <v>95</v>
      </c>
      <c r="E147" s="65">
        <v>451</v>
      </c>
      <c r="F147" s="94">
        <v>1001220000</v>
      </c>
    </row>
    <row r="148" spans="1:6" ht="12.5" x14ac:dyDescent="0.25">
      <c r="A148" s="65">
        <v>59</v>
      </c>
      <c r="B148" s="65">
        <v>30401513</v>
      </c>
      <c r="C148" s="65" t="s">
        <v>307</v>
      </c>
      <c r="D148" s="65" t="s">
        <v>95</v>
      </c>
      <c r="E148" s="65">
        <v>636</v>
      </c>
      <c r="F148" s="94">
        <v>1411920000</v>
      </c>
    </row>
    <row r="149" spans="1:6" ht="12.5" x14ac:dyDescent="0.25">
      <c r="A149" s="65">
        <v>60</v>
      </c>
      <c r="B149" s="65">
        <v>30401485</v>
      </c>
      <c r="C149" s="65" t="s">
        <v>352</v>
      </c>
      <c r="D149" s="65" t="s">
        <v>95</v>
      </c>
      <c r="E149" s="94">
        <v>1012</v>
      </c>
      <c r="F149" s="94">
        <v>2246640000</v>
      </c>
    </row>
    <row r="150" spans="1:6" ht="12.5" x14ac:dyDescent="0.25">
      <c r="A150" s="65">
        <v>61</v>
      </c>
      <c r="B150" s="65">
        <v>30401517</v>
      </c>
      <c r="C150" s="65" t="s">
        <v>295</v>
      </c>
      <c r="D150" s="65" t="s">
        <v>95</v>
      </c>
      <c r="E150" s="65">
        <v>634</v>
      </c>
      <c r="F150" s="94">
        <v>1407480000</v>
      </c>
    </row>
    <row r="151" spans="1:6" ht="12.5" x14ac:dyDescent="0.25">
      <c r="A151" s="65">
        <v>62</v>
      </c>
      <c r="B151" s="65">
        <v>69946738</v>
      </c>
      <c r="C151" s="65" t="s">
        <v>1551</v>
      </c>
      <c r="D151" s="65" t="s">
        <v>1485</v>
      </c>
      <c r="E151" s="65">
        <v>124</v>
      </c>
      <c r="F151" s="94">
        <v>279000000</v>
      </c>
    </row>
    <row r="152" spans="1:6" ht="12.5" x14ac:dyDescent="0.25">
      <c r="A152" s="65">
        <v>63</v>
      </c>
      <c r="B152" s="65">
        <v>30407288</v>
      </c>
      <c r="C152" s="65" t="s">
        <v>1561</v>
      </c>
      <c r="D152" s="65" t="s">
        <v>1485</v>
      </c>
      <c r="E152" s="65">
        <v>340</v>
      </c>
      <c r="F152" s="94">
        <v>765000000</v>
      </c>
    </row>
    <row r="153" spans="1:6" ht="12.5" x14ac:dyDescent="0.25">
      <c r="A153" s="65">
        <v>64</v>
      </c>
      <c r="B153" s="65">
        <v>30402084</v>
      </c>
      <c r="C153" s="65" t="s">
        <v>1567</v>
      </c>
      <c r="D153" s="65" t="s">
        <v>1485</v>
      </c>
      <c r="E153" s="65">
        <v>261</v>
      </c>
      <c r="F153" s="94">
        <v>587250000</v>
      </c>
    </row>
    <row r="154" spans="1:6" ht="12.5" x14ac:dyDescent="0.25">
      <c r="A154" s="65">
        <v>65</v>
      </c>
      <c r="B154" s="65">
        <v>30409868</v>
      </c>
      <c r="C154" s="65" t="s">
        <v>1544</v>
      </c>
      <c r="D154" s="65" t="s">
        <v>1485</v>
      </c>
      <c r="E154" s="65">
        <v>239</v>
      </c>
      <c r="F154" s="94">
        <v>537750000</v>
      </c>
    </row>
    <row r="155" spans="1:6" ht="12.5" x14ac:dyDescent="0.25">
      <c r="A155" s="65">
        <v>66</v>
      </c>
      <c r="B155" s="65">
        <v>70037340</v>
      </c>
      <c r="C155" s="65" t="s">
        <v>1556</v>
      </c>
      <c r="D155" s="65" t="s">
        <v>1485</v>
      </c>
      <c r="E155" s="65">
        <v>58</v>
      </c>
      <c r="F155" s="94">
        <v>130500000</v>
      </c>
    </row>
    <row r="156" spans="1:6" ht="12.5" x14ac:dyDescent="0.25">
      <c r="A156" s="65">
        <v>67</v>
      </c>
      <c r="B156" s="65">
        <v>30405265</v>
      </c>
      <c r="C156" s="65" t="s">
        <v>1470</v>
      </c>
      <c r="D156" s="65" t="s">
        <v>1320</v>
      </c>
      <c r="E156" s="65">
        <v>705</v>
      </c>
      <c r="F156" s="94">
        <v>1558050000</v>
      </c>
    </row>
    <row r="157" spans="1:6" ht="12.5" x14ac:dyDescent="0.25">
      <c r="A157" s="65">
        <v>68</v>
      </c>
      <c r="B157" s="65">
        <v>30407736</v>
      </c>
      <c r="C157" s="65" t="s">
        <v>1463</v>
      </c>
      <c r="D157" s="65" t="s">
        <v>1320</v>
      </c>
      <c r="E157" s="65">
        <v>188</v>
      </c>
      <c r="F157" s="94">
        <v>415480000</v>
      </c>
    </row>
    <row r="158" spans="1:6" ht="12.5" x14ac:dyDescent="0.25">
      <c r="A158" s="65">
        <v>69</v>
      </c>
      <c r="B158" s="65">
        <v>69786428</v>
      </c>
      <c r="C158" s="65" t="s">
        <v>1481</v>
      </c>
      <c r="D158" s="65" t="s">
        <v>1320</v>
      </c>
      <c r="E158" s="65">
        <v>243</v>
      </c>
      <c r="F158" s="94">
        <v>537030000</v>
      </c>
    </row>
    <row r="159" spans="1:6" ht="12.5" x14ac:dyDescent="0.25">
      <c r="A159" s="65">
        <v>70</v>
      </c>
      <c r="B159" s="65">
        <v>30408004</v>
      </c>
      <c r="C159" s="65" t="s">
        <v>1448</v>
      </c>
      <c r="D159" s="65" t="s">
        <v>1320</v>
      </c>
      <c r="E159" s="65">
        <v>38</v>
      </c>
      <c r="F159" s="94">
        <v>83980000</v>
      </c>
    </row>
    <row r="160" spans="1:6" ht="12.5" x14ac:dyDescent="0.25">
      <c r="A160" s="65">
        <v>71</v>
      </c>
      <c r="B160" s="65">
        <v>69759028</v>
      </c>
      <c r="C160" s="65" t="s">
        <v>1455</v>
      </c>
      <c r="D160" s="65" t="s">
        <v>1320</v>
      </c>
      <c r="E160" s="65">
        <v>121</v>
      </c>
      <c r="F160" s="94">
        <v>267410000</v>
      </c>
    </row>
    <row r="161" spans="1:6" ht="12.5" x14ac:dyDescent="0.25">
      <c r="A161" s="65">
        <v>72</v>
      </c>
      <c r="B161" s="65">
        <v>30405357</v>
      </c>
      <c r="C161" s="65" t="s">
        <v>1475</v>
      </c>
      <c r="D161" s="65" t="s">
        <v>1320</v>
      </c>
      <c r="E161" s="65">
        <v>189</v>
      </c>
      <c r="F161" s="94">
        <v>417690000</v>
      </c>
    </row>
    <row r="162" spans="1:6" ht="12.5" x14ac:dyDescent="0.25">
      <c r="A162" s="65">
        <v>73</v>
      </c>
      <c r="B162" s="65">
        <v>30409888</v>
      </c>
      <c r="C162" s="65" t="s">
        <v>1315</v>
      </c>
      <c r="D162" s="65" t="s">
        <v>1296</v>
      </c>
      <c r="E162" s="65">
        <v>61</v>
      </c>
      <c r="F162" s="94">
        <v>120170000</v>
      </c>
    </row>
    <row r="163" spans="1:6" ht="12.5" x14ac:dyDescent="0.25">
      <c r="A163" s="65">
        <v>74</v>
      </c>
      <c r="B163" s="65">
        <v>60726654</v>
      </c>
      <c r="C163" s="65" t="s">
        <v>1309</v>
      </c>
      <c r="D163" s="65" t="s">
        <v>1296</v>
      </c>
      <c r="E163" s="65">
        <v>40</v>
      </c>
      <c r="F163" s="94">
        <v>78800000</v>
      </c>
    </row>
    <row r="164" spans="1:6" ht="12.5" x14ac:dyDescent="0.25">
      <c r="A164" s="65">
        <v>75</v>
      </c>
      <c r="B164" s="65">
        <v>69981642</v>
      </c>
      <c r="C164" s="65" t="s">
        <v>1229</v>
      </c>
      <c r="D164" s="65" t="s">
        <v>1132</v>
      </c>
      <c r="E164" s="65">
        <v>29</v>
      </c>
      <c r="F164" s="94">
        <v>60900000</v>
      </c>
    </row>
    <row r="165" spans="1:6" ht="12.5" x14ac:dyDescent="0.25">
      <c r="A165" s="65">
        <v>76</v>
      </c>
      <c r="B165" s="65">
        <v>30400776</v>
      </c>
      <c r="C165" s="65" t="s">
        <v>1249</v>
      </c>
      <c r="D165" s="65" t="s">
        <v>1132</v>
      </c>
      <c r="E165" s="65">
        <v>305</v>
      </c>
      <c r="F165" s="94">
        <v>640500000</v>
      </c>
    </row>
    <row r="166" spans="1:6" ht="12.5" x14ac:dyDescent="0.25">
      <c r="A166" s="65">
        <v>77</v>
      </c>
      <c r="B166" s="65">
        <v>30405622</v>
      </c>
      <c r="C166" s="65" t="s">
        <v>1290</v>
      </c>
      <c r="D166" s="65" t="s">
        <v>1132</v>
      </c>
      <c r="E166" s="65">
        <v>173</v>
      </c>
      <c r="F166" s="94">
        <v>363300000</v>
      </c>
    </row>
    <row r="167" spans="1:6" ht="12.5" x14ac:dyDescent="0.25">
      <c r="A167" s="65">
        <v>78</v>
      </c>
      <c r="B167" s="65">
        <v>30400778</v>
      </c>
      <c r="C167" s="65" t="s">
        <v>1243</v>
      </c>
      <c r="D167" s="65" t="s">
        <v>1132</v>
      </c>
      <c r="E167" s="65">
        <v>47</v>
      </c>
      <c r="F167" s="94">
        <v>98700000</v>
      </c>
    </row>
    <row r="168" spans="1:6" ht="12.5" x14ac:dyDescent="0.25">
      <c r="A168" s="65">
        <v>79</v>
      </c>
      <c r="B168" s="65">
        <v>30404577</v>
      </c>
      <c r="C168" s="65" t="s">
        <v>1256</v>
      </c>
      <c r="D168" s="65" t="s">
        <v>1132</v>
      </c>
      <c r="E168" s="65">
        <v>292</v>
      </c>
      <c r="F168" s="94">
        <v>613200000</v>
      </c>
    </row>
    <row r="169" spans="1:6" ht="12.5" x14ac:dyDescent="0.25">
      <c r="A169" s="65">
        <v>80</v>
      </c>
      <c r="B169" s="65">
        <v>30404455</v>
      </c>
      <c r="C169" s="65" t="s">
        <v>1235</v>
      </c>
      <c r="D169" s="65" t="s">
        <v>1132</v>
      </c>
      <c r="E169" s="65">
        <v>89</v>
      </c>
      <c r="F169" s="94">
        <v>186900000</v>
      </c>
    </row>
    <row r="170" spans="1:6" ht="12.5" x14ac:dyDescent="0.25">
      <c r="A170" s="65">
        <v>81</v>
      </c>
      <c r="B170" s="65">
        <v>30405683</v>
      </c>
      <c r="C170" s="65" t="s">
        <v>1263</v>
      </c>
      <c r="D170" s="65" t="s">
        <v>1132</v>
      </c>
      <c r="E170" s="65">
        <v>234</v>
      </c>
      <c r="F170" s="94">
        <v>491400000</v>
      </c>
    </row>
    <row r="171" spans="1:6" ht="12.5" x14ac:dyDescent="0.25">
      <c r="A171" s="65">
        <v>82</v>
      </c>
      <c r="B171" s="65">
        <v>30404529</v>
      </c>
      <c r="C171" s="65" t="s">
        <v>1270</v>
      </c>
      <c r="D171" s="65" t="s">
        <v>1132</v>
      </c>
      <c r="E171" s="65">
        <v>717</v>
      </c>
      <c r="F171" s="94">
        <v>1505700000</v>
      </c>
    </row>
    <row r="172" spans="1:6" ht="12.5" x14ac:dyDescent="0.25">
      <c r="A172" s="65">
        <v>83</v>
      </c>
      <c r="B172" s="65">
        <v>30404457</v>
      </c>
      <c r="C172" s="65" t="s">
        <v>1277</v>
      </c>
      <c r="D172" s="65" t="s">
        <v>1132</v>
      </c>
      <c r="E172" s="65">
        <v>288</v>
      </c>
      <c r="F172" s="94">
        <v>604800000</v>
      </c>
    </row>
    <row r="173" spans="1:6" ht="12.5" x14ac:dyDescent="0.25">
      <c r="A173" s="65">
        <v>84</v>
      </c>
      <c r="B173" s="65">
        <v>30407809</v>
      </c>
      <c r="C173" s="65" t="s">
        <v>1101</v>
      </c>
      <c r="D173" s="65" t="s">
        <v>731</v>
      </c>
      <c r="E173" s="65">
        <v>110</v>
      </c>
      <c r="F173" s="94">
        <v>235400000</v>
      </c>
    </row>
    <row r="174" spans="1:6" ht="12.5" x14ac:dyDescent="0.25">
      <c r="A174" s="65">
        <v>85</v>
      </c>
      <c r="B174" s="65">
        <v>30405302</v>
      </c>
      <c r="C174" s="65" t="s">
        <v>1009</v>
      </c>
      <c r="D174" s="65" t="s">
        <v>731</v>
      </c>
      <c r="E174" s="94">
        <v>1064</v>
      </c>
      <c r="F174" s="94">
        <v>2276960000</v>
      </c>
    </row>
    <row r="175" spans="1:6" ht="12.5" x14ac:dyDescent="0.25">
      <c r="A175" s="65">
        <v>86</v>
      </c>
      <c r="B175" s="65">
        <v>70009642</v>
      </c>
      <c r="C175" s="65" t="s">
        <v>1038</v>
      </c>
      <c r="D175" s="65" t="s">
        <v>731</v>
      </c>
      <c r="E175" s="65">
        <v>312</v>
      </c>
      <c r="F175" s="94">
        <v>667680000</v>
      </c>
    </row>
    <row r="176" spans="1:6" ht="12.5" x14ac:dyDescent="0.25">
      <c r="A176" s="65">
        <v>87</v>
      </c>
      <c r="B176" s="65">
        <v>30405303</v>
      </c>
      <c r="C176" s="65" t="s">
        <v>1070</v>
      </c>
      <c r="D176" s="65" t="s">
        <v>731</v>
      </c>
      <c r="E176" s="65">
        <v>216</v>
      </c>
      <c r="F176" s="94">
        <v>462240000</v>
      </c>
    </row>
    <row r="177" spans="1:6" ht="12.5" x14ac:dyDescent="0.25">
      <c r="A177" s="65">
        <v>88</v>
      </c>
      <c r="B177" s="65">
        <v>30407742</v>
      </c>
      <c r="C177" s="65" t="s">
        <v>1019</v>
      </c>
      <c r="D177" s="65" t="s">
        <v>731</v>
      </c>
      <c r="E177" s="65">
        <v>21</v>
      </c>
      <c r="F177" s="94">
        <v>44940000</v>
      </c>
    </row>
    <row r="178" spans="1:6" ht="12.5" x14ac:dyDescent="0.25">
      <c r="A178" s="65">
        <v>89</v>
      </c>
      <c r="B178" s="65">
        <v>30409890</v>
      </c>
      <c r="C178" s="65" t="s">
        <v>1014</v>
      </c>
      <c r="D178" s="65" t="s">
        <v>731</v>
      </c>
      <c r="E178" s="65">
        <v>39</v>
      </c>
      <c r="F178" s="94">
        <v>83460000</v>
      </c>
    </row>
    <row r="179" spans="1:6" ht="12.5" x14ac:dyDescent="0.25">
      <c r="A179" s="65">
        <v>90</v>
      </c>
      <c r="B179" s="65">
        <v>30400227</v>
      </c>
      <c r="C179" s="65" t="s">
        <v>1034</v>
      </c>
      <c r="D179" s="65" t="s">
        <v>731</v>
      </c>
      <c r="E179" s="65">
        <v>665</v>
      </c>
      <c r="F179" s="94">
        <v>1423100000</v>
      </c>
    </row>
    <row r="180" spans="1:6" ht="12.5" x14ac:dyDescent="0.25">
      <c r="A180" s="65">
        <v>91</v>
      </c>
      <c r="B180" s="65">
        <v>69860520</v>
      </c>
      <c r="C180" s="65" t="s">
        <v>1064</v>
      </c>
      <c r="D180" s="65" t="s">
        <v>731</v>
      </c>
      <c r="E180" s="65">
        <v>101</v>
      </c>
      <c r="F180" s="94">
        <v>216140000</v>
      </c>
    </row>
    <row r="181" spans="1:6" ht="12.5" x14ac:dyDescent="0.25">
      <c r="A181" s="65">
        <v>92</v>
      </c>
      <c r="B181" s="65">
        <v>30405785</v>
      </c>
      <c r="C181" s="65" t="s">
        <v>1044</v>
      </c>
      <c r="D181" s="65" t="s">
        <v>731</v>
      </c>
      <c r="E181" s="65">
        <v>349</v>
      </c>
      <c r="F181" s="94">
        <v>746860000</v>
      </c>
    </row>
    <row r="182" spans="1:6" ht="12.5" x14ac:dyDescent="0.25">
      <c r="A182" s="65">
        <v>93</v>
      </c>
      <c r="B182" s="65">
        <v>30407390</v>
      </c>
      <c r="C182" s="65" t="s">
        <v>1049</v>
      </c>
      <c r="D182" s="65" t="s">
        <v>731</v>
      </c>
      <c r="E182" s="65">
        <v>233</v>
      </c>
      <c r="F182" s="94">
        <v>498620000</v>
      </c>
    </row>
    <row r="183" spans="1:6" ht="12.5" x14ac:dyDescent="0.25">
      <c r="A183" s="65">
        <v>94</v>
      </c>
      <c r="B183" s="65">
        <v>70013872</v>
      </c>
      <c r="C183" s="65" t="s">
        <v>998</v>
      </c>
      <c r="D183" s="65" t="s">
        <v>731</v>
      </c>
      <c r="E183" s="65">
        <v>55</v>
      </c>
      <c r="F183" s="94">
        <v>117700000</v>
      </c>
    </row>
    <row r="184" spans="1:6" ht="12.5" x14ac:dyDescent="0.25">
      <c r="A184" s="65">
        <v>95</v>
      </c>
      <c r="B184" s="65">
        <v>30405301</v>
      </c>
      <c r="C184" s="65" t="s">
        <v>993</v>
      </c>
      <c r="D184" s="65" t="s">
        <v>731</v>
      </c>
      <c r="E184" s="65">
        <v>27</v>
      </c>
      <c r="F184" s="94">
        <v>57780000</v>
      </c>
    </row>
    <row r="185" spans="1:6" ht="12.5" x14ac:dyDescent="0.25">
      <c r="A185" s="65">
        <v>96</v>
      </c>
      <c r="B185" s="65">
        <v>30405784</v>
      </c>
      <c r="C185" s="65" t="s">
        <v>1023</v>
      </c>
      <c r="D185" s="65" t="s">
        <v>731</v>
      </c>
      <c r="E185" s="65">
        <v>245</v>
      </c>
      <c r="F185" s="94">
        <v>524300000</v>
      </c>
    </row>
    <row r="186" spans="1:6" ht="12.5" x14ac:dyDescent="0.25">
      <c r="A186" s="65">
        <v>97</v>
      </c>
      <c r="B186" s="65">
        <v>30407704</v>
      </c>
      <c r="C186" s="65" t="s">
        <v>1003</v>
      </c>
      <c r="D186" s="65" t="s">
        <v>731</v>
      </c>
      <c r="E186" s="65">
        <v>108</v>
      </c>
      <c r="F186" s="94">
        <v>231120000</v>
      </c>
    </row>
    <row r="187" spans="1:6" ht="12.5" x14ac:dyDescent="0.25">
      <c r="A187" s="65">
        <v>98</v>
      </c>
      <c r="B187" s="65">
        <v>30405299</v>
      </c>
      <c r="C187" s="65" t="s">
        <v>1054</v>
      </c>
      <c r="D187" s="65" t="s">
        <v>731</v>
      </c>
      <c r="E187" s="65">
        <v>819</v>
      </c>
      <c r="F187" s="94">
        <v>1752660000</v>
      </c>
    </row>
    <row r="188" spans="1:6" ht="12.5" x14ac:dyDescent="0.25">
      <c r="A188" s="65">
        <v>99</v>
      </c>
      <c r="B188" s="65">
        <v>69902882</v>
      </c>
      <c r="C188" s="65" t="s">
        <v>1028</v>
      </c>
      <c r="D188" s="65" t="s">
        <v>731</v>
      </c>
      <c r="E188" s="65">
        <v>106</v>
      </c>
      <c r="F188" s="94">
        <v>226840000</v>
      </c>
    </row>
    <row r="189" spans="1:6" ht="12.5" x14ac:dyDescent="0.25">
      <c r="A189" s="65">
        <v>100</v>
      </c>
      <c r="B189" s="65">
        <v>30400228</v>
      </c>
      <c r="C189" s="65" t="s">
        <v>1060</v>
      </c>
      <c r="D189" s="65" t="s">
        <v>731</v>
      </c>
      <c r="E189" s="65">
        <v>225</v>
      </c>
      <c r="F189" s="94">
        <v>481500000</v>
      </c>
    </row>
    <row r="190" spans="1:6" ht="12.5" x14ac:dyDescent="0.25">
      <c r="A190" s="65">
        <v>101</v>
      </c>
      <c r="B190" s="65">
        <v>30405304</v>
      </c>
      <c r="C190" s="65" t="s">
        <v>1090</v>
      </c>
      <c r="D190" s="65" t="s">
        <v>731</v>
      </c>
      <c r="E190" s="65">
        <v>269</v>
      </c>
      <c r="F190" s="94">
        <v>575660000</v>
      </c>
    </row>
    <row r="191" spans="1:6" ht="12.5" x14ac:dyDescent="0.25">
      <c r="A191" s="65">
        <v>102</v>
      </c>
      <c r="B191" s="65">
        <v>30405293</v>
      </c>
      <c r="C191" s="65" t="s">
        <v>1108</v>
      </c>
      <c r="D191" s="65" t="s">
        <v>731</v>
      </c>
      <c r="E191" s="65">
        <v>267</v>
      </c>
      <c r="F191" s="94">
        <v>571380000</v>
      </c>
    </row>
    <row r="192" spans="1:6" ht="12.5" x14ac:dyDescent="0.25">
      <c r="A192" s="65">
        <v>103</v>
      </c>
      <c r="B192" s="65">
        <v>30400213</v>
      </c>
      <c r="C192" s="65" t="s">
        <v>1124</v>
      </c>
      <c r="D192" s="65" t="s">
        <v>731</v>
      </c>
      <c r="E192" s="65">
        <v>293</v>
      </c>
      <c r="F192" s="94">
        <v>627020000</v>
      </c>
    </row>
    <row r="193" spans="1:6" ht="12.5" x14ac:dyDescent="0.25">
      <c r="A193" s="65">
        <v>104</v>
      </c>
      <c r="B193" s="65">
        <v>30405765</v>
      </c>
      <c r="C193" s="65" t="s">
        <v>1081</v>
      </c>
      <c r="D193" s="65" t="s">
        <v>731</v>
      </c>
      <c r="E193" s="65">
        <v>30</v>
      </c>
      <c r="F193" s="94">
        <v>64200000</v>
      </c>
    </row>
    <row r="194" spans="1:6" ht="12.5" x14ac:dyDescent="0.25">
      <c r="A194" s="65">
        <v>105</v>
      </c>
      <c r="B194" s="65">
        <v>30405296</v>
      </c>
      <c r="C194" s="65" t="s">
        <v>1120</v>
      </c>
      <c r="D194" s="65" t="s">
        <v>731</v>
      </c>
      <c r="E194" s="65">
        <v>23</v>
      </c>
      <c r="F194" s="94">
        <v>49220000</v>
      </c>
    </row>
    <row r="195" spans="1:6" ht="12.5" x14ac:dyDescent="0.25">
      <c r="A195" s="65">
        <v>106</v>
      </c>
      <c r="B195" s="65">
        <v>30405788</v>
      </c>
      <c r="C195" s="65" t="s">
        <v>1095</v>
      </c>
      <c r="D195" s="65" t="s">
        <v>731</v>
      </c>
      <c r="E195" s="65">
        <v>301</v>
      </c>
      <c r="F195" s="94">
        <v>644140000</v>
      </c>
    </row>
    <row r="196" spans="1:6" ht="12.5" x14ac:dyDescent="0.25">
      <c r="A196" s="65">
        <v>107</v>
      </c>
      <c r="B196" s="65">
        <v>69764524</v>
      </c>
      <c r="C196" s="65" t="s">
        <v>1129</v>
      </c>
      <c r="D196" s="65" t="s">
        <v>731</v>
      </c>
      <c r="E196" s="65">
        <v>108</v>
      </c>
      <c r="F196" s="94">
        <v>231120000</v>
      </c>
    </row>
    <row r="197" spans="1:6" ht="12.5" x14ac:dyDescent="0.25">
      <c r="A197" s="65">
        <v>108</v>
      </c>
      <c r="B197" s="65">
        <v>30405305</v>
      </c>
      <c r="C197" s="65" t="s">
        <v>1075</v>
      </c>
      <c r="D197" s="65" t="s">
        <v>731</v>
      </c>
      <c r="E197" s="65">
        <v>329</v>
      </c>
      <c r="F197" s="94">
        <v>704060000</v>
      </c>
    </row>
    <row r="198" spans="1:6" ht="12.5" x14ac:dyDescent="0.25">
      <c r="A198" s="65">
        <v>109</v>
      </c>
      <c r="B198" s="65">
        <v>30405783</v>
      </c>
      <c r="C198" s="65" t="s">
        <v>1086</v>
      </c>
      <c r="D198" s="65" t="s">
        <v>731</v>
      </c>
      <c r="E198" s="65">
        <v>300</v>
      </c>
      <c r="F198" s="94">
        <v>642000000</v>
      </c>
    </row>
    <row r="199" spans="1:6" ht="12.5" x14ac:dyDescent="0.25">
      <c r="A199" s="65">
        <v>110</v>
      </c>
      <c r="B199" s="65">
        <v>30405787</v>
      </c>
      <c r="C199" s="65" t="s">
        <v>1115</v>
      </c>
      <c r="D199" s="65" t="s">
        <v>731</v>
      </c>
      <c r="E199" s="65">
        <v>197</v>
      </c>
      <c r="F199" s="94">
        <v>421580000</v>
      </c>
    </row>
    <row r="200" spans="1:6" ht="12.5" x14ac:dyDescent="0.25">
      <c r="A200" s="65">
        <v>111</v>
      </c>
      <c r="B200" s="65">
        <v>30402393</v>
      </c>
      <c r="C200" s="65" t="s">
        <v>727</v>
      </c>
      <c r="D200" s="65" t="s">
        <v>633</v>
      </c>
      <c r="E200" s="65">
        <v>14</v>
      </c>
      <c r="F200" s="94">
        <v>27860000</v>
      </c>
    </row>
    <row r="201" spans="1:6" ht="12.5" x14ac:dyDescent="0.25">
      <c r="A201" s="65">
        <v>112</v>
      </c>
      <c r="B201" s="65">
        <v>30400572</v>
      </c>
      <c r="C201" s="65" t="s">
        <v>690</v>
      </c>
      <c r="D201" s="65" t="s">
        <v>633</v>
      </c>
      <c r="E201" s="65">
        <v>9</v>
      </c>
      <c r="F201" s="94">
        <v>17910000</v>
      </c>
    </row>
    <row r="202" spans="1:6" ht="12.5" x14ac:dyDescent="0.25">
      <c r="A202" s="65">
        <v>113</v>
      </c>
      <c r="B202" s="65">
        <v>30400569</v>
      </c>
      <c r="C202" s="65" t="s">
        <v>721</v>
      </c>
      <c r="D202" s="65" t="s">
        <v>633</v>
      </c>
      <c r="E202" s="65">
        <v>81</v>
      </c>
      <c r="F202" s="94">
        <v>161190000</v>
      </c>
    </row>
    <row r="203" spans="1:6" ht="12.5" x14ac:dyDescent="0.25">
      <c r="A203" s="65">
        <v>114</v>
      </c>
      <c r="B203" s="65">
        <v>69947959</v>
      </c>
      <c r="C203" s="65" t="s">
        <v>703</v>
      </c>
      <c r="D203" s="65" t="s">
        <v>633</v>
      </c>
      <c r="E203" s="65">
        <v>47</v>
      </c>
      <c r="F203" s="94">
        <v>93530000</v>
      </c>
    </row>
    <row r="204" spans="1:6" ht="12.5" x14ac:dyDescent="0.25">
      <c r="A204" s="65">
        <v>115</v>
      </c>
      <c r="B204" s="65">
        <v>69815417</v>
      </c>
      <c r="C204" s="65" t="s">
        <v>697</v>
      </c>
      <c r="D204" s="65" t="s">
        <v>633</v>
      </c>
      <c r="E204" s="65">
        <v>19</v>
      </c>
      <c r="F204" s="94">
        <v>37810000</v>
      </c>
    </row>
    <row r="205" spans="1:6" ht="12.5" x14ac:dyDescent="0.25">
      <c r="A205" s="65">
        <v>116</v>
      </c>
      <c r="B205" s="65">
        <v>30400571</v>
      </c>
      <c r="C205" s="65" t="s">
        <v>709</v>
      </c>
      <c r="D205" s="65" t="s">
        <v>633</v>
      </c>
      <c r="E205" s="65">
        <v>46</v>
      </c>
      <c r="F205" s="94">
        <v>91540000</v>
      </c>
    </row>
    <row r="206" spans="1:6" ht="12.5" x14ac:dyDescent="0.25">
      <c r="A206" s="65">
        <v>117</v>
      </c>
      <c r="B206" s="65">
        <v>30400570</v>
      </c>
      <c r="C206" s="65" t="s">
        <v>716</v>
      </c>
      <c r="D206" s="65" t="s">
        <v>633</v>
      </c>
      <c r="E206" s="65">
        <v>366</v>
      </c>
      <c r="F206" s="94">
        <v>728340000</v>
      </c>
    </row>
    <row r="207" spans="1:6" ht="12.5" x14ac:dyDescent="0.25">
      <c r="A207" s="65">
        <v>118</v>
      </c>
      <c r="B207" s="65">
        <v>30404230</v>
      </c>
      <c r="C207" s="65" t="s">
        <v>480</v>
      </c>
      <c r="D207" s="65" t="s">
        <v>381</v>
      </c>
      <c r="E207" s="65">
        <v>609</v>
      </c>
      <c r="F207" s="94">
        <v>1358070000</v>
      </c>
    </row>
    <row r="208" spans="1:6" ht="12.5" x14ac:dyDescent="0.25">
      <c r="A208" s="65">
        <v>119</v>
      </c>
      <c r="B208" s="65">
        <v>69775247</v>
      </c>
      <c r="C208" s="65" t="s">
        <v>456</v>
      </c>
      <c r="D208" s="65" t="s">
        <v>381</v>
      </c>
      <c r="E208" s="65">
        <v>47</v>
      </c>
      <c r="F208" s="94">
        <v>104810000</v>
      </c>
    </row>
    <row r="209" spans="1:6" ht="12.5" x14ac:dyDescent="0.25">
      <c r="A209" s="65">
        <v>120</v>
      </c>
      <c r="B209" s="65">
        <v>69786401</v>
      </c>
      <c r="C209" s="65" t="s">
        <v>462</v>
      </c>
      <c r="D209" s="65" t="s">
        <v>381</v>
      </c>
      <c r="E209" s="65">
        <v>12</v>
      </c>
      <c r="F209" s="94">
        <v>26760000</v>
      </c>
    </row>
    <row r="210" spans="1:6" ht="12.5" x14ac:dyDescent="0.25">
      <c r="A210" s="65">
        <v>121</v>
      </c>
      <c r="B210" s="65">
        <v>30404243</v>
      </c>
      <c r="C210" s="65" t="s">
        <v>468</v>
      </c>
      <c r="D210" s="65" t="s">
        <v>381</v>
      </c>
      <c r="E210" s="65">
        <v>54</v>
      </c>
      <c r="F210" s="94">
        <v>120420000</v>
      </c>
    </row>
    <row r="211" spans="1:6" ht="12.5" x14ac:dyDescent="0.25">
      <c r="A211" s="65">
        <v>122</v>
      </c>
      <c r="B211" s="65">
        <v>30404244</v>
      </c>
      <c r="C211" s="65" t="s">
        <v>487</v>
      </c>
      <c r="D211" s="65" t="s">
        <v>381</v>
      </c>
      <c r="E211" s="65">
        <v>153</v>
      </c>
      <c r="F211" s="94">
        <v>341190000</v>
      </c>
    </row>
    <row r="212" spans="1:6" ht="12.5" x14ac:dyDescent="0.25">
      <c r="A212" s="65">
        <v>123</v>
      </c>
      <c r="B212" s="65">
        <v>30404525</v>
      </c>
      <c r="C212" s="65" t="s">
        <v>474</v>
      </c>
      <c r="D212" s="65" t="s">
        <v>381</v>
      </c>
      <c r="E212" s="65">
        <v>253</v>
      </c>
      <c r="F212" s="94">
        <v>564190000</v>
      </c>
    </row>
    <row r="213" spans="1:6" ht="12.5" x14ac:dyDescent="0.25">
      <c r="A213" s="65">
        <v>1</v>
      </c>
      <c r="B213" s="65">
        <v>30401049</v>
      </c>
      <c r="C213" s="65" t="s">
        <v>1681</v>
      </c>
      <c r="D213" s="65" t="s">
        <v>1573</v>
      </c>
      <c r="E213" s="65">
        <v>40</v>
      </c>
      <c r="F213" s="94">
        <v>88400000</v>
      </c>
    </row>
    <row r="214" spans="1:6" ht="12.5" x14ac:dyDescent="0.25">
      <c r="A214" s="65">
        <v>2</v>
      </c>
      <c r="B214" s="65">
        <v>69889019</v>
      </c>
      <c r="C214" s="65" t="s">
        <v>1671</v>
      </c>
      <c r="D214" s="65" t="s">
        <v>1573</v>
      </c>
      <c r="E214" s="65">
        <v>47</v>
      </c>
      <c r="F214" s="94">
        <v>103870000</v>
      </c>
    </row>
    <row r="215" spans="1:6" ht="12.5" x14ac:dyDescent="0.25">
      <c r="A215" s="65">
        <v>3</v>
      </c>
      <c r="B215" s="65">
        <v>69774828</v>
      </c>
      <c r="C215" s="65" t="s">
        <v>1691</v>
      </c>
      <c r="D215" s="65" t="s">
        <v>1573</v>
      </c>
      <c r="E215" s="65">
        <v>43</v>
      </c>
      <c r="F215" s="94">
        <v>95030000</v>
      </c>
    </row>
    <row r="216" spans="1:6" ht="12.5" x14ac:dyDescent="0.25">
      <c r="A216" s="65">
        <v>4</v>
      </c>
      <c r="B216" s="65">
        <v>69753985</v>
      </c>
      <c r="C216" s="65" t="s">
        <v>1705</v>
      </c>
      <c r="D216" s="65" t="s">
        <v>1573</v>
      </c>
      <c r="E216" s="65">
        <v>66</v>
      </c>
      <c r="F216" s="94">
        <v>145860000</v>
      </c>
    </row>
    <row r="217" spans="1:6" ht="12.5" x14ac:dyDescent="0.25">
      <c r="A217" s="65">
        <v>5</v>
      </c>
      <c r="B217" s="65">
        <v>69967615</v>
      </c>
      <c r="C217" s="65" t="s">
        <v>1666</v>
      </c>
      <c r="D217" s="65" t="s">
        <v>1573</v>
      </c>
      <c r="E217" s="65">
        <v>30</v>
      </c>
      <c r="F217" s="94">
        <v>66300000</v>
      </c>
    </row>
    <row r="218" spans="1:6" ht="12.5" x14ac:dyDescent="0.25">
      <c r="A218" s="65">
        <v>6</v>
      </c>
      <c r="B218" s="65">
        <v>69774827</v>
      </c>
      <c r="C218" s="65" t="s">
        <v>1696</v>
      </c>
      <c r="D218" s="65" t="s">
        <v>1573</v>
      </c>
      <c r="E218" s="65">
        <v>61</v>
      </c>
      <c r="F218" s="94">
        <v>134810000</v>
      </c>
    </row>
    <row r="219" spans="1:6" ht="12.5" x14ac:dyDescent="0.25">
      <c r="A219" s="65">
        <v>7</v>
      </c>
      <c r="B219" s="65">
        <v>30405644</v>
      </c>
      <c r="C219" s="65" t="s">
        <v>1700</v>
      </c>
      <c r="D219" s="65" t="s">
        <v>1573</v>
      </c>
      <c r="E219" s="65">
        <v>75</v>
      </c>
      <c r="F219" s="94">
        <v>165750000</v>
      </c>
    </row>
    <row r="220" spans="1:6" ht="12.5" x14ac:dyDescent="0.25">
      <c r="A220" s="65">
        <v>8</v>
      </c>
      <c r="B220" s="65">
        <v>30407424</v>
      </c>
      <c r="C220" s="65" t="s">
        <v>1686</v>
      </c>
      <c r="D220" s="65" t="s">
        <v>1573</v>
      </c>
      <c r="E220" s="65">
        <v>30</v>
      </c>
      <c r="F220" s="94">
        <v>66300000</v>
      </c>
    </row>
    <row r="221" spans="1:6" ht="12.5" x14ac:dyDescent="0.25">
      <c r="A221" s="65">
        <v>9</v>
      </c>
      <c r="B221" s="65">
        <v>69947996</v>
      </c>
      <c r="C221" s="65" t="s">
        <v>1676</v>
      </c>
      <c r="D221" s="65" t="s">
        <v>1573</v>
      </c>
      <c r="E221" s="65">
        <v>24</v>
      </c>
      <c r="F221" s="94">
        <v>53040000</v>
      </c>
    </row>
    <row r="222" spans="1:6" ht="12.5" x14ac:dyDescent="0.25">
      <c r="A222" s="65">
        <v>10</v>
      </c>
      <c r="B222" s="65">
        <v>69822498</v>
      </c>
      <c r="C222" s="65" t="s">
        <v>514</v>
      </c>
      <c r="D222" s="65" t="s">
        <v>494</v>
      </c>
      <c r="E222" s="65">
        <v>11</v>
      </c>
      <c r="F222" s="94">
        <v>25300000</v>
      </c>
    </row>
    <row r="223" spans="1:6" ht="12.5" x14ac:dyDescent="0.25">
      <c r="A223" s="65">
        <v>11</v>
      </c>
      <c r="B223" s="65">
        <v>30401832</v>
      </c>
      <c r="C223" s="65" t="s">
        <v>519</v>
      </c>
      <c r="D223" s="65" t="s">
        <v>494</v>
      </c>
      <c r="E223" s="65">
        <v>32</v>
      </c>
      <c r="F223" s="94">
        <v>73600000</v>
      </c>
    </row>
    <row r="224" spans="1:6" ht="12.5" x14ac:dyDescent="0.25">
      <c r="A224" s="65">
        <v>12</v>
      </c>
      <c r="B224" s="65">
        <v>69958787</v>
      </c>
      <c r="C224" s="65" t="s">
        <v>525</v>
      </c>
      <c r="D224" s="65" t="s">
        <v>494</v>
      </c>
      <c r="E224" s="65">
        <v>28</v>
      </c>
      <c r="F224" s="94">
        <v>64400000</v>
      </c>
    </row>
    <row r="225" spans="1:6" ht="12.5" x14ac:dyDescent="0.25">
      <c r="A225" s="65">
        <v>13</v>
      </c>
      <c r="B225" s="65">
        <v>70001505</v>
      </c>
      <c r="C225" s="65" t="s">
        <v>508</v>
      </c>
      <c r="D225" s="65" t="s">
        <v>494</v>
      </c>
      <c r="E225" s="65">
        <v>14</v>
      </c>
      <c r="F225" s="94">
        <v>32200000</v>
      </c>
    </row>
    <row r="226" spans="1:6" ht="12.5" x14ac:dyDescent="0.25">
      <c r="A226" s="65">
        <v>14</v>
      </c>
      <c r="B226" s="65">
        <v>30404465</v>
      </c>
      <c r="C226" s="65" t="s">
        <v>530</v>
      </c>
      <c r="D226" s="65" t="s">
        <v>494</v>
      </c>
      <c r="E226" s="65">
        <v>39</v>
      </c>
      <c r="F226" s="94">
        <v>89700000</v>
      </c>
    </row>
    <row r="227" spans="1:6" ht="12.5" x14ac:dyDescent="0.25">
      <c r="A227" s="65">
        <v>15</v>
      </c>
      <c r="B227" s="65">
        <v>30402882</v>
      </c>
      <c r="C227" s="65" t="s">
        <v>160</v>
      </c>
      <c r="D227" s="65" t="s">
        <v>95</v>
      </c>
      <c r="E227" s="65">
        <v>116</v>
      </c>
      <c r="F227" s="94">
        <v>244760000</v>
      </c>
    </row>
    <row r="228" spans="1:6" ht="12.5" x14ac:dyDescent="0.25">
      <c r="A228" s="65">
        <v>16</v>
      </c>
      <c r="B228" s="65">
        <v>69965143</v>
      </c>
      <c r="C228" s="65" t="s">
        <v>153</v>
      </c>
      <c r="D228" s="65" t="s">
        <v>95</v>
      </c>
      <c r="E228" s="65">
        <v>89</v>
      </c>
      <c r="F228" s="94">
        <v>187790000</v>
      </c>
    </row>
    <row r="229" spans="1:6" ht="12.5" x14ac:dyDescent="0.25">
      <c r="A229" s="65">
        <v>17</v>
      </c>
      <c r="B229" s="65">
        <v>30402883</v>
      </c>
      <c r="C229" s="65" t="s">
        <v>166</v>
      </c>
      <c r="D229" s="65" t="s">
        <v>95</v>
      </c>
      <c r="E229" s="65">
        <v>85</v>
      </c>
      <c r="F229" s="94">
        <v>179350000</v>
      </c>
    </row>
    <row r="230" spans="1:6" ht="12.5" x14ac:dyDescent="0.25">
      <c r="A230" s="65">
        <v>18</v>
      </c>
      <c r="B230" s="65">
        <v>30400779</v>
      </c>
      <c r="C230" s="65" t="s">
        <v>1190</v>
      </c>
      <c r="D230" s="65" t="s">
        <v>1132</v>
      </c>
      <c r="E230" s="65">
        <v>64</v>
      </c>
      <c r="F230" s="94">
        <v>149120000</v>
      </c>
    </row>
    <row r="231" spans="1:6" ht="12.5" x14ac:dyDescent="0.25">
      <c r="A231" s="65">
        <v>19</v>
      </c>
      <c r="B231" s="65">
        <v>69878226</v>
      </c>
      <c r="C231" s="65" t="s">
        <v>1184</v>
      </c>
      <c r="D231" s="65" t="s">
        <v>1132</v>
      </c>
      <c r="E231" s="65">
        <v>10</v>
      </c>
      <c r="F231" s="94">
        <v>23300000</v>
      </c>
    </row>
    <row r="232" spans="1:6" ht="12.5" x14ac:dyDescent="0.25">
      <c r="A232" s="65">
        <v>20</v>
      </c>
      <c r="B232" s="65">
        <v>69969940</v>
      </c>
      <c r="C232" s="65" t="s">
        <v>886</v>
      </c>
      <c r="D232" s="65" t="s">
        <v>731</v>
      </c>
      <c r="E232" s="65">
        <v>10</v>
      </c>
      <c r="F232" s="94">
        <v>24300000</v>
      </c>
    </row>
    <row r="233" spans="1:6" ht="12.5" x14ac:dyDescent="0.25">
      <c r="A233" s="65">
        <v>21</v>
      </c>
      <c r="B233" s="65">
        <v>70043018</v>
      </c>
      <c r="C233" s="65" t="s">
        <v>875</v>
      </c>
      <c r="D233" s="65" t="s">
        <v>731</v>
      </c>
      <c r="E233" s="65">
        <v>17</v>
      </c>
      <c r="F233" s="94">
        <v>41310000</v>
      </c>
    </row>
    <row r="234" spans="1:6" ht="12.5" x14ac:dyDescent="0.25">
      <c r="A234" s="65">
        <v>22</v>
      </c>
      <c r="B234" s="65">
        <v>30407686</v>
      </c>
      <c r="C234" s="65" t="s">
        <v>881</v>
      </c>
      <c r="D234" s="65" t="s">
        <v>731</v>
      </c>
      <c r="E234" s="65">
        <v>39</v>
      </c>
      <c r="F234" s="94">
        <v>94770000</v>
      </c>
    </row>
    <row r="235" spans="1:6" ht="12.5" x14ac:dyDescent="0.25">
      <c r="A235" s="65">
        <v>23</v>
      </c>
      <c r="B235" s="65">
        <v>69969001</v>
      </c>
      <c r="C235" s="65" t="s">
        <v>891</v>
      </c>
      <c r="D235" s="65" t="s">
        <v>731</v>
      </c>
      <c r="E235" s="65">
        <v>47</v>
      </c>
      <c r="F235" s="94">
        <v>114210000</v>
      </c>
    </row>
    <row r="236" spans="1:6" ht="12.5" x14ac:dyDescent="0.25">
      <c r="A236" s="65">
        <v>24</v>
      </c>
      <c r="B236" s="65">
        <v>69931888</v>
      </c>
      <c r="C236" s="65" t="s">
        <v>868</v>
      </c>
      <c r="D236" s="65" t="s">
        <v>731</v>
      </c>
      <c r="E236" s="65">
        <v>47</v>
      </c>
      <c r="F236" s="94">
        <v>114210000</v>
      </c>
    </row>
    <row r="237" spans="1:6" ht="12.5" x14ac:dyDescent="0.25">
      <c r="A237" s="65">
        <v>1</v>
      </c>
      <c r="B237" s="65">
        <v>131264720011</v>
      </c>
      <c r="C237" s="65" t="s">
        <v>1601</v>
      </c>
      <c r="D237" s="65" t="s">
        <v>1573</v>
      </c>
      <c r="E237" s="65">
        <v>41</v>
      </c>
      <c r="F237" s="94">
        <v>97580000</v>
      </c>
    </row>
    <row r="238" spans="1:6" ht="12.5" x14ac:dyDescent="0.25">
      <c r="A238" s="65">
        <v>2</v>
      </c>
      <c r="B238" s="65">
        <v>131164720001</v>
      </c>
      <c r="C238" s="65" t="s">
        <v>1580</v>
      </c>
      <c r="D238" s="65" t="s">
        <v>1573</v>
      </c>
      <c r="E238" s="65">
        <v>835</v>
      </c>
      <c r="F238" s="94">
        <v>1987300000</v>
      </c>
    </row>
    <row r="239" spans="1:6" ht="12.5" x14ac:dyDescent="0.25">
      <c r="A239" s="65">
        <v>3</v>
      </c>
      <c r="B239" s="65">
        <v>131264720010</v>
      </c>
      <c r="C239" s="65" t="s">
        <v>1646</v>
      </c>
      <c r="D239" s="65" t="s">
        <v>1573</v>
      </c>
      <c r="E239" s="65">
        <v>51</v>
      </c>
      <c r="F239" s="94">
        <v>121380000</v>
      </c>
    </row>
    <row r="240" spans="1:6" ht="12.5" x14ac:dyDescent="0.25">
      <c r="A240" s="65">
        <v>4</v>
      </c>
      <c r="B240" s="65">
        <v>131164720002</v>
      </c>
      <c r="C240" s="65" t="s">
        <v>1586</v>
      </c>
      <c r="D240" s="65" t="s">
        <v>1573</v>
      </c>
      <c r="E240" s="65">
        <v>985</v>
      </c>
      <c r="F240" s="94">
        <v>2344300000</v>
      </c>
    </row>
    <row r="241" spans="1:6" ht="12.5" x14ac:dyDescent="0.25">
      <c r="A241" s="65">
        <v>5</v>
      </c>
      <c r="B241" s="65">
        <v>131264729007</v>
      </c>
      <c r="C241" s="65" t="s">
        <v>1609</v>
      </c>
      <c r="D241" s="65" t="s">
        <v>1573</v>
      </c>
      <c r="E241" s="65">
        <v>35</v>
      </c>
      <c r="F241" s="94">
        <v>83300000</v>
      </c>
    </row>
    <row r="242" spans="1:6" ht="12.5" x14ac:dyDescent="0.25">
      <c r="A242" s="65">
        <v>6</v>
      </c>
      <c r="B242" s="65">
        <v>131264720012</v>
      </c>
      <c r="C242" s="65" t="s">
        <v>1639</v>
      </c>
      <c r="D242" s="65" t="s">
        <v>1573</v>
      </c>
      <c r="E242" s="65">
        <v>80</v>
      </c>
      <c r="F242" s="94">
        <v>190400000</v>
      </c>
    </row>
    <row r="243" spans="1:6" ht="12.5" x14ac:dyDescent="0.25">
      <c r="A243" s="65">
        <v>7</v>
      </c>
      <c r="B243" s="65">
        <v>131264720015</v>
      </c>
      <c r="C243" s="65" t="s">
        <v>1618</v>
      </c>
      <c r="D243" s="65" t="s">
        <v>1573</v>
      </c>
      <c r="E243" s="65">
        <v>138</v>
      </c>
      <c r="F243" s="94">
        <v>328440000</v>
      </c>
    </row>
    <row r="244" spans="1:6" ht="12.5" x14ac:dyDescent="0.25">
      <c r="A244" s="65">
        <v>8</v>
      </c>
      <c r="B244" s="65">
        <v>131264720014</v>
      </c>
      <c r="C244" s="65" t="s">
        <v>1632</v>
      </c>
      <c r="D244" s="65" t="s">
        <v>1573</v>
      </c>
      <c r="E244" s="65">
        <v>92</v>
      </c>
      <c r="F244" s="94">
        <v>218960000</v>
      </c>
    </row>
    <row r="245" spans="1:6" ht="12.5" x14ac:dyDescent="0.25">
      <c r="A245" s="65">
        <v>9</v>
      </c>
      <c r="B245" s="65">
        <v>131264720007</v>
      </c>
      <c r="C245" s="65" t="s">
        <v>147</v>
      </c>
      <c r="D245" s="65" t="s">
        <v>1573</v>
      </c>
      <c r="E245" s="65">
        <v>27</v>
      </c>
      <c r="F245" s="94">
        <v>64260000</v>
      </c>
    </row>
    <row r="246" spans="1:6" ht="12.5" x14ac:dyDescent="0.25">
      <c r="A246" s="65">
        <v>10</v>
      </c>
      <c r="B246" s="65">
        <v>131264720009</v>
      </c>
      <c r="C246" s="65" t="s">
        <v>1661</v>
      </c>
      <c r="D246" s="65" t="s">
        <v>1573</v>
      </c>
      <c r="E246" s="65">
        <v>282</v>
      </c>
      <c r="F246" s="94">
        <v>671160000</v>
      </c>
    </row>
    <row r="247" spans="1:6" ht="12.5" x14ac:dyDescent="0.25">
      <c r="A247" s="65">
        <v>11</v>
      </c>
      <c r="B247" s="65">
        <v>131264720002</v>
      </c>
      <c r="C247" s="65" t="s">
        <v>1626</v>
      </c>
      <c r="D247" s="65" t="s">
        <v>1573</v>
      </c>
      <c r="E247" s="65">
        <v>90</v>
      </c>
      <c r="F247" s="94">
        <v>214200000</v>
      </c>
    </row>
    <row r="248" spans="1:6" ht="12.5" x14ac:dyDescent="0.25">
      <c r="A248" s="65">
        <v>12</v>
      </c>
      <c r="B248" s="65">
        <v>131264720001</v>
      </c>
      <c r="C248" s="65" t="s">
        <v>814</v>
      </c>
      <c r="D248" s="65" t="s">
        <v>1573</v>
      </c>
      <c r="E248" s="65">
        <v>291</v>
      </c>
      <c r="F248" s="94">
        <v>692580000</v>
      </c>
    </row>
    <row r="249" spans="1:6" ht="12.5" x14ac:dyDescent="0.25">
      <c r="A249" s="65">
        <v>13</v>
      </c>
      <c r="B249" s="65">
        <v>131264720004</v>
      </c>
      <c r="C249" s="65" t="s">
        <v>1575</v>
      </c>
      <c r="D249" s="65" t="s">
        <v>1573</v>
      </c>
      <c r="E249" s="65">
        <v>87</v>
      </c>
      <c r="F249" s="94">
        <v>207060000</v>
      </c>
    </row>
    <row r="250" spans="1:6" ht="12.5" x14ac:dyDescent="0.25">
      <c r="A250" s="65">
        <v>14</v>
      </c>
      <c r="B250" s="65">
        <v>131264720003</v>
      </c>
      <c r="C250" s="65" t="s">
        <v>1596</v>
      </c>
      <c r="D250" s="65" t="s">
        <v>1573</v>
      </c>
      <c r="E250" s="65">
        <v>91</v>
      </c>
      <c r="F250" s="94">
        <v>216580000</v>
      </c>
    </row>
    <row r="251" spans="1:6" ht="12.5" x14ac:dyDescent="0.25">
      <c r="A251" s="65">
        <v>15</v>
      </c>
      <c r="B251" s="65">
        <v>131264720005</v>
      </c>
      <c r="C251" s="65" t="s">
        <v>1591</v>
      </c>
      <c r="D251" s="65" t="s">
        <v>1573</v>
      </c>
      <c r="E251" s="65">
        <v>47</v>
      </c>
      <c r="F251" s="94">
        <v>111860000</v>
      </c>
    </row>
    <row r="252" spans="1:6" ht="12.5" x14ac:dyDescent="0.25">
      <c r="A252" s="65">
        <v>16</v>
      </c>
      <c r="B252" s="65">
        <v>131264740001</v>
      </c>
      <c r="C252" s="65" t="s">
        <v>503</v>
      </c>
      <c r="D252" s="65" t="s">
        <v>494</v>
      </c>
      <c r="E252" s="65">
        <v>28</v>
      </c>
      <c r="F252" s="94">
        <v>68040000</v>
      </c>
    </row>
    <row r="253" spans="1:6" ht="12.5" x14ac:dyDescent="0.25">
      <c r="A253" s="65">
        <v>17</v>
      </c>
      <c r="B253" s="65">
        <v>131164740001</v>
      </c>
      <c r="C253" s="65" t="s">
        <v>496</v>
      </c>
      <c r="D253" s="65" t="s">
        <v>494</v>
      </c>
      <c r="E253" s="65">
        <v>506</v>
      </c>
      <c r="F253" s="94">
        <v>1229580000</v>
      </c>
    </row>
    <row r="254" spans="1:6" ht="12.5" x14ac:dyDescent="0.25">
      <c r="A254" s="65">
        <v>18</v>
      </c>
      <c r="B254" s="65">
        <v>131264710001</v>
      </c>
      <c r="C254" s="65" t="s">
        <v>106</v>
      </c>
      <c r="D254" s="65" t="s">
        <v>95</v>
      </c>
      <c r="E254" s="65">
        <v>197</v>
      </c>
      <c r="F254" s="94">
        <v>472800000</v>
      </c>
    </row>
    <row r="255" spans="1:6" ht="12.5" x14ac:dyDescent="0.25">
      <c r="A255" s="65">
        <v>19</v>
      </c>
      <c r="B255" s="65">
        <v>131264710005</v>
      </c>
      <c r="C255" s="65" t="s">
        <v>147</v>
      </c>
      <c r="D255" s="65" t="s">
        <v>95</v>
      </c>
      <c r="E255" s="65">
        <v>35</v>
      </c>
      <c r="F255" s="94">
        <v>84000000</v>
      </c>
    </row>
    <row r="256" spans="1:6" ht="12.5" x14ac:dyDescent="0.25">
      <c r="A256" s="65">
        <v>20</v>
      </c>
      <c r="B256" s="65">
        <v>131264710007</v>
      </c>
      <c r="C256" s="65" t="s">
        <v>112</v>
      </c>
      <c r="D256" s="65" t="s">
        <v>95</v>
      </c>
      <c r="E256" s="65">
        <v>32</v>
      </c>
      <c r="F256" s="94">
        <v>76800000</v>
      </c>
    </row>
    <row r="257" spans="1:6" ht="12.5" x14ac:dyDescent="0.25">
      <c r="A257" s="65">
        <v>21</v>
      </c>
      <c r="B257" s="65">
        <v>131264710004</v>
      </c>
      <c r="C257" s="65" t="s">
        <v>142</v>
      </c>
      <c r="D257" s="65" t="s">
        <v>95</v>
      </c>
      <c r="E257" s="65">
        <v>99</v>
      </c>
      <c r="F257" s="94">
        <v>237600000</v>
      </c>
    </row>
    <row r="258" spans="1:6" ht="12.5" x14ac:dyDescent="0.25">
      <c r="A258" s="65">
        <v>22</v>
      </c>
      <c r="B258" s="65">
        <v>131164710001</v>
      </c>
      <c r="C258" s="65" t="s">
        <v>97</v>
      </c>
      <c r="D258" s="65" t="s">
        <v>95</v>
      </c>
      <c r="E258" s="65">
        <v>562</v>
      </c>
      <c r="F258" s="94">
        <v>1348800000</v>
      </c>
    </row>
    <row r="259" spans="1:6" ht="12.5" x14ac:dyDescent="0.25">
      <c r="A259" s="65">
        <v>23</v>
      </c>
      <c r="B259" s="65">
        <v>131264710006</v>
      </c>
      <c r="C259" s="65" t="s">
        <v>123</v>
      </c>
      <c r="D259" s="65" t="s">
        <v>95</v>
      </c>
      <c r="E259" s="65">
        <v>33</v>
      </c>
      <c r="F259" s="94">
        <v>79200000</v>
      </c>
    </row>
    <row r="260" spans="1:6" ht="12.5" x14ac:dyDescent="0.25">
      <c r="A260" s="65">
        <v>24</v>
      </c>
      <c r="B260" s="65">
        <v>131264710002</v>
      </c>
      <c r="C260" s="65" t="s">
        <v>117</v>
      </c>
      <c r="D260" s="65" t="s">
        <v>95</v>
      </c>
      <c r="E260" s="65">
        <v>110</v>
      </c>
      <c r="F260" s="94">
        <v>264000000</v>
      </c>
    </row>
    <row r="261" spans="1:6" ht="12.5" x14ac:dyDescent="0.25">
      <c r="A261" s="65">
        <v>25</v>
      </c>
      <c r="B261" s="65">
        <v>131264710003</v>
      </c>
      <c r="C261" s="65" t="s">
        <v>130</v>
      </c>
      <c r="D261" s="65" t="s">
        <v>95</v>
      </c>
      <c r="E261" s="65">
        <v>179</v>
      </c>
      <c r="F261" s="94">
        <v>429600000</v>
      </c>
    </row>
    <row r="262" spans="1:6" ht="12.5" x14ac:dyDescent="0.25">
      <c r="A262" s="65">
        <v>26</v>
      </c>
      <c r="B262" s="65">
        <v>131264090004</v>
      </c>
      <c r="C262" s="65" t="s">
        <v>1524</v>
      </c>
      <c r="D262" s="65" t="s">
        <v>1485</v>
      </c>
      <c r="E262" s="65">
        <v>9</v>
      </c>
      <c r="F262" s="94">
        <v>21240000</v>
      </c>
    </row>
    <row r="263" spans="1:6" ht="12.5" x14ac:dyDescent="0.25">
      <c r="A263" s="65">
        <v>27</v>
      </c>
      <c r="B263" s="65">
        <v>131264090003</v>
      </c>
      <c r="C263" s="65" t="s">
        <v>1505</v>
      </c>
      <c r="D263" s="65" t="s">
        <v>1485</v>
      </c>
      <c r="E263" s="65">
        <v>24</v>
      </c>
      <c r="F263" s="94">
        <v>56640000</v>
      </c>
    </row>
    <row r="264" spans="1:6" ht="12.5" x14ac:dyDescent="0.25">
      <c r="A264" s="65">
        <v>28</v>
      </c>
      <c r="B264" s="65">
        <v>131264090006</v>
      </c>
      <c r="C264" s="65" t="s">
        <v>1519</v>
      </c>
      <c r="D264" s="65" t="s">
        <v>1485</v>
      </c>
      <c r="E264" s="65">
        <v>21</v>
      </c>
      <c r="F264" s="94">
        <v>49560000</v>
      </c>
    </row>
    <row r="265" spans="1:6" ht="12.5" x14ac:dyDescent="0.25">
      <c r="A265" s="65">
        <v>29</v>
      </c>
      <c r="B265" s="65">
        <v>131264090005</v>
      </c>
      <c r="C265" s="65" t="s">
        <v>1513</v>
      </c>
      <c r="D265" s="65" t="s">
        <v>1485</v>
      </c>
      <c r="E265" s="65">
        <v>18</v>
      </c>
      <c r="F265" s="94">
        <v>42480000</v>
      </c>
    </row>
    <row r="266" spans="1:6" ht="12.5" x14ac:dyDescent="0.25">
      <c r="A266" s="65">
        <v>30</v>
      </c>
      <c r="B266" s="65">
        <v>131264090002</v>
      </c>
      <c r="C266" s="65" t="s">
        <v>1498</v>
      </c>
      <c r="D266" s="65" t="s">
        <v>1485</v>
      </c>
      <c r="E266" s="65">
        <v>106</v>
      </c>
      <c r="F266" s="94">
        <v>250160000</v>
      </c>
    </row>
    <row r="267" spans="1:6" ht="12.5" x14ac:dyDescent="0.25">
      <c r="A267" s="65">
        <v>31</v>
      </c>
      <c r="B267" s="65">
        <v>131264090001</v>
      </c>
      <c r="C267" s="65" t="s">
        <v>1492</v>
      </c>
      <c r="D267" s="65" t="s">
        <v>1485</v>
      </c>
      <c r="E267" s="65">
        <v>62</v>
      </c>
      <c r="F267" s="94">
        <v>146320000</v>
      </c>
    </row>
    <row r="268" spans="1:6" ht="12.5" x14ac:dyDescent="0.25">
      <c r="A268" s="65">
        <v>32</v>
      </c>
      <c r="B268" s="65">
        <v>131164090001</v>
      </c>
      <c r="C268" s="65" t="s">
        <v>1487</v>
      </c>
      <c r="D268" s="65" t="s">
        <v>1485</v>
      </c>
      <c r="E268" s="65">
        <v>302</v>
      </c>
      <c r="F268" s="94">
        <v>712720000</v>
      </c>
    </row>
    <row r="269" spans="1:6" ht="12.5" x14ac:dyDescent="0.25">
      <c r="A269" s="65">
        <v>33</v>
      </c>
      <c r="B269" s="65">
        <v>131264010003</v>
      </c>
      <c r="C269" s="65" t="s">
        <v>1357</v>
      </c>
      <c r="D269" s="65" t="s">
        <v>1320</v>
      </c>
      <c r="E269" s="65">
        <v>85</v>
      </c>
      <c r="F269" s="94">
        <v>200600000</v>
      </c>
    </row>
    <row r="270" spans="1:6" ht="12.5" x14ac:dyDescent="0.25">
      <c r="A270" s="65">
        <v>34</v>
      </c>
      <c r="B270" s="65">
        <v>131264010005</v>
      </c>
      <c r="C270" s="65" t="s">
        <v>1410</v>
      </c>
      <c r="D270" s="65" t="s">
        <v>1320</v>
      </c>
      <c r="E270" s="65">
        <v>22</v>
      </c>
      <c r="F270" s="94">
        <v>51920000</v>
      </c>
    </row>
    <row r="271" spans="1:6" ht="12.5" x14ac:dyDescent="0.25">
      <c r="A271" s="65">
        <v>35</v>
      </c>
      <c r="B271" s="65">
        <v>131264010008</v>
      </c>
      <c r="C271" s="65" t="s">
        <v>1365</v>
      </c>
      <c r="D271" s="65" t="s">
        <v>1320</v>
      </c>
      <c r="E271" s="65">
        <v>104</v>
      </c>
      <c r="F271" s="94">
        <v>245440000</v>
      </c>
    </row>
    <row r="272" spans="1:6" ht="12.5" x14ac:dyDescent="0.25">
      <c r="A272" s="65">
        <v>36</v>
      </c>
      <c r="B272" s="65">
        <v>131264010017</v>
      </c>
      <c r="C272" s="65" t="s">
        <v>1391</v>
      </c>
      <c r="D272" s="65" t="s">
        <v>1320</v>
      </c>
      <c r="E272" s="65">
        <v>28</v>
      </c>
      <c r="F272" s="94">
        <v>66080000</v>
      </c>
    </row>
    <row r="273" spans="1:6" ht="12.5" x14ac:dyDescent="0.25">
      <c r="A273" s="65">
        <v>37</v>
      </c>
      <c r="B273" s="65">
        <v>131264010007</v>
      </c>
      <c r="C273" s="65" t="s">
        <v>1384</v>
      </c>
      <c r="D273" s="65" t="s">
        <v>1320</v>
      </c>
      <c r="E273" s="65">
        <v>136</v>
      </c>
      <c r="F273" s="94">
        <v>320960000</v>
      </c>
    </row>
    <row r="274" spans="1:6" ht="12.5" x14ac:dyDescent="0.25">
      <c r="A274" s="65">
        <v>38</v>
      </c>
      <c r="B274" s="65">
        <v>131264010015</v>
      </c>
      <c r="C274" s="65" t="s">
        <v>1322</v>
      </c>
      <c r="D274" s="65" t="s">
        <v>1320</v>
      </c>
      <c r="E274" s="65">
        <v>88</v>
      </c>
      <c r="F274" s="94">
        <v>207680000</v>
      </c>
    </row>
    <row r="275" spans="1:6" ht="12.5" x14ac:dyDescent="0.25">
      <c r="A275" s="65">
        <v>39</v>
      </c>
      <c r="B275" s="65">
        <v>131264010016</v>
      </c>
      <c r="C275" s="65" t="s">
        <v>1333</v>
      </c>
      <c r="D275" s="65" t="s">
        <v>1320</v>
      </c>
      <c r="E275" s="65">
        <v>75</v>
      </c>
      <c r="F275" s="94">
        <v>177000000</v>
      </c>
    </row>
    <row r="276" spans="1:6" ht="12.5" x14ac:dyDescent="0.25">
      <c r="A276" s="65">
        <v>40</v>
      </c>
      <c r="B276" s="65">
        <v>131264010009</v>
      </c>
      <c r="C276" s="65" t="s">
        <v>1349</v>
      </c>
      <c r="D276" s="65" t="s">
        <v>1320</v>
      </c>
      <c r="E276" s="65">
        <v>133</v>
      </c>
      <c r="F276" s="94">
        <v>313880000</v>
      </c>
    </row>
    <row r="277" spans="1:6" ht="12.5" x14ac:dyDescent="0.25">
      <c r="A277" s="65">
        <v>41</v>
      </c>
      <c r="B277" s="65">
        <v>131264010002</v>
      </c>
      <c r="C277" s="65" t="s">
        <v>1379</v>
      </c>
      <c r="D277" s="65" t="s">
        <v>1320</v>
      </c>
      <c r="E277" s="65">
        <v>57</v>
      </c>
      <c r="F277" s="94">
        <v>134520000</v>
      </c>
    </row>
    <row r="278" spans="1:6" ht="12.5" x14ac:dyDescent="0.25">
      <c r="A278" s="65">
        <v>42</v>
      </c>
      <c r="B278" s="65">
        <v>131264010012</v>
      </c>
      <c r="C278" s="65" t="s">
        <v>1372</v>
      </c>
      <c r="D278" s="65" t="s">
        <v>1320</v>
      </c>
      <c r="E278" s="65">
        <v>20</v>
      </c>
      <c r="F278" s="94">
        <v>47200000</v>
      </c>
    </row>
    <row r="279" spans="1:6" ht="12.5" x14ac:dyDescent="0.25">
      <c r="A279" s="65">
        <v>43</v>
      </c>
      <c r="B279" s="65">
        <v>131264010013</v>
      </c>
      <c r="C279" s="65" t="s">
        <v>1416</v>
      </c>
      <c r="D279" s="65" t="s">
        <v>1320</v>
      </c>
      <c r="E279" s="65">
        <v>270</v>
      </c>
      <c r="F279" s="94">
        <v>637200000</v>
      </c>
    </row>
    <row r="280" spans="1:6" ht="12.5" x14ac:dyDescent="0.25">
      <c r="A280" s="65">
        <v>44</v>
      </c>
      <c r="B280" s="65">
        <v>131264010010</v>
      </c>
      <c r="C280" s="65" t="s">
        <v>1404</v>
      </c>
      <c r="D280" s="65" t="s">
        <v>1320</v>
      </c>
      <c r="E280" s="65">
        <v>59</v>
      </c>
      <c r="F280" s="94">
        <v>139240000</v>
      </c>
    </row>
    <row r="281" spans="1:6" ht="12.5" x14ac:dyDescent="0.25">
      <c r="A281" s="65">
        <v>45</v>
      </c>
      <c r="B281" s="65">
        <v>131164010002</v>
      </c>
      <c r="C281" s="65" t="s">
        <v>1338</v>
      </c>
      <c r="D281" s="65" t="s">
        <v>1320</v>
      </c>
      <c r="E281" s="65">
        <v>355</v>
      </c>
      <c r="F281" s="94">
        <v>837800000</v>
      </c>
    </row>
    <row r="282" spans="1:6" ht="12.5" x14ac:dyDescent="0.25">
      <c r="A282" s="65">
        <v>46</v>
      </c>
      <c r="B282" s="65">
        <v>131164010001</v>
      </c>
      <c r="C282" s="65" t="s">
        <v>1343</v>
      </c>
      <c r="D282" s="65" t="s">
        <v>1320</v>
      </c>
      <c r="E282" s="65">
        <v>581</v>
      </c>
      <c r="F282" s="94">
        <v>1371160000</v>
      </c>
    </row>
    <row r="283" spans="1:6" ht="12.5" x14ac:dyDescent="0.25">
      <c r="A283" s="65">
        <v>47</v>
      </c>
      <c r="B283" s="65">
        <v>131264010004</v>
      </c>
      <c r="C283" s="65" t="s">
        <v>1397</v>
      </c>
      <c r="D283" s="65" t="s">
        <v>1320</v>
      </c>
      <c r="E283" s="65">
        <v>18</v>
      </c>
      <c r="F283" s="94">
        <v>42480000</v>
      </c>
    </row>
    <row r="284" spans="1:6" ht="12.5" x14ac:dyDescent="0.25">
      <c r="A284" s="65">
        <v>48</v>
      </c>
      <c r="B284" s="65">
        <v>131264010014</v>
      </c>
      <c r="C284" s="65" t="s">
        <v>1327</v>
      </c>
      <c r="D284" s="65" t="s">
        <v>1320</v>
      </c>
      <c r="E284" s="65">
        <v>13</v>
      </c>
      <c r="F284" s="94">
        <v>30680000</v>
      </c>
    </row>
    <row r="285" spans="1:6" ht="12.5" x14ac:dyDescent="0.25">
      <c r="A285" s="65">
        <v>49</v>
      </c>
      <c r="B285" s="65">
        <v>131264080003</v>
      </c>
      <c r="C285" s="65" t="s">
        <v>1156</v>
      </c>
      <c r="D285" s="65" t="s">
        <v>1132</v>
      </c>
      <c r="E285" s="65">
        <v>20</v>
      </c>
      <c r="F285" s="94">
        <v>44200000</v>
      </c>
    </row>
    <row r="286" spans="1:6" ht="12.5" x14ac:dyDescent="0.25">
      <c r="A286" s="65">
        <v>50</v>
      </c>
      <c r="B286" s="65">
        <v>131264080006</v>
      </c>
      <c r="C286" s="65" t="s">
        <v>1134</v>
      </c>
      <c r="D286" s="65" t="s">
        <v>1132</v>
      </c>
      <c r="E286" s="65">
        <v>39</v>
      </c>
      <c r="F286" s="94">
        <v>86190000</v>
      </c>
    </row>
    <row r="287" spans="1:6" ht="12.5" x14ac:dyDescent="0.25">
      <c r="A287" s="65">
        <v>51</v>
      </c>
      <c r="B287" s="65">
        <v>131264080007</v>
      </c>
      <c r="C287" s="65" t="s">
        <v>1152</v>
      </c>
      <c r="D287" s="65" t="s">
        <v>1132</v>
      </c>
      <c r="E287" s="65">
        <v>46</v>
      </c>
      <c r="F287" s="94">
        <v>101660000</v>
      </c>
    </row>
    <row r="288" spans="1:6" ht="12.5" x14ac:dyDescent="0.25">
      <c r="A288" s="65">
        <v>52</v>
      </c>
      <c r="B288" s="65">
        <v>131264080008</v>
      </c>
      <c r="C288" s="65" t="s">
        <v>1145</v>
      </c>
      <c r="D288" s="65" t="s">
        <v>1132</v>
      </c>
      <c r="E288" s="65">
        <v>44</v>
      </c>
      <c r="F288" s="94">
        <v>97240000</v>
      </c>
    </row>
    <row r="289" spans="1:6" ht="12.5" x14ac:dyDescent="0.25">
      <c r="A289" s="65">
        <v>53</v>
      </c>
      <c r="B289" s="65">
        <v>131264080009</v>
      </c>
      <c r="C289" s="65" t="s">
        <v>1168</v>
      </c>
      <c r="D289" s="65" t="s">
        <v>1132</v>
      </c>
      <c r="E289" s="65">
        <v>14</v>
      </c>
      <c r="F289" s="94">
        <v>30940000</v>
      </c>
    </row>
    <row r="290" spans="1:6" ht="12.5" x14ac:dyDescent="0.25">
      <c r="A290" s="65">
        <v>54</v>
      </c>
      <c r="B290" s="65">
        <v>131264080005</v>
      </c>
      <c r="C290" s="65" t="s">
        <v>1140</v>
      </c>
      <c r="D290" s="65" t="s">
        <v>1132</v>
      </c>
      <c r="E290" s="65">
        <v>47</v>
      </c>
      <c r="F290" s="94">
        <v>103870000</v>
      </c>
    </row>
    <row r="291" spans="1:6" ht="12.5" x14ac:dyDescent="0.25">
      <c r="A291" s="65">
        <v>55</v>
      </c>
      <c r="B291" s="65">
        <v>131264080001</v>
      </c>
      <c r="C291" s="65" t="s">
        <v>1179</v>
      </c>
      <c r="D291" s="65" t="s">
        <v>1132</v>
      </c>
      <c r="E291" s="65">
        <v>32</v>
      </c>
      <c r="F291" s="94">
        <v>70720000</v>
      </c>
    </row>
    <row r="292" spans="1:6" ht="12.5" x14ac:dyDescent="0.25">
      <c r="A292" s="65">
        <v>56</v>
      </c>
      <c r="B292" s="65">
        <v>131264080002</v>
      </c>
      <c r="C292" s="65" t="s">
        <v>1173</v>
      </c>
      <c r="D292" s="65" t="s">
        <v>1132</v>
      </c>
      <c r="E292" s="65">
        <v>57</v>
      </c>
      <c r="F292" s="94">
        <v>125970000</v>
      </c>
    </row>
    <row r="293" spans="1:6" ht="12.5" x14ac:dyDescent="0.25">
      <c r="A293" s="65">
        <v>57</v>
      </c>
      <c r="B293" s="65">
        <v>131264080004</v>
      </c>
      <c r="C293" s="65" t="s">
        <v>1163</v>
      </c>
      <c r="D293" s="65" t="s">
        <v>1132</v>
      </c>
      <c r="E293" s="65">
        <v>106</v>
      </c>
      <c r="F293" s="94">
        <v>234260000</v>
      </c>
    </row>
    <row r="294" spans="1:6" ht="12.5" x14ac:dyDescent="0.25">
      <c r="A294" s="65">
        <v>58</v>
      </c>
      <c r="B294" s="65">
        <v>1523142025</v>
      </c>
      <c r="C294" s="65" t="s">
        <v>1224</v>
      </c>
      <c r="D294" s="65" t="s">
        <v>1132</v>
      </c>
      <c r="E294" s="65">
        <v>210</v>
      </c>
      <c r="F294" s="94">
        <v>464100000</v>
      </c>
    </row>
    <row r="295" spans="1:6" ht="12.5" x14ac:dyDescent="0.25">
      <c r="A295" s="65">
        <v>59</v>
      </c>
      <c r="B295" s="65">
        <v>131264020008</v>
      </c>
      <c r="C295" s="65" t="s">
        <v>835</v>
      </c>
      <c r="D295" s="65" t="s">
        <v>731</v>
      </c>
      <c r="E295" s="65">
        <v>10</v>
      </c>
      <c r="F295" s="94">
        <v>22600000</v>
      </c>
    </row>
    <row r="296" spans="1:6" ht="12.5" x14ac:dyDescent="0.25">
      <c r="A296" s="65">
        <v>60</v>
      </c>
      <c r="B296" s="65">
        <v>131264020005</v>
      </c>
      <c r="C296" s="65" t="s">
        <v>853</v>
      </c>
      <c r="D296" s="65" t="s">
        <v>731</v>
      </c>
      <c r="E296" s="65">
        <v>81</v>
      </c>
      <c r="F296" s="94">
        <v>183060000</v>
      </c>
    </row>
    <row r="297" spans="1:6" ht="12.5" x14ac:dyDescent="0.25">
      <c r="A297" s="65">
        <v>61</v>
      </c>
      <c r="B297" s="65">
        <v>131264020009</v>
      </c>
      <c r="C297" s="65" t="s">
        <v>825</v>
      </c>
      <c r="D297" s="65" t="s">
        <v>731</v>
      </c>
      <c r="E297" s="65">
        <v>113</v>
      </c>
      <c r="F297" s="94">
        <v>255380000</v>
      </c>
    </row>
    <row r="298" spans="1:6" ht="12.5" x14ac:dyDescent="0.25">
      <c r="A298" s="65">
        <v>62</v>
      </c>
      <c r="B298" s="65">
        <v>131264020010</v>
      </c>
      <c r="C298" s="65" t="s">
        <v>773</v>
      </c>
      <c r="D298" s="65" t="s">
        <v>731</v>
      </c>
      <c r="E298" s="65">
        <v>36</v>
      </c>
      <c r="F298" s="94">
        <v>81360000</v>
      </c>
    </row>
    <row r="299" spans="1:6" ht="12.5" x14ac:dyDescent="0.25">
      <c r="A299" s="65">
        <v>63</v>
      </c>
      <c r="B299" s="65">
        <v>131164020002</v>
      </c>
      <c r="C299" s="65" t="s">
        <v>769</v>
      </c>
      <c r="D299" s="65" t="s">
        <v>731</v>
      </c>
      <c r="E299" s="65">
        <v>874</v>
      </c>
      <c r="F299" s="94">
        <v>1975240000</v>
      </c>
    </row>
    <row r="300" spans="1:6" ht="12.5" x14ac:dyDescent="0.25">
      <c r="A300" s="65">
        <v>64</v>
      </c>
      <c r="B300" s="65">
        <v>131164020001</v>
      </c>
      <c r="C300" s="65" t="s">
        <v>764</v>
      </c>
      <c r="D300" s="65" t="s">
        <v>731</v>
      </c>
      <c r="E300" s="65">
        <v>257</v>
      </c>
      <c r="F300" s="94">
        <v>580820000</v>
      </c>
    </row>
    <row r="301" spans="1:6" ht="12.5" x14ac:dyDescent="0.25">
      <c r="A301" s="65">
        <v>65</v>
      </c>
      <c r="B301" s="65">
        <v>131264020011</v>
      </c>
      <c r="C301" s="65" t="s">
        <v>797</v>
      </c>
      <c r="D301" s="65" t="s">
        <v>731</v>
      </c>
      <c r="E301" s="65">
        <v>150</v>
      </c>
      <c r="F301" s="94">
        <v>339000000</v>
      </c>
    </row>
    <row r="302" spans="1:6" ht="12.5" x14ac:dyDescent="0.25">
      <c r="A302" s="65">
        <v>66</v>
      </c>
      <c r="B302" s="65">
        <v>131264020012</v>
      </c>
      <c r="C302" s="65" t="s">
        <v>808</v>
      </c>
      <c r="D302" s="65" t="s">
        <v>731</v>
      </c>
      <c r="E302" s="65">
        <v>53</v>
      </c>
      <c r="F302" s="94">
        <v>119780000</v>
      </c>
    </row>
    <row r="303" spans="1:6" ht="12.5" x14ac:dyDescent="0.25">
      <c r="A303" s="65">
        <v>67</v>
      </c>
      <c r="B303" s="65">
        <v>131264020014</v>
      </c>
      <c r="C303" s="65" t="s">
        <v>814</v>
      </c>
      <c r="D303" s="65" t="s">
        <v>731</v>
      </c>
      <c r="E303" s="65">
        <v>67</v>
      </c>
      <c r="F303" s="94">
        <v>151420000</v>
      </c>
    </row>
    <row r="304" spans="1:6" ht="12.5" x14ac:dyDescent="0.25">
      <c r="A304" s="65">
        <v>68</v>
      </c>
      <c r="B304" s="65">
        <v>131264020015</v>
      </c>
      <c r="C304" s="65" t="s">
        <v>842</v>
      </c>
      <c r="D304" s="65" t="s">
        <v>731</v>
      </c>
      <c r="E304" s="65">
        <v>61</v>
      </c>
      <c r="F304" s="94">
        <v>137860000</v>
      </c>
    </row>
    <row r="305" spans="1:6" ht="12.5" x14ac:dyDescent="0.25">
      <c r="A305" s="65">
        <v>69</v>
      </c>
      <c r="B305" s="65">
        <v>131264020016</v>
      </c>
      <c r="C305" s="65" t="s">
        <v>819</v>
      </c>
      <c r="D305" s="65" t="s">
        <v>731</v>
      </c>
      <c r="E305" s="65">
        <v>41</v>
      </c>
      <c r="F305" s="94">
        <v>92660000</v>
      </c>
    </row>
    <row r="306" spans="1:6" ht="12.5" x14ac:dyDescent="0.25">
      <c r="A306" s="65">
        <v>70</v>
      </c>
      <c r="B306" s="65">
        <v>131264020018</v>
      </c>
      <c r="C306" s="65" t="s">
        <v>803</v>
      </c>
      <c r="D306" s="65" t="s">
        <v>731</v>
      </c>
      <c r="E306" s="65">
        <v>38</v>
      </c>
      <c r="F306" s="94">
        <v>85880000</v>
      </c>
    </row>
    <row r="307" spans="1:6" ht="12.5" x14ac:dyDescent="0.25">
      <c r="A307" s="65">
        <v>71</v>
      </c>
      <c r="B307" s="65">
        <v>131264020020</v>
      </c>
      <c r="C307" s="65" t="s">
        <v>737</v>
      </c>
      <c r="D307" s="65" t="s">
        <v>731</v>
      </c>
      <c r="E307" s="65">
        <v>65</v>
      </c>
      <c r="F307" s="94">
        <v>146900000</v>
      </c>
    </row>
    <row r="308" spans="1:6" ht="12.5" x14ac:dyDescent="0.25">
      <c r="A308" s="65">
        <v>72</v>
      </c>
      <c r="B308" s="65">
        <v>131264020022</v>
      </c>
      <c r="C308" s="65" t="s">
        <v>733</v>
      </c>
      <c r="D308" s="65" t="s">
        <v>731</v>
      </c>
      <c r="E308" s="65">
        <v>21</v>
      </c>
      <c r="F308" s="94">
        <v>47460000</v>
      </c>
    </row>
    <row r="309" spans="1:6" ht="12.5" x14ac:dyDescent="0.25">
      <c r="A309" s="65">
        <v>73</v>
      </c>
      <c r="B309" s="65">
        <v>131264020007</v>
      </c>
      <c r="C309" s="65" t="s">
        <v>847</v>
      </c>
      <c r="D309" s="65" t="s">
        <v>731</v>
      </c>
      <c r="E309" s="65">
        <v>243</v>
      </c>
      <c r="F309" s="94">
        <v>549180000</v>
      </c>
    </row>
    <row r="310" spans="1:6" ht="12.5" x14ac:dyDescent="0.25">
      <c r="A310" s="65">
        <v>74</v>
      </c>
      <c r="B310" s="65">
        <v>131264020006</v>
      </c>
      <c r="C310" s="65" t="s">
        <v>779</v>
      </c>
      <c r="D310" s="65" t="s">
        <v>731</v>
      </c>
      <c r="E310" s="65">
        <v>39</v>
      </c>
      <c r="F310" s="94">
        <v>88140000</v>
      </c>
    </row>
    <row r="311" spans="1:6" ht="12.5" x14ac:dyDescent="0.25">
      <c r="A311" s="65">
        <v>75</v>
      </c>
      <c r="B311" s="65">
        <v>131264020004</v>
      </c>
      <c r="C311" s="65" t="s">
        <v>790</v>
      </c>
      <c r="D311" s="65" t="s">
        <v>731</v>
      </c>
      <c r="E311" s="65">
        <v>67</v>
      </c>
      <c r="F311" s="94">
        <v>151420000</v>
      </c>
    </row>
    <row r="312" spans="1:6" ht="12.5" x14ac:dyDescent="0.25">
      <c r="A312" s="65">
        <v>76</v>
      </c>
      <c r="B312" s="65">
        <v>131264020003</v>
      </c>
      <c r="C312" s="65" t="s">
        <v>858</v>
      </c>
      <c r="D312" s="65" t="s">
        <v>731</v>
      </c>
      <c r="E312" s="65">
        <v>242</v>
      </c>
      <c r="F312" s="94">
        <v>546920000</v>
      </c>
    </row>
    <row r="313" spans="1:6" ht="12.5" x14ac:dyDescent="0.25">
      <c r="A313" s="65">
        <v>77</v>
      </c>
      <c r="B313" s="65">
        <v>131264020002</v>
      </c>
      <c r="C313" s="65" t="s">
        <v>784</v>
      </c>
      <c r="D313" s="65" t="s">
        <v>731</v>
      </c>
      <c r="E313" s="65">
        <v>132</v>
      </c>
      <c r="F313" s="94">
        <v>298320000</v>
      </c>
    </row>
    <row r="314" spans="1:6" ht="12.5" x14ac:dyDescent="0.25">
      <c r="A314" s="65">
        <v>78</v>
      </c>
      <c r="B314" s="65">
        <v>131264020001</v>
      </c>
      <c r="C314" s="65" t="s">
        <v>863</v>
      </c>
      <c r="D314" s="65" t="s">
        <v>731</v>
      </c>
      <c r="E314" s="65">
        <v>139</v>
      </c>
      <c r="F314" s="94">
        <v>314140000</v>
      </c>
    </row>
    <row r="315" spans="1:6" ht="12.5" x14ac:dyDescent="0.25">
      <c r="A315" s="65">
        <v>79</v>
      </c>
      <c r="B315" s="65">
        <v>131264020021</v>
      </c>
      <c r="C315" s="65" t="s">
        <v>753</v>
      </c>
      <c r="D315" s="65" t="s">
        <v>731</v>
      </c>
      <c r="E315" s="65">
        <v>26</v>
      </c>
      <c r="F315" s="94">
        <v>58760000</v>
      </c>
    </row>
    <row r="316" spans="1:6" ht="12.5" x14ac:dyDescent="0.25">
      <c r="A316" s="65">
        <v>80</v>
      </c>
      <c r="B316" s="65">
        <v>131264020019</v>
      </c>
      <c r="C316" s="65" t="s">
        <v>745</v>
      </c>
      <c r="D316" s="65" t="s">
        <v>731</v>
      </c>
      <c r="E316" s="65">
        <v>69</v>
      </c>
      <c r="F316" s="94">
        <v>155940000</v>
      </c>
    </row>
    <row r="317" spans="1:6" ht="12.5" x14ac:dyDescent="0.25">
      <c r="A317" s="65">
        <v>81</v>
      </c>
      <c r="B317" s="65">
        <v>131264020023</v>
      </c>
      <c r="C317" s="65" t="s">
        <v>758</v>
      </c>
      <c r="D317" s="65" t="s">
        <v>731</v>
      </c>
      <c r="E317" s="65">
        <v>29</v>
      </c>
      <c r="F317" s="94">
        <v>65540000</v>
      </c>
    </row>
    <row r="318" spans="1:6" ht="12.5" x14ac:dyDescent="0.25">
      <c r="A318" s="65">
        <v>82</v>
      </c>
      <c r="B318" s="65">
        <v>131264020024</v>
      </c>
      <c r="C318" s="65" t="s">
        <v>830</v>
      </c>
      <c r="D318" s="65" t="s">
        <v>731</v>
      </c>
      <c r="E318" s="65">
        <v>20</v>
      </c>
      <c r="F318" s="94">
        <v>45200000</v>
      </c>
    </row>
    <row r="319" spans="1:6" ht="12.5" x14ac:dyDescent="0.25">
      <c r="A319" s="65">
        <v>83</v>
      </c>
      <c r="B319" s="65">
        <v>131264070001</v>
      </c>
      <c r="C319" s="65" t="s">
        <v>654</v>
      </c>
      <c r="D319" s="65" t="s">
        <v>633</v>
      </c>
      <c r="E319" s="65">
        <v>55</v>
      </c>
      <c r="F319" s="94">
        <v>118250000</v>
      </c>
    </row>
    <row r="320" spans="1:6" ht="12.5" x14ac:dyDescent="0.25">
      <c r="A320" s="65">
        <v>84</v>
      </c>
      <c r="B320" s="65">
        <v>131264070002</v>
      </c>
      <c r="C320" s="65" t="s">
        <v>648</v>
      </c>
      <c r="D320" s="65" t="s">
        <v>633</v>
      </c>
      <c r="E320" s="65">
        <v>26</v>
      </c>
      <c r="F320" s="94">
        <v>55900000</v>
      </c>
    </row>
    <row r="321" spans="1:6" ht="12.5" x14ac:dyDescent="0.25">
      <c r="A321" s="65">
        <v>85</v>
      </c>
      <c r="B321" s="65">
        <v>131164070001</v>
      </c>
      <c r="C321" s="65" t="s">
        <v>642</v>
      </c>
      <c r="D321" s="65" t="s">
        <v>633</v>
      </c>
      <c r="E321" s="65">
        <v>85</v>
      </c>
      <c r="F321" s="94">
        <v>182750000</v>
      </c>
    </row>
    <row r="322" spans="1:6" ht="12.5" x14ac:dyDescent="0.25">
      <c r="A322" s="65">
        <v>86</v>
      </c>
      <c r="B322" s="65">
        <v>131264070004</v>
      </c>
      <c r="C322" s="65" t="s">
        <v>2056</v>
      </c>
      <c r="D322" s="65" t="s">
        <v>633</v>
      </c>
      <c r="E322" s="65">
        <v>3</v>
      </c>
      <c r="F322" s="94">
        <v>6450000</v>
      </c>
    </row>
    <row r="323" spans="1:6" ht="12.5" x14ac:dyDescent="0.25">
      <c r="A323" s="65">
        <v>87</v>
      </c>
      <c r="B323" s="65">
        <v>131264070003</v>
      </c>
      <c r="C323" s="65" t="s">
        <v>635</v>
      </c>
      <c r="D323" s="65" t="s">
        <v>633</v>
      </c>
      <c r="E323" s="65">
        <v>24</v>
      </c>
      <c r="F323" s="94">
        <v>51600000</v>
      </c>
    </row>
    <row r="324" spans="1:6" ht="12.5" x14ac:dyDescent="0.25">
      <c r="A324" s="65">
        <v>88</v>
      </c>
      <c r="B324" s="65">
        <v>131264030002</v>
      </c>
      <c r="C324" s="65" t="s">
        <v>397</v>
      </c>
      <c r="D324" s="65" t="s">
        <v>381</v>
      </c>
      <c r="E324" s="65">
        <v>54</v>
      </c>
      <c r="F324" s="94">
        <v>129600000</v>
      </c>
    </row>
    <row r="325" spans="1:6" ht="12.5" x14ac:dyDescent="0.25">
      <c r="A325" s="65">
        <v>89</v>
      </c>
      <c r="B325" s="65">
        <v>131264030001</v>
      </c>
      <c r="C325" s="65" t="s">
        <v>413</v>
      </c>
      <c r="D325" s="65" t="s">
        <v>381</v>
      </c>
      <c r="E325" s="65">
        <v>41</v>
      </c>
      <c r="F325" s="94">
        <v>98400000</v>
      </c>
    </row>
    <row r="326" spans="1:6" ht="12.5" x14ac:dyDescent="0.25">
      <c r="A326" s="65">
        <v>90</v>
      </c>
      <c r="B326" s="65">
        <v>131264030008</v>
      </c>
      <c r="C326" s="65" t="s">
        <v>383</v>
      </c>
      <c r="D326" s="65" t="s">
        <v>381</v>
      </c>
      <c r="E326" s="65">
        <v>19</v>
      </c>
      <c r="F326" s="94">
        <v>45600000</v>
      </c>
    </row>
    <row r="327" spans="1:6" ht="12.5" x14ac:dyDescent="0.25">
      <c r="A327" s="65">
        <v>91</v>
      </c>
      <c r="B327" s="65">
        <v>131264030003</v>
      </c>
      <c r="C327" s="65" t="s">
        <v>405</v>
      </c>
      <c r="D327" s="65" t="s">
        <v>381</v>
      </c>
      <c r="E327" s="65">
        <v>34</v>
      </c>
      <c r="F327" s="94">
        <v>81600000</v>
      </c>
    </row>
    <row r="328" spans="1:6" ht="12.5" x14ac:dyDescent="0.25">
      <c r="A328" s="65">
        <v>92</v>
      </c>
      <c r="B328" s="65">
        <v>131164030001</v>
      </c>
      <c r="C328" s="65" t="s">
        <v>390</v>
      </c>
      <c r="D328" s="65" t="s">
        <v>381</v>
      </c>
      <c r="E328" s="65">
        <v>391</v>
      </c>
      <c r="F328" s="94">
        <v>938400000</v>
      </c>
    </row>
    <row r="329" spans="1:6" ht="12.5" x14ac:dyDescent="0.25"/>
    <row r="330" spans="1:6" ht="12.5" x14ac:dyDescent="0.25"/>
    <row r="331" spans="1:6" ht="12.5" x14ac:dyDescent="0.25"/>
    <row r="332" spans="1:6" ht="12.5" x14ac:dyDescent="0.25"/>
    <row r="333" spans="1:6" ht="12.5" x14ac:dyDescent="0.25"/>
    <row r="334" spans="1:6" ht="12.5" x14ac:dyDescent="0.25"/>
    <row r="335" spans="1:6" ht="12.5" x14ac:dyDescent="0.25"/>
    <row r="336" spans="1: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</sheetData>
  <autoFilter ref="A1:F328" xr:uid="{00000000-0009-0000-0000-000009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datadasar</vt:lpstr>
      <vt:lpstr>status rkas</vt:lpstr>
      <vt:lpstr>rekap</vt:lpstr>
      <vt:lpstr>Copy of rekap</vt:lpstr>
      <vt:lpstr>rekap (1)</vt:lpstr>
      <vt:lpstr>Daftar Sekolah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Ricky Caesar Aprilla Tiaka</cp:lastModifiedBy>
  <dcterms:modified xsi:type="dcterms:W3CDTF">2026-03-25T01:06:41Z</dcterms:modified>
</cp:coreProperties>
</file>